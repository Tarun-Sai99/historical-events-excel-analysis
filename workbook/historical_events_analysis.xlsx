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43" documentId="8_{10712462-A393-4074-B003-B18B94321660}" xr6:coauthVersionLast="47" xr6:coauthVersionMax="47" xr10:uidLastSave="{99565AAA-54BF-4221-B71E-08D4CFD7FF22}"/>
  <bookViews>
    <workbookView xWindow="-108" yWindow="-108" windowWidth="23256" windowHeight="12456" activeTab="1" xr2:uid="{6D2E873C-0883-4A45-B1D6-516B2229282E}"/>
  </bookViews>
  <sheets>
    <sheet name="Raw_Data" sheetId="2" r:id="rId1"/>
    <sheet name="Profiling" sheetId="3" r:id="rId2"/>
  </sheets>
  <definedNames>
    <definedName name="ExternalData_1" localSheetId="0" hidden="1">'Raw_Data'!$A$1:$L$1097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3" l="1" a="1"/>
  <c r="B20" i="3" a="1"/>
  <c r="E7" i="3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<sst xmlns="http://schemas.openxmlformats.org/spreadsheetml/2006/main" count="12077" uniqueCount="4818">
  <si>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</si>
  <si>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</si>
  <si>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</si>
  <si>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</si>
  <si>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</si>
  <si>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</si>
  <si>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</si>
  <si>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</si>
  <si>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</si>
  <si>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</si>
  <si>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</si>
  <si>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</si>
  <si>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</si>
  <si>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</si>
  <si>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</si>
  <si>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</si>
  <si>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</si>
  <si>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</si>
  <si>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</si>
  <si>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</si>
  <si>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</si>
  <si>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</si>
  <si>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</si>
  <si>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</si>
  <si>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</si>
  <si>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</si>
  <si>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</si>
  <si>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</si>
  <si>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</si>
  <si>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</si>
  <si>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</si>
  <si>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</si>
  <si>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</si>
  <si>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</si>
  <si>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</si>
  <si>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</si>
  <si>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</si>
  <si>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</si>
  <si>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</si>
  <si>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</si>
  <si>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</si>
  <si>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</si>
  <si>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</si>
  <si>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</si>
  <si>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</si>
  <si>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</si>
  <si>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</si>
  <si>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</si>
  <si>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</si>
  <si>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</si>
  <si>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</si>
  <si>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</si>
  <si>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</si>
  <si>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</si>
  <si>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</si>
  <si>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</si>
  <si>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</si>
  <si>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</si>
  <si>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</si>
  <si>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</si>
  <si>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</si>
  <si>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</si>
  <si>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</si>
  <si>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</si>
  <si>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</si>
  <si>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</si>
  <si>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</si>
  <si>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</si>
  <si>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</si>
  <si>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</si>
  <si>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</si>
  <si>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</si>
  <si>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</si>
  <si>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</si>
  <si>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</si>
  <si>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</si>
  <si>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</si>
  <si>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</si>
  <si>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</si>
  <si>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</si>
  <si>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</si>
  <si>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</si>
  <si>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</si>
  <si>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</si>
  <si>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</si>
  <si>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</si>
  <si>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</si>
  <si>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</si>
  <si>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</si>
  <si>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</si>
  <si>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</si>
  <si>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</si>
  <si>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</si>
  <si>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</si>
  <si>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</si>
  <si>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</si>
  <si>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</si>
  <si>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</si>
  <si>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</si>
  <si>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</si>
  <si>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</si>
  <si>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</si>
  <si>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</si>
  <si>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</si>
  <si>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</si>
  <si>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</si>
  <si>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</si>
  <si>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</si>
  <si>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</si>
  <si>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</si>
  <si>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</si>
  <si>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</si>
  <si>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</si>
  <si>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</si>
  <si>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</si>
  <si>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</si>
  <si>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</si>
  <si>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</si>
  <si>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</si>
  <si>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</si>
  <si>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</si>
  <si>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</si>
  <si>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</si>
  <si>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</si>
  <si>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</si>
  <si>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</si>
  <si>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</si>
  <si>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</si>
  <si>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</si>
  <si>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</si>
  <si>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</si>
  <si>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</si>
  <si>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</si>
  <si>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</si>
  <si>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</si>
  <si>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</si>
  <si>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</si>
  <si>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</si>
  <si>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</si>
  <si>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</si>
  <si>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</si>
  <si>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</si>
  <si>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</si>
  <si>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</si>
  <si>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</si>
  <si>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</si>
  <si>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</si>
  <si>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</si>
  <si>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</si>
  <si>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</si>
  <si>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</si>
  <si>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</si>
  <si>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</si>
  <si>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</si>
  <si>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</si>
  <si>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</si>
  <si>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</si>
  <si>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</si>
  <si>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</si>
  <si>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</si>
  <si>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</si>
  <si>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</si>
  <si>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</si>
  <si>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</si>
  <si>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</si>
  <si>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</si>
  <si>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</si>
  <si>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</si>
  <si>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</si>
  <si>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</si>
  <si>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</si>
  <si>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</si>
  <si>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</si>
  <si>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</si>
  <si>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</si>
  <si>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</si>
  <si>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</si>
  <si>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</si>
  <si>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</si>
  <si>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</si>
  <si>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</si>
  <si>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</si>
  <si>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</si>
  <si>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</si>
  <si>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</si>
  <si>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</si>
  <si>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</si>
  <si>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</si>
  <si>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</si>
  <si>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</si>
  <si>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</si>
  <si>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</si>
  <si>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</si>
  <si>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</si>
  <si>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</si>
  <si>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</si>
  <si>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</si>
  <si>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</si>
  <si>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</si>
  <si>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</si>
  <si>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</si>
  <si>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</si>
  <si>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</si>
  <si>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</si>
  <si>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</si>
  <si>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</si>
  <si>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</si>
  <si>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</si>
  <si>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</si>
  <si>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</si>
  <si>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</si>
  <si>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</si>
  <si>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</si>
  <si>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</si>
  <si>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</si>
  <si>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</si>
  <si>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</si>
  <si>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</si>
  <si>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</si>
  <si>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</si>
  <si>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</si>
  <si>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</si>
  <si>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</si>
  <si>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</si>
  <si>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</si>
  <si>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</si>
  <si>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</si>
  <si>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</si>
  <si>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</si>
  <si>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</si>
  <si>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</si>
  <si>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</si>
  <si>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</si>
  <si>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</si>
  <si>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</si>
  <si>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</si>
  <si>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</si>
  <si>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</si>
  <si>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</si>
  <si>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</si>
  <si>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</si>
  <si>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</si>
  <si>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</si>
  <si>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</si>
  <si>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</si>
  <si>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</si>
  <si>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</si>
  <si>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</si>
  <si>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</si>
  <si>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</si>
  <si>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</si>
  <si>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</si>
  <si>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</si>
  <si>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</si>
  <si>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</si>
  <si>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</si>
  <si>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</si>
  <si>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</si>
  <si>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</si>
  <si>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</si>
  <si>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</si>
  <si>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</si>
  <si>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</si>
  <si>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</si>
  <si>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</si>
  <si>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</si>
  <si>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</si>
  <si>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</si>
  <si>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</si>
  <si>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</si>
  <si>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</si>
  <si>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</si>
  <si>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</si>
  <si>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</si>
  <si>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</si>
  <si>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</si>
  <si>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</si>
  <si>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</si>
  <si>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</si>
  <si>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</si>
  <si>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</si>
  <si>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</si>
  <si>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</si>
  <si>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</si>
  <si>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</si>
  <si>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</si>
  <si>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</si>
  <si>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</si>
  <si>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</si>
  <si>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</si>
  <si>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</si>
  <si>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</si>
  <si>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</si>
  <si>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</si>
  <si>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</si>
  <si>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</si>
  <si>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</si>
  <si>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</si>
  <si>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</si>
  <si>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</si>
  <si>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</si>
  <si>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</si>
  <si>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</si>
  <si>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</si>
  <si>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</si>
  <si>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</si>
  <si>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</si>
  <si>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</si>
  <si>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</si>
  <si>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</si>
  <si>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</si>
  <si>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</si>
  <si>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</si>
  <si>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</si>
  <si>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</si>
  <si>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</si>
  <si>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</si>
  <si>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</si>
  <si>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</si>
  <si>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</si>
  <si>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</si>
  <si>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</si>
  <si>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</si>
  <si>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</si>
  <si>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</si>
  <si>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</si>
  <si>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</si>
  <si>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</si>
  <si>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</si>
  <si>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</si>
  <si>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</si>
  <si>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</si>
  <si>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</si>
  <si>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</si>
  <si>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</si>
  <si>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</si>
  <si>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</si>
  <si>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</si>
  <si>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</si>
  <si>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</si>
  <si>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</si>
  <si>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</si>
  <si>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</si>
  <si>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</si>
  <si>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</si>
  <si>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</si>
  <si>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</si>
  <si>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</si>
  <si>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</si>
  <si>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</si>
  <si>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</si>
  <si>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</si>
  <si>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</si>
  <si>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</si>
  <si>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</si>
  <si>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</si>
  <si>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</si>
  <si>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</si>
  <si>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</si>
  <si>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</si>
  <si>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</si>
  <si>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</si>
  <si>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</si>
  <si>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</si>
  <si>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</si>
  <si>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</si>
  <si>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</si>
  <si>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</si>
  <si>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</si>
  <si>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</si>
  <si>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</si>
  <si>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</si>
  <si>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</si>
  <si>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</si>
  <si>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</si>
  <si>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</si>
  <si>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</si>
  <si>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</si>
  <si>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</si>
  <si>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</si>
  <si>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</si>
  <si>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</si>
  <si>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</si>
  <si>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</si>
  <si>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</si>
  <si>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</si>
  <si>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</si>
  <si>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</si>
  <si>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</si>
  <si>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</si>
  <si>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</si>
  <si>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</si>
  <si>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</si>
  <si>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</si>
  <si>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</si>
  <si>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</si>
  <si>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</si>
  <si>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</si>
  <si>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</si>
  <si>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</si>
  <si>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</si>
  <si>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</si>
  <si>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</si>
  <si>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</si>
  <si>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</si>
  <si>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</si>
  <si>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</si>
  <si>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</si>
  <si>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</si>
  <si>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</si>
  <si>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</si>
  <si>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</si>
  <si>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</si>
  <si>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</si>
  <si>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</si>
  <si>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</si>
  <si>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</si>
  <si>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</si>
  <si>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</si>
  <si>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</si>
  <si>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</si>
  <si>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</si>
  <si>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</si>
  <si>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</si>
  <si>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</si>
  <si>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</si>
  <si>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</si>
  <si>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</si>
  <si>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</si>
  <si>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</si>
  <si>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</si>
  <si>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</si>
  <si>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</si>
  <si>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</si>
  <si>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</si>
  <si>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</si>
  <si>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</si>
  <si>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</si>
  <si>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</si>
  <si>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</si>
  <si>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</si>
  <si>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</si>
  <si>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</si>
  <si>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</si>
  <si>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</si>
  <si>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</si>
  <si>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</si>
  <si>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</si>
  <si>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</si>
  <si>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</si>
  <si>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</si>
  <si>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</si>
  <si>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</si>
  <si>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</si>
  <si>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</si>
  <si>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</si>
  <si>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</si>
  <si>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</si>
  <si>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</si>
  <si>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</si>
  <si>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</si>
  <si>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</si>
  <si>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</si>
  <si>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</si>
  <si>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</si>
  <si>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</si>
  <si>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</si>
  <si>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</si>
  <si>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</si>
  <si>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</si>
  <si>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</si>
  <si>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</si>
  <si>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</si>
  <si>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</si>
  <si>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</si>
  <si>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</si>
  <si>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</si>
  <si>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</si>
  <si>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</si>
  <si>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</si>
  <si>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</si>
  <si>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</si>
  <si>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</si>
  <si>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</si>
  <si>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</si>
  <si>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</si>
  <si>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</si>
  <si>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</si>
  <si>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</si>
  <si>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</si>
  <si>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</si>
  <si>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</si>
  <si>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</si>
  <si>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</si>
  <si>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</si>
  <si>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</si>
  <si>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</si>
  <si>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</si>
  <si>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</si>
  <si>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</si>
  <si>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</si>
  <si>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</si>
  <si>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</si>
  <si>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</si>
  <si>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</si>
  <si>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</si>
  <si>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</si>
  <si>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</si>
  <si>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</si>
  <si>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</si>
  <si>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</si>
  <si>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</si>
  <si>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</si>
  <si>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</si>
  <si>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</si>
  <si>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</si>
  <si>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</si>
  <si>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</si>
  <si>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</si>
  <si>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</si>
  <si>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</si>
  <si>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</si>
  <si>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</si>
  <si>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</si>
  <si>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</si>
  <si>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</si>
  <si>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</si>
  <si>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</si>
  <si>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</si>
  <si>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</si>
  <si>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</si>
  <si>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</si>
  <si>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</si>
  <si>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</si>
  <si>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</si>
  <si>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</si>
  <si>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</si>
  <si>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</si>
  <si>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</si>
  <si>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</si>
  <si>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</si>
  <si>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</si>
  <si>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</si>
  <si>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</si>
  <si>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</si>
  <si>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</si>
  <si>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</si>
  <si>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</si>
  <si>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</si>
  <si>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</si>
  <si>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</si>
  <si>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</si>
  <si>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</si>
  <si>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</si>
  <si>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</si>
  <si>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</si>
  <si>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</si>
  <si>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</si>
  <si>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</si>
  <si>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</si>
  <si>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</si>
  <si>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</si>
  <si>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</si>
  <si>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</si>
  <si>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</si>
  <si>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</si>
  <si>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</si>
  <si>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</si>
  <si>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</si>
  <si>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</si>
  <si>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</si>
  <si>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</si>
  <si>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</si>
  <si>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</si>
  <si>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</si>
  <si>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</si>
  <si>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</si>
  <si>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</si>
  <si>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</si>
  <si>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</si>
  <si>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</si>
  <si>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</si>
  <si>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</si>
  <si>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</si>
  <si>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</si>
  <si>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</si>
  <si>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</si>
  <si>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</si>
  <si>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</si>
  <si>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</si>
  <si>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</si>
  <si>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</si>
  <si>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</si>
  <si>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</si>
  <si>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</si>
  <si>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</si>
  <si>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</si>
  <si>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</si>
  <si>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</si>
  <si>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</si>
  <si>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</si>
  <si>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</si>
  <si>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</si>
  <si>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</si>
  <si>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</si>
  <si>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</si>
  <si>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</si>
  <si>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</si>
  <si>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</si>
  <si>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</si>
  <si>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</si>
  <si>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</si>
  <si>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</si>
  <si>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</si>
  <si>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</si>
  <si>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</si>
  <si>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</si>
  <si>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</si>
  <si>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</si>
  <si>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</si>
  <si>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</si>
  <si>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</si>
  <si>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</si>
  <si>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</si>
  <si>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</si>
  <si>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</si>
  <si>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</si>
  <si>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</si>
  <si>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</si>
  <si>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</si>
  <si>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</si>
  <si>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</si>
  <si>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</si>
  <si>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</si>
  <si>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</si>
  <si>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</si>
  <si>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</si>
  <si>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</si>
  <si>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</si>
  <si>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</si>
  <si>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</si>
  <si>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</si>
  <si>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</si>
  <si>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</si>
  <si>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</si>
  <si>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</si>
  <si>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</si>
  <si>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</si>
  <si>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</si>
  <si>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</si>
  <si>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</si>
  <si>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</si>
  <si>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</si>
  <si>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</si>
  <si>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</si>
  <si>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</si>
  <si>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</si>
  <si>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</si>
  <si>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</si>
  <si>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</si>
  <si>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</si>
  <si>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</si>
  <si>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</si>
  <si>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</si>
  <si>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</si>
  <si>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</si>
  <si>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</si>
  <si>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</si>
  <si>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</si>
  <si>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</si>
  <si>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</si>
  <si>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</si>
  <si>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</si>
  <si>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</si>
  <si>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</si>
  <si>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</si>
  <si>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</si>
  <si>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</si>
  <si>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</si>
  <si>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</si>
  <si>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</si>
  <si>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</si>
  <si>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</si>
  <si>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</si>
  <si>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</si>
  <si>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</si>
  <si>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</si>
  <si>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</si>
  <si>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</si>
  <si>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</si>
  <si>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</si>
  <si>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</si>
  <si>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</si>
  <si>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</si>
  <si>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</si>
  <si>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</si>
  <si>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</si>
  <si>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</si>
  <si>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</si>
  <si>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</si>
  <si>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</si>
  <si>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</si>
  <si>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</si>
  <si>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</si>
  <si>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</si>
  <si>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</si>
  <si>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</si>
  <si>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</si>
  <si>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</si>
  <si>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</si>
  <si>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</si>
  <si>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</si>
  <si>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</si>
  <si>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</si>
  <si>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</si>
  <si>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</si>
  <si>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</si>
  <si>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</si>
  <si>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</si>
  <si>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</si>
  <si>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</si>
  <si>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</si>
  <si>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</si>
  <si>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</si>
  <si>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</si>
  <si>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</si>
  <si>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</si>
  <si>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</si>
  <si>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</si>
  <si>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</si>
  <si>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</si>
  <si>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</si>
  <si>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</si>
  <si>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</si>
  <si>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</si>
  <si>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</si>
  <si>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</si>
  <si>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</si>
  <si>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</si>
  <si>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</si>
  <si>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</si>
  <si>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</si>
  <si>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</si>
  <si>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</si>
  <si>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</si>
  <si>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</si>
  <si>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</si>
  <si>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</si>
  <si>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</si>
  <si>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</si>
  <si>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</si>
  <si>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</si>
  <si>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</si>
  <si>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</si>
  <si>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</si>
  <si>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</si>
  <si>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</si>
  <si>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</si>
  <si>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</si>
  <si>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</si>
  <si>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</si>
  <si>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</si>
  <si>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</si>
  <si>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</si>
  <si>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</si>
  <si>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</si>
  <si>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</si>
  <si>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</si>
  <si>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</si>
  <si>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</si>
  <si>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</si>
  <si>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</si>
  <si>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</si>
  <si>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</si>
  <si>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</si>
  <si>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</si>
  <si>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</si>
  <si>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</si>
  <si>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</si>
  <si>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</si>
  <si>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</si>
  <si>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</si>
  <si>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</si>
  <si>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</si>
  <si>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</si>
  <si>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</si>
  <si>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</si>
  <si>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</si>
  <si>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</si>
  <si>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</si>
  <si>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</si>
  <si>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</si>
  <si>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</si>
  <si>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</si>
  <si>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</si>
  <si>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</si>
  <si>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</si>
  <si>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</si>
  <si>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</si>
  <si>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</si>
  <si>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</si>
  <si>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</si>
  <si>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</si>
  <si>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</si>
  <si>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</si>
  <si>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</si>
  <si>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</si>
  <si>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</si>
  <si>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</si>
  <si>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</si>
  <si>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</si>
  <si>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</si>
  <si>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</si>
  <si>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</si>
  <si>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</si>
  <si>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</si>
  <si>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</si>
  <si>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</si>
  <si>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</si>
  <si>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</si>
  <si>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</si>
  <si>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</si>
  <si>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</si>
  <si>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</si>
  <si>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</si>
  <si>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</si>
  <si>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</si>
  <si>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</si>
  <si>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</si>
  <si>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</si>
  <si>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</si>
  <si>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</si>
  <si>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</si>
  <si>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</si>
  <si>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</si>
  <si>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</si>
  <si>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</si>
  <si>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</si>
  <si>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</si>
  <si>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</si>
  <si>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</si>
  <si>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</si>
  <si>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</si>
  <si>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</si>
  <si>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</si>
  <si>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</si>
  <si>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</si>
  <si>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</si>
  <si>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</si>
  <si>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</si>
  <si>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</si>
  <si>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</si>
  <si>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</si>
  <si>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</si>
  <si>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</si>
  <si>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</si>
  <si>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</si>
  <si>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</si>
  <si>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</si>
  <si>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</si>
  <si>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</si>
  <si>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</si>
  <si>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</si>
  <si>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</si>
  <si>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</si>
  <si>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</si>
  <si>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</si>
  <si>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</si>
  <si>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</si>
  <si>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</si>
  <si>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</si>
  <si>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</si>
  <si>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</si>
  <si>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</si>
  <si>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</si>
  <si>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</si>
  <si>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</si>
  <si>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</si>
  <si>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</si>
  <si>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</si>
  <si>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</si>
  <si>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</si>
  <si>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</si>
  <si>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</si>
  <si>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</si>
  <si>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</si>
  <si>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</si>
  <si>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</si>
  <si>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</si>
  <si>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</si>
  <si>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</si>
  <si>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</si>
  <si>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</si>
  <si>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</si>
  <si>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</si>
  <si>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</si>
  <si>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</si>
  <si>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</si>
  <si>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</si>
  <si>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</si>
  <si>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</si>
  <si>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</si>
  <si>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</si>
  <si>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</si>
  <si>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</si>
  <si>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</si>
  <si>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</si>
  <si>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</si>
  <si>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</si>
  <si>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</si>
  <si>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</si>
  <si>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</si>
  <si>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</si>
  <si>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</si>
  <si>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</si>
  <si>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</si>
  <si>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</si>
  <si>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</si>
  <si>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</si>
  <si>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</si>
  <si>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</si>
  <si>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</si>
  <si>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</si>
  <si>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</si>
  <si>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</si>
  <si>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</si>
  <si>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</si>
  <si>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</si>
  <si>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</si>
  <si>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</si>
  <si>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</si>
  <si>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</si>
  <si>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</si>
  <si>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</si>
  <si>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</si>
  <si>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</si>
  <si>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</si>
  <si>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</si>
  <si>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</si>
  <si>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</si>
  <si>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</si>
  <si>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</si>
  <si>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</si>
  <si>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</si>
  <si>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</si>
  <si>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</si>
  <si>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</si>
  <si>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</si>
  <si>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</si>
  <si>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</si>
  <si>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</si>
  <si>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</si>
  <si>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</si>
  <si>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</si>
  <si>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</si>
  <si>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</si>
  <si>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</si>
  <si>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</si>
  <si>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</si>
  <si>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</si>
  <si>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</si>
  <si>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</si>
  <si>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</si>
  <si>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</si>
  <si>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</si>
  <si>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</si>
  <si>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</si>
  <si>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</si>
  <si>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</si>
  <si>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</si>
  <si>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</si>
  <si>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</si>
  <si>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</si>
  <si>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</si>
  <si>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</si>
  <si>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</si>
  <si>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</si>
  <si>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</si>
  <si>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</si>
  <si>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</si>
  <si>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</si>
  <si>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</si>
  <si>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</si>
  <si>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</si>
  <si>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</si>
  <si>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</si>
  <si>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</si>
  <si>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</si>
  <si>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</si>
  <si>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</si>
  <si>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</si>
  <si>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</si>
  <si>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</si>
  <si>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</si>
  <si>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</si>
  <si>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</si>
  <si>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</si>
  <si>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</si>
  <si>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</si>
  <si>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</si>
  <si>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</si>
  <si>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</si>
  <si>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</si>
  <si>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</si>
  <si>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</si>
  <si>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</si>
  <si>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</si>
  <si>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</si>
  <si>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</si>
  <si>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</si>
  <si>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</si>
  <si>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</si>
  <si>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</si>
  <si>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</si>
  <si>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</si>
  <si>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</si>
  <si>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</si>
  <si>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</si>
  <si>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</si>
  <si>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</si>
  <si>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</si>
  <si>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</si>
  <si>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</si>
  <si>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</si>
  <si>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</si>
  <si>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</si>
  <si>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</si>
  <si>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</si>
  <si>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</si>
  <si>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</si>
  <si>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</si>
  <si>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</si>
  <si>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</si>
  <si>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</si>
  <si>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</si>
  <si>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</si>
  <si>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</si>
  <si>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</si>
  <si>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</si>
  <si>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</si>
  <si>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</si>
  <si>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</si>
  <si>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</si>
  <si>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</si>
  <si>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</si>
  <si>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</si>
  <si>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</si>
  <si>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</si>
  <si>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</si>
  <si>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</si>
  <si>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</si>
  <si>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</si>
  <si>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</si>
  <si>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</si>
  <si>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</si>
  <si>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</si>
  <si>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</si>
  <si>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</si>
  <si>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</si>
  <si>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</si>
  <si>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</si>
  <si>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</si>
  <si>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</si>
  <si>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</si>
  <si>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</si>
  <si>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</si>
  <si>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</si>
  <si>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</si>
  <si>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</si>
  <si>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</si>
  <si>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</si>
  <si>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</si>
  <si>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</si>
  <si>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</si>
  <si>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</si>
  <si>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</si>
  <si>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</si>
  <si>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</si>
  <si>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</si>
  <si>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</si>
  <si>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</si>
  <si>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</si>
  <si>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</si>
  <si>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</si>
  <si>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</si>
  <si>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</si>
  <si>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</si>
  <si>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</si>
  <si>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</si>
  <si>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</si>
  <si>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</si>
  <si>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</si>
  <si>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</si>
  <si>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</si>
  <si>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</si>
  <si>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</si>
  <si>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</si>
  <si>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</si>
  <si>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</si>
  <si>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</si>
  <si>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</si>
  <si>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</si>
  <si>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</si>
  <si>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</si>
  <si>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</si>
  <si>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</si>
  <si>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</si>
  <si>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</si>
  <si>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</si>
  <si>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</si>
  <si>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</si>
  <si>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</si>
  <si>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</si>
  <si>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</si>
  <si>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</si>
  <si>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</si>
  <si>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</si>
  <si>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</si>
  <si>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</si>
  <si>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</si>
  <si>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</si>
  <si>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</si>
  <si>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</si>
  <si>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</si>
  <si>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</si>
  <si>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</si>
  <si>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</si>
  <si>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</si>
  <si>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</si>
  <si>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</si>
  <si>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</si>
  <si>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</si>
  <si>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</si>
  <si>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</si>
  <si>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</si>
  <si>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</si>
  <si>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</si>
  <si>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</si>
  <si>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</si>
  <si>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</si>
  <si>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</si>
  <si>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</si>
  <si>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</si>
  <si>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</si>
  <si>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</si>
  <si>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</si>
  <si>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</si>
  <si>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</si>
  <si>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</si>
  <si>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</si>
  <si>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</si>
  <si>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</si>
  <si>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</si>
  <si>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</si>
  <si>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</si>
  <si>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</si>
  <si>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</si>
  <si>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</si>
  <si>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</si>
  <si>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</si>
  <si>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</si>
  <si>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</si>
  <si>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</si>
  <si>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</si>
  <si>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</si>
  <si>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</si>
  <si>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</si>
  <si>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</si>
  <si>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</si>
  <si>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</si>
  <si>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</si>
  <si>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</si>
  <si>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</si>
  <si>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</si>
  <si>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</si>
  <si>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</si>
  <si>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</si>
  <si>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</si>
  <si>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</si>
  <si>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</si>
  <si>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</si>
  <si>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</si>
  <si>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</si>
  <si>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</si>
  <si>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</si>
  <si>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</si>
  <si>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</si>
  <si>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</si>
  <si>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</si>
  <si>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</si>
  <si>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</si>
  <si>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</si>
  <si>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</si>
  <si>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</si>
  <si>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</si>
  <si>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</si>
  <si>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</si>
  <si>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</si>
  <si>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</si>
  <si>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</si>
  <si>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</si>
  <si>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</si>
  <si>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</si>
  <si>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</si>
  <si>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</si>
  <si>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</si>
  <si>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</si>
  <si>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</si>
  <si>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</si>
  <si>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</si>
  <si>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</si>
  <si>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</si>
  <si>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</si>
  <si>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</si>
  <si>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</si>
  <si>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</si>
  <si>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</si>
  <si>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</si>
  <si>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</si>
  <si>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</si>
  <si>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</si>
  <si>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</si>
  <si>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</si>
  <si>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</si>
  <si>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</si>
  <si>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</si>
  <si>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</si>
  <si>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</si>
  <si>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</si>
  <si>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</si>
  <si>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</si>
  <si>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</si>
  <si>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</si>
  <si>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</si>
  <si>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</si>
  <si>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</si>
  <si>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</si>
  <si>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</si>
  <si>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</si>
  <si>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</si>
  <si>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</si>
  <si>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</si>
  <si>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</si>
  <si>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</si>
  <si>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</si>
  <si>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</si>
  <si>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</si>
  <si>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</si>
  <si>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</si>
  <si>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</si>
  <si>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</si>
  <si>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</si>
  <si>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</si>
  <si>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</si>
  <si>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</si>
  <si>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</si>
  <si>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</si>
  <si>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</si>
  <si>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</si>
  <si>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</si>
  <si>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</si>
  <si>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</si>
  <si>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</si>
  <si>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</si>
  <si>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</si>
  <si>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</si>
  <si>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</si>
  <si>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</si>
  <si>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</si>
  <si>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</si>
  <si>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</si>
  <si>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</si>
  <si>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</si>
  <si>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</si>
  <si>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</si>
  <si>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</si>
  <si>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</si>
  <si>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</si>
  <si>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</si>
  <si>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</si>
  <si>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</si>
  <si>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</si>
  <si>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</si>
  <si>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</si>
  <si>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</si>
  <si>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</si>
  <si>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</si>
  <si>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</si>
  <si>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</si>
  <si>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</si>
  <si>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</si>
  <si>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</si>
  <si>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</si>
  <si>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</si>
  <si>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</si>
  <si>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</si>
  <si>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</si>
  <si>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</si>
  <si>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</si>
  <si>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</si>
  <si>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</si>
  <si>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</si>
  <si>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</si>
  <si>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</si>
  <si>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</si>
  <si>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</si>
  <si>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</si>
  <si>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</si>
  <si>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</si>
  <si>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</si>
  <si>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</si>
  <si>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</si>
  <si>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</si>
  <si>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</si>
  <si>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</si>
  <si>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</si>
  <si>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</si>
  <si>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</si>
  <si>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</si>
  <si>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</si>
  <si>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</si>
  <si>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</si>
  <si>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</si>
  <si>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</si>
  <si>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</si>
  <si>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</si>
  <si>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</si>
  <si>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</si>
  <si>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</si>
  <si>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</si>
  <si>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</si>
  <si>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</si>
  <si>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</si>
  <si>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</si>
  <si>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</si>
  <si>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</si>
  <si>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</si>
  <si>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</si>
  <si>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</si>
  <si>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</si>
  <si>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</si>
  <si>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</si>
  <si>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</si>
  <si>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</si>
  <si>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</si>
  <si>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</si>
  <si>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</si>
  <si>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</si>
  <si>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</si>
  <si>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</si>
  <si>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</si>
  <si>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</si>
  <si>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</si>
  <si>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</si>
  <si>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</si>
  <si>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</si>
  <si>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</si>
  <si>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</si>
  <si>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</si>
  <si>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</si>
  <si>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</si>
  <si>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</si>
  <si>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</si>
  <si>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</si>
  <si>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</si>
  <si>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</si>
  <si>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</si>
  <si>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</si>
  <si>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</si>
  <si>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</si>
  <si>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</si>
  <si>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</si>
  <si>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</si>
  <si>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</si>
  <si>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</si>
  <si>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</si>
  <si>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</si>
  <si>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</si>
  <si>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</si>
  <si>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</si>
  <si>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</si>
  <si>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</si>
  <si>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</si>
  <si>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</si>
  <si>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</si>
  <si>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</si>
  <si>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</si>
  <si>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</si>
  <si>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</si>
  <si>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</si>
  <si>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</si>
  <si>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</si>
  <si>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</si>
  <si>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</si>
  <si>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</si>
  <si>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</si>
  <si>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</si>
  <si>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</si>
  <si>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</si>
  <si>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</si>
  <si>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</si>
  <si>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</si>
  <si>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</si>
  <si>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</si>
  <si>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</si>
  <si>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</si>
  <si>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</si>
  <si>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</si>
  <si>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</si>
  <si>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</si>
  <si>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</si>
  <si>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</si>
  <si>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</si>
  <si>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</si>
  <si>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</si>
  <si>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</si>
  <si>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</si>
  <si>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</si>
  <si>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</si>
  <si>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</si>
  <si>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</si>
  <si>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</si>
  <si>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</si>
  <si>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</si>
  <si>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</si>
  <si>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</si>
  <si>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</si>
  <si>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</si>
  <si>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</si>
  <si>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</si>
  <si>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</si>
  <si>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</si>
  <si>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</si>
  <si>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</si>
  <si>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</si>
  <si>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</si>
  <si>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</si>
  <si>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</si>
  <si>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</si>
  <si>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</si>
  <si>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</si>
  <si>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</si>
  <si>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</si>
  <si>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</si>
  <si>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</si>
  <si>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</si>
  <si>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</si>
  <si>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</si>
  <si>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</si>
  <si>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</si>
  <si>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</si>
  <si>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</si>
  <si>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</si>
  <si>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</si>
  <si>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</si>
  <si>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</si>
  <si>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</si>
  <si>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</si>
  <si>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</si>
  <si>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</si>
  <si>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</si>
  <si>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</si>
  <si>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</si>
  <si>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</si>
  <si>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</si>
  <si>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</si>
  <si>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</si>
  <si>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</si>
  <si>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</si>
  <si>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</si>
  <si>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</si>
  <si>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</si>
  <si>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</si>
  <si>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</si>
  <si>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</si>
  <si>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</si>
  <si>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</si>
  <si>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</si>
  <si>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</si>
  <si>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</si>
  <si>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</si>
  <si>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</si>
  <si>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</si>
  <si>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</si>
  <si>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</si>
  <si>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</si>
  <si>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</si>
  <si>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</si>
  <si>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</si>
  <si>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</si>
  <si>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</si>
  <si>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</si>
  <si>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</si>
  <si>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</si>
  <si>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</si>
  <si>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</si>
  <si>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</si>
  <si>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</si>
  <si>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</si>
  <si>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</si>
  <si>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</si>
  <si>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</si>
  <si>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</si>
  <si>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</si>
  <si>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</si>
  <si>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</si>
  <si>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</si>
  <si>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</si>
  <si>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</si>
  <si>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</si>
  <si>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</si>
  <si>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</si>
  <si>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</si>
  <si>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</si>
  <si>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</si>
  <si>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</si>
  <si>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</si>
  <si>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</si>
  <si>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</si>
  <si>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</si>
  <si>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</si>
  <si>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</si>
  <si>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</si>
  <si>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</si>
  <si>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</si>
  <si>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</si>
  <si>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</si>
  <si>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</si>
  <si>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</si>
  <si>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</si>
  <si>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</si>
  <si>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</si>
  <si>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</si>
  <si>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</si>
  <si>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</si>
  <si>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</si>
  <si>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</si>
  <si>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</si>
  <si>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</si>
  <si>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</si>
  <si>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</si>
  <si>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</si>
  <si>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</si>
  <si>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</si>
  <si>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</si>
  <si>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</si>
  <si>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</si>
  <si>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</si>
  <si>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</si>
  <si>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</si>
  <si>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</si>
  <si>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</si>
  <si>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</si>
  <si>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</si>
  <si>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</si>
  <si>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</si>
  <si>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</si>
  <si>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</si>
  <si>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</si>
  <si>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</si>
  <si>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</si>
  <si>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</si>
  <si>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</si>
  <si>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</si>
  <si>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</si>
  <si>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</si>
  <si>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</si>
  <si>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</si>
  <si>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</si>
  <si>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</si>
  <si>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</si>
  <si>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</si>
  <si>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</si>
  <si>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</si>
  <si>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</si>
  <si>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</si>
  <si>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</si>
  <si>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</si>
  <si>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</si>
  <si>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</si>
  <si>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</si>
  <si>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</si>
  <si>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</si>
  <si>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</si>
  <si>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</si>
  <si>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</si>
  <si>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</si>
  <si>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</si>
  <si>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</si>
  <si>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</si>
  <si>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</si>
  <si>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</si>
  <si>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</si>
  <si>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</si>
  <si>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</si>
  <si>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</si>
  <si>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</si>
  <si>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</si>
  <si>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</si>
  <si>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</si>
  <si>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</si>
  <si>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</si>
  <si>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</si>
  <si>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</si>
  <si>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</si>
  <si>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</si>
  <si>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</si>
  <si>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</si>
  <si>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</si>
  <si>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</si>
  <si>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</si>
  <si>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</si>
  <si>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</si>
  <si>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</si>
  <si>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</si>
  <si>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</si>
  <si>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</si>
  <si>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</si>
  <si>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</si>
  <si>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</si>
  <si>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</si>
  <si>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</si>
  <si>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</si>
  <si>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</si>
  <si>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</si>
  <si>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</si>
  <si>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</si>
  <si>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</si>
  <si>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</si>
  <si>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</si>
  <si>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</si>
  <si>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</si>
  <si>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</si>
  <si>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</si>
  <si>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</si>
  <si>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</si>
  <si>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</si>
  <si>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</si>
  <si>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</si>
  <si>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</si>
  <si>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</si>
  <si>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</si>
  <si>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</si>
  <si>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</si>
  <si>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</si>
  <si>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</si>
  <si>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</si>
  <si>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</si>
  <si>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</si>
  <si>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</si>
  <si>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</si>
  <si>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</si>
  <si>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</si>
  <si>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</si>
  <si>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</si>
  <si>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</si>
  <si>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</si>
  <si>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</si>
  <si>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</si>
  <si>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</si>
  <si>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</si>
  <si>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</si>
  <si>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</si>
  <si>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</si>
  <si>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</si>
  <si>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</si>
  <si>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</si>
  <si>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</si>
  <si>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</si>
  <si>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</si>
  <si>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</si>
  <si>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</si>
  <si>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</si>
  <si>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</si>
  <si>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</si>
  <si>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</si>
  <si>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</si>
  <si>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</si>
  <si>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</si>
  <si>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</si>
  <si>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</si>
  <si>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</si>
  <si>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</si>
  <si>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</si>
  <si>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</si>
  <si>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</si>
  <si>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</si>
  <si>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</si>
  <si>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</si>
  <si>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</si>
  <si>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</si>
  <si>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</si>
  <si>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</si>
  <si>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</si>
  <si>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</si>
  <si>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</si>
  <si>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</si>
  <si>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</si>
  <si>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</si>
  <si>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</si>
  <si>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</si>
  <si>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</si>
  <si>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</si>
  <si>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</si>
  <si>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</si>
  <si>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</si>
  <si>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</si>
  <si>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</si>
  <si>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</si>
  <si>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</si>
  <si>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</si>
  <si>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</si>
  <si>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</si>
  <si>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</si>
  <si>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</si>
  <si>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</si>
  <si>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</si>
  <si>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</si>
  <si>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</si>
  <si>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</si>
  <si>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</si>
  <si>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</si>
  <si>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</si>
  <si>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</si>
  <si>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</si>
  <si>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</si>
  <si>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</si>
  <si>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</si>
  <si>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</si>
  <si>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</si>
  <si>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</si>
  <si>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</si>
  <si>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</si>
  <si>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</si>
  <si>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</si>
  <si>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</si>
  <si>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</si>
  <si>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</si>
  <si>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</si>
  <si>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</si>
  <si>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</si>
  <si>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</si>
  <si>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</si>
  <si>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</si>
  <si>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</si>
  <si>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</si>
  <si>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</si>
  <si>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</si>
  <si>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</si>
  <si>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</si>
  <si>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</si>
  <si>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</si>
  <si>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</si>
  <si>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</si>
  <si>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</si>
  <si>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</si>
  <si>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</si>
  <si>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</si>
  <si>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</si>
  <si>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</si>
  <si>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</si>
  <si>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</si>
  <si>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</si>
  <si>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</si>
  <si>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</si>
  <si>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</si>
  <si>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</si>
  <si>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</si>
  <si>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</si>
  <si>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</si>
  <si>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</si>
  <si>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</si>
  <si>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</si>
  <si>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</si>
  <si>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</si>
  <si>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</si>
  <si>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</si>
  <si>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</si>
  <si>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</si>
  <si>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</si>
  <si>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</si>
  <si>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</si>
  <si>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</si>
  <si>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</si>
  <si>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</si>
  <si>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</si>
  <si>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</si>
  <si>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</si>
  <si>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</si>
  <si>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</si>
  <si>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</si>
  <si>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</si>
  <si>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</si>
  <si>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</si>
  <si>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</si>
  <si>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</si>
  <si>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</si>
  <si>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</si>
  <si>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</si>
  <si>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</si>
  <si>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</si>
  <si>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</si>
  <si>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</si>
  <si>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</si>
  <si>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</si>
  <si>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</si>
  <si>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</si>
  <si>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</si>
  <si>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</si>
  <si>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</si>
  <si>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</si>
  <si>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</si>
  <si>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</si>
  <si>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</si>
  <si>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</si>
  <si>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</si>
  <si>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</si>
  <si>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</si>
  <si>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</si>
  <si>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</si>
  <si>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</si>
  <si>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</si>
  <si>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</si>
  <si>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</si>
  <si>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</si>
  <si>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</si>
  <si>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</si>
  <si>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</si>
  <si>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</si>
  <si>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</si>
  <si>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</si>
  <si>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</si>
  <si>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</si>
  <si>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</si>
  <si>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</si>
  <si>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</si>
  <si>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</si>
  <si>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</si>
  <si>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</si>
  <si>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</si>
  <si>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</si>
  <si>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</si>
  <si>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</si>
  <si>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</si>
  <si>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</si>
  <si>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</si>
  <si>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</si>
  <si>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</si>
  <si>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</si>
  <si>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</si>
  <si>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</si>
  <si>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</si>
  <si>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</si>
  <si>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</si>
  <si>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</si>
  <si>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</si>
  <si>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</si>
  <si>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</si>
  <si>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</si>
  <si>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</si>
  <si>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</si>
  <si>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</si>
  <si>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</si>
  <si>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</si>
  <si>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</si>
  <si>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</si>
  <si>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</si>
  <si>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</si>
  <si>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</si>
  <si>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</si>
  <si>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</si>
  <si>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</si>
  <si>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</si>
  <si>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</si>
  <si>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</si>
  <si>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</si>
  <si>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</si>
  <si>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</si>
  <si>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</si>
  <si>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</si>
  <si>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</si>
  <si>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</si>
  <si>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</si>
  <si>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</si>
  <si>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</si>
  <si>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</si>
  <si>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</si>
  <si>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</si>
  <si>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</si>
  <si>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</si>
  <si>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</si>
  <si>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</si>
  <si>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</si>
  <si>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</si>
  <si>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</si>
  <si>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</si>
  <si>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</si>
  <si>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</si>
  <si>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</si>
  <si>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</si>
  <si>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</si>
  <si>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</si>
  <si>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</si>
  <si>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</si>
  <si>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</si>
  <si>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</si>
  <si>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</si>
  <si>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</si>
  <si>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</si>
  <si>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</si>
  <si>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</si>
  <si>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</si>
  <si>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</si>
  <si>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</si>
  <si>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</si>
  <si>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</si>
  <si>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</si>
  <si>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</si>
  <si>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</si>
  <si>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</si>
  <si>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</si>
  <si>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</si>
  <si>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</si>
  <si>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</si>
  <si>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</si>
  <si>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</si>
  <si>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</si>
  <si>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</si>
  <si>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</si>
  <si>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</si>
  <si>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</si>
  <si>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</si>
  <si>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</si>
  <si>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</si>
  <si>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</si>
  <si>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</si>
  <si>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</si>
  <si>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</si>
  <si>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</si>
  <si>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</si>
  <si>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</si>
  <si>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</si>
  <si>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</si>
  <si>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</si>
  <si>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</si>
  <si>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</si>
  <si>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</si>
  <si>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</si>
  <si>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</si>
  <si>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</si>
  <si>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</si>
  <si>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</si>
  <si>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</si>
  <si>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</si>
  <si>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</si>
  <si>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</si>
  <si>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</si>
  <si>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</si>
  <si>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</si>
  <si>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</si>
  <si>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</si>
  <si>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</si>
  <si>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</si>
  <si>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</si>
  <si>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</si>
  <si>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</si>
  <si>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</si>
  <si>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</si>
  <si>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</si>
  <si>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</si>
  <si>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</si>
  <si>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</si>
  <si>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</si>
  <si>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</si>
  <si>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</si>
  <si>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</si>
  <si>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</si>
  <si>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</si>
  <si>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</si>
  <si>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</si>
  <si>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</si>
  <si>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</si>
  <si>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</si>
  <si>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</si>
  <si>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</si>
  <si>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</si>
  <si>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</si>
  <si>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</si>
  <si>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</si>
  <si>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</si>
  <si>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</si>
  <si>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</si>
  <si>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</si>
  <si>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</si>
  <si>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</si>
  <si>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</si>
  <si>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</si>
  <si>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</si>
  <si>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</si>
  <si>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</si>
  <si>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</si>
  <si>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</si>
  <si>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</si>
  <si>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</si>
  <si>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</si>
  <si>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</si>
  <si>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</si>
  <si>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</si>
  <si>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</si>
  <si>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</si>
  <si>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</si>
  <si>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</si>
  <si>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</si>
  <si>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</si>
  <si>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</si>
  <si>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</si>
  <si>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</si>
  <si>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</si>
  <si>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</si>
  <si>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</si>
  <si>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</si>
  <si>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</si>
  <si>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</si>
  <si>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</si>
  <si>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</si>
  <si>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</si>
  <si>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</si>
  <si>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</si>
  <si>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</si>
  <si>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</si>
  <si>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</si>
  <si>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</si>
  <si>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</si>
  <si>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</si>
  <si>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</si>
  <si>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</si>
  <si>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</si>
  <si>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</si>
  <si>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</si>
  <si>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</si>
  <si>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</si>
  <si>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</si>
  <si>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</si>
  <si>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</si>
  <si>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</si>
  <si>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</si>
  <si>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</si>
  <si>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</si>
  <si>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</si>
  <si>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</si>
  <si>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</si>
  <si>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</si>
  <si>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</si>
  <si>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</si>
  <si>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</si>
  <si>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</si>
  <si>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</si>
  <si>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</si>
  <si>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</si>
  <si>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</si>
  <si>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</si>
  <si>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</si>
  <si>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</si>
  <si>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</si>
  <si>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</si>
  <si>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</si>
  <si>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</si>
  <si>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</si>
  <si>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</si>
  <si>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</si>
  <si>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</si>
  <si>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</si>
  <si>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</si>
  <si>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</si>
  <si>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</si>
  <si>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</si>
  <si>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</si>
  <si>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</si>
  <si>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</si>
  <si>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</si>
  <si>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</si>
  <si>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</si>
  <si>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</si>
  <si>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</si>
  <si>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</si>
  <si>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</si>
  <si>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</si>
  <si>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</si>
  <si>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</si>
  <si>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</si>
  <si>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</si>
  <si>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</si>
  <si>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</si>
  <si>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</si>
  <si>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</si>
  <si>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</si>
  <si>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</si>
  <si>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</si>
  <si>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</si>
  <si>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</si>
  <si>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</si>
  <si>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</si>
  <si>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</si>
  <si>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</si>
  <si>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</si>
  <si>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</si>
  <si>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</si>
  <si>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</si>
  <si>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</si>
  <si>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</si>
  <si>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</si>
  <si>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</si>
  <si>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</si>
  <si>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</si>
  <si>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</si>
  <si>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</si>
  <si>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</si>
  <si>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</si>
  <si>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</si>
  <si>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</si>
  <si>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</si>
  <si>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</si>
  <si>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</si>
  <si>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</si>
  <si>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</si>
  <si>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</si>
  <si>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</si>
  <si>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</si>
  <si>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</si>
  <si>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</si>
  <si>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</si>
  <si>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</si>
  <si>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</si>
  <si>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</si>
  <si>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</si>
  <si>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</si>
  <si>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</si>
  <si>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</si>
  <si>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</si>
  <si>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</si>
  <si>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</si>
  <si>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</si>
  <si>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</si>
  <si>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</si>
  <si>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</si>
  <si>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</si>
  <si>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</si>
  <si>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</si>
  <si>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</si>
  <si>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</si>
  <si>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</si>
  <si>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</si>
  <si>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</si>
  <si>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</si>
  <si>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</si>
  <si>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</si>
  <si>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</si>
  <si>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</si>
  <si>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</si>
  <si>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</si>
  <si>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</si>
  <si>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</si>
  <si>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</si>
  <si>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</si>
  <si>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</si>
  <si>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</si>
  <si>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</si>
  <si>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</si>
  <si>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</si>
  <si>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</si>
  <si>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</si>
  <si>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</si>
  <si>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</si>
  <si>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</si>
  <si>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</si>
  <si>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</si>
  <si>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</si>
  <si>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</si>
  <si>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</si>
  <si>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</si>
  <si>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</si>
  <si>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</si>
  <si>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</si>
  <si>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</si>
  <si>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</si>
  <si>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</si>
  <si>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</si>
  <si>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</si>
  <si>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</si>
  <si>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</si>
  <si>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</si>
  <si>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</si>
  <si>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</si>
  <si>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</si>
  <si>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</si>
  <si>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</si>
  <si>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</si>
  <si>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</si>
  <si>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</si>
  <si>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</si>
  <si>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</si>
  <si>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</si>
  <si>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</si>
  <si>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</si>
  <si>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</si>
  <si>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</si>
  <si>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</si>
  <si>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</si>
  <si>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</si>
  <si>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</si>
  <si>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</si>
  <si>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</si>
  <si>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</si>
  <si>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</si>
  <si>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</si>
  <si>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</si>
  <si>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</si>
  <si>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</si>
  <si>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</si>
  <si>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</si>
  <si>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</si>
  <si>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</si>
  <si>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</si>
  <si>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</si>
  <si>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</si>
  <si>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</si>
  <si>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</si>
  <si>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</si>
  <si>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</si>
  <si>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</si>
  <si>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</si>
  <si>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</si>
  <si>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</si>
  <si>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</si>
  <si>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</si>
  <si>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</si>
  <si>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</si>
  <si>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</si>
  <si>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</si>
  <si>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</si>
  <si>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</si>
  <si>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</si>
  <si>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</si>
  <si>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</si>
  <si>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</si>
  <si>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</si>
  <si>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</si>
  <si>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</si>
  <si>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</si>
  <si>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</si>
  <si>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</si>
  <si>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</si>
  <si>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</si>
  <si>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</si>
  <si>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</si>
  <si>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</si>
  <si>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</si>
  <si>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</si>
  <si>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</si>
  <si>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</si>
  <si>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</si>
  <si>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</si>
  <si>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</si>
  <si>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</si>
  <si>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</si>
  <si>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</si>
  <si>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</si>
  <si>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</si>
  <si>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</si>
  <si>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</si>
  <si>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</si>
  <si>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</si>
  <si>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</si>
  <si>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</si>
  <si>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</si>
  <si>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</si>
  <si>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</si>
  <si>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</si>
  <si>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</si>
  <si>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</si>
  <si>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</si>
  <si>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</si>
  <si>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</si>
  <si>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</si>
  <si>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</si>
  <si>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</si>
  <si>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</si>
  <si>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</si>
  <si>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</si>
  <si>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</si>
  <si>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</si>
  <si>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</si>
  <si>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</si>
  <si>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</si>
  <si>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</si>
  <si>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</si>
  <si>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</si>
  <si>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</si>
  <si>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</si>
  <si>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</si>
  <si>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</si>
  <si>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</si>
  <si>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</si>
  <si>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</si>
  <si>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</si>
  <si>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</si>
  <si>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</si>
  <si>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</si>
  <si>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</si>
  <si>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</si>
  <si>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</si>
  <si>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</si>
  <si>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</si>
  <si>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</si>
  <si>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</si>
  <si>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</si>
  <si>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</si>
  <si>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</si>
  <si>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</si>
  <si>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</si>
  <si>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</si>
  <si>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</si>
  <si>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</si>
  <si>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</si>
  <si>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</si>
  <si>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</si>
  <si>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</si>
  <si>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</si>
  <si>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</si>
  <si>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</si>
  <si>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</si>
  <si>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</si>
  <si>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</si>
  <si>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</si>
  <si>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</si>
  <si>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</si>
  <si>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</si>
  <si>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</si>
  <si>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</si>
  <si>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</si>
  <si>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</si>
  <si>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</si>
  <si>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</si>
  <si>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</si>
  <si>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</si>
  <si>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</si>
  <si>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</si>
  <si>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</si>
  <si>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</si>
  <si>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</si>
  <si>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</si>
  <si>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</si>
  <si>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</si>
  <si>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</si>
  <si>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</si>
  <si>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</si>
  <si>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</si>
  <si>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</si>
  <si>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</si>
  <si>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</si>
  <si>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</si>
  <si>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</si>
  <si>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</si>
  <si>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</si>
  <si>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</si>
  <si>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</si>
  <si>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</si>
  <si>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</si>
  <si>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</si>
  <si>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</si>
  <si>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</si>
  <si>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</si>
  <si>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</si>
  <si>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</si>
  <si>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</si>
  <si>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</si>
  <si>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</si>
  <si>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</si>
  <si>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</si>
  <si>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</si>
  <si>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</si>
  <si>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</si>
  <si>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</si>
  <si>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</si>
  <si>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</si>
  <si>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</si>
  <si>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</si>
  <si>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</si>
  <si>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</si>
  <si>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</si>
  <si>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</si>
  <si>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</si>
  <si>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</si>
  <si>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</si>
  <si>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</si>
  <si>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</si>
  <si>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</si>
  <si>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</si>
  <si>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</si>
  <si>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</si>
  <si>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</si>
  <si>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</si>
  <si>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</si>
  <si>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</si>
  <si>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</si>
  <si>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</si>
  <si>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</si>
  <si>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</si>
  <si>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</si>
  <si>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</si>
  <si>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</si>
  <si>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</si>
  <si>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</si>
  <si>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</si>
  <si>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</si>
  <si>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</si>
  <si>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</si>
  <si>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</si>
  <si>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</si>
  <si>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</si>
  <si>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</si>
  <si>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</si>
  <si>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</si>
  <si>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</si>
  <si>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</si>
  <si>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</si>
  <si>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</si>
  <si>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</si>
  <si>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</si>
  <si>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</si>
  <si>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</si>
  <si>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</si>
  <si>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</si>
  <si>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</si>
  <si>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</si>
  <si>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</si>
  <si>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</si>
  <si>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</si>
  <si>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</si>
  <si>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</si>
  <si>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</si>
  <si>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</si>
  <si>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</si>
  <si>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</si>
  <si>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</si>
  <si>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</si>
  <si>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</si>
  <si>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</si>
  <si>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</si>
  <si>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</si>
  <si>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</si>
  <si>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</si>
  <si>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</si>
  <si>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</si>
  <si>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</si>
  <si>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</si>
  <si>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</si>
  <si>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</si>
  <si>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</si>
  <si>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</si>
  <si>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</si>
  <si>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</si>
  <si>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</si>
  <si>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</si>
  <si>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</si>
  <si>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</si>
  <si>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</si>
  <si>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</si>
  <si>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</si>
  <si>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</si>
  <si>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</si>
  <si>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</si>
  <si>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</si>
  <si>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</si>
  <si>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</si>
  <si>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</si>
  <si>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</si>
  <si>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</si>
  <si>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</si>
  <si>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</si>
  <si>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</si>
  <si>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</si>
  <si>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</si>
  <si>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</si>
  <si>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</si>
  <si>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</si>
  <si>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</si>
  <si>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</si>
  <si>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</si>
  <si>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</si>
  <si>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</si>
  <si>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</si>
  <si>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</si>
  <si>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</si>
  <si>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</si>
  <si>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</si>
  <si>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</si>
  <si>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</si>
  <si>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</si>
  <si>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</si>
  <si>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</si>
  <si>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</si>
  <si>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</si>
  <si>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</si>
  <si>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</si>
  <si>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</si>
  <si>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</si>
  <si>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</si>
  <si>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</si>
  <si>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</si>
  <si>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</si>
  <si>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</si>
  <si>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</si>
  <si>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</si>
  <si>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</si>
  <si>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</si>
  <si>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</si>
  <si>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</si>
  <si>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</si>
  <si>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</si>
  <si>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</si>
  <si>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</si>
  <si>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</si>
  <si>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</si>
  <si>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</si>
  <si>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</si>
  <si>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</si>
  <si>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</si>
  <si>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</si>
  <si>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</si>
  <si>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</si>
  <si>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</si>
  <si>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</si>
  <si>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</si>
  <si>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</si>
  <si>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</si>
  <si>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</si>
  <si>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</si>
  <si>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</si>
  <si>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</si>
  <si>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</si>
  <si>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</si>
  <si>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</si>
  <si>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</si>
  <si>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</si>
  <si>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</si>
  <si>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</si>
  <si>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</si>
  <si>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</si>
  <si>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</si>
  <si>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</si>
  <si>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</si>
  <si>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</si>
  <si>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</si>
  <si>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</si>
  <si>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</si>
  <si>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</si>
  <si>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</si>
  <si>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</si>
  <si>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</si>
  <si>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</si>
  <si>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</si>
  <si>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</si>
  <si>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</si>
  <si>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</si>
  <si>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</si>
  <si>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</si>
  <si>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</si>
  <si>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</si>
  <si>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</si>
  <si>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</si>
  <si>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</si>
  <si>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</si>
  <si>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</si>
  <si>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</si>
  <si>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</si>
  <si>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</si>
  <si>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</si>
  <si>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</si>
  <si>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</si>
  <si>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</si>
  <si>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</si>
  <si>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</si>
  <si>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</si>
  <si>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</si>
  <si>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</si>
  <si>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</si>
  <si>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</si>
  <si>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</si>
  <si>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</si>
  <si>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</si>
  <si>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</si>
  <si>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</si>
  <si>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</si>
  <si>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</si>
  <si>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</si>
  <si>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</si>
  <si>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</si>
  <si>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</si>
  <si>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</si>
  <si>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</si>
  <si>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</si>
  <si>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</si>
  <si>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</si>
  <si>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</si>
  <si>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</si>
  <si>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</si>
  <si>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</si>
  <si>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</si>
  <si>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</si>
  <si>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</si>
  <si>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</si>
  <si>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</si>
  <si>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</si>
  <si>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</si>
  <si>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</si>
  <si>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</si>
  <si>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</si>
  <si>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</si>
  <si>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</si>
  <si>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</si>
  <si>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</si>
  <si>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</si>
  <si>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</si>
  <si>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</si>
  <si>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</si>
  <si>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</si>
  <si>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</si>
  <si>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</si>
  <si>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</si>
  <si>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</si>
  <si>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</si>
  <si>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</si>
  <si>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</si>
  <si>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</si>
  <si>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</si>
  <si>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</si>
  <si>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</si>
  <si>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</si>
  <si>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</si>
  <si>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</si>
  <si>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</si>
  <si>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</si>
  <si>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</si>
  <si>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</si>
  <si>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</si>
  <si>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</si>
  <si>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</si>
  <si>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</si>
  <si>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</si>
  <si>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</si>
  <si>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</si>
  <si>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</si>
  <si>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</si>
  <si>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</si>
  <si>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</si>
  <si>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</si>
  <si>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</si>
  <si>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</si>
  <si>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</si>
  <si>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</si>
  <si>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</si>
  <si>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</si>
  <si>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</si>
  <si>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</si>
  <si>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</si>
  <si>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</si>
  <si>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</si>
  <si>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</si>
  <si>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</si>
  <si>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</si>
  <si>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</si>
  <si>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</si>
  <si>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</si>
  <si>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</si>
  <si>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</si>
  <si>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</si>
  <si>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</si>
  <si>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</si>
  <si>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</si>
  <si>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</si>
  <si>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</si>
  <si>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</si>
  <si>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</si>
  <si>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</si>
  <si>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</si>
  <si>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</si>
  <si>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</si>
  <si>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</si>
  <si>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</si>
  <si>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</si>
  <si>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</si>
  <si>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</si>
  <si>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</si>
  <si>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</si>
  <si>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</si>
  <si>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</si>
  <si>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</si>
  <si>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</si>
  <si>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</si>
  <si>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</si>
  <si>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</si>
  <si>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</si>
  <si>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</si>
  <si>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</si>
  <si>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</si>
  <si>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</si>
  <si>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</si>
  <si>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</si>
  <si>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</si>
  <si>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</si>
  <si>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</si>
  <si>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</si>
  <si>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</si>
  <si>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</si>
  <si>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</si>
  <si>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</si>
  <si>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</si>
  <si>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</si>
  <si>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</si>
  <si>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</si>
  <si>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</si>
  <si>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</si>
  <si>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</si>
  <si>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</si>
  <si>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</si>
  <si>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</si>
  <si>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</si>
  <si>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</si>
  <si>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</si>
  <si>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</si>
  <si>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</si>
  <si>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</si>
  <si>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</si>
  <si>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</si>
  <si>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</si>
  <si>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</si>
  <si>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</si>
  <si>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</si>
  <si>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</si>
  <si>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</si>
  <si>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</si>
  <si>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</si>
  <si>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</si>
  <si>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</si>
  <si>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</si>
  <si>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</si>
  <si>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</si>
  <si>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</si>
  <si>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</si>
  <si>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</si>
  <si>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</si>
  <si>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</si>
  <si>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</si>
  <si>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</si>
  <si>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</si>
  <si>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</si>
  <si>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</si>
  <si>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</si>
  <si>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</si>
  <si>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</si>
  <si>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</si>
  <si>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</si>
  <si>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</si>
  <si>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</si>
  <si>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</si>
  <si>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</si>
  <si>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</si>
  <si>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</si>
  <si>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</si>
  <si>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</si>
  <si>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</si>
  <si>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</si>
  <si>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</si>
  <si>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</si>
  <si>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</si>
  <si>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</si>
  <si>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</si>
  <si>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</si>
  <si>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</si>
  <si>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</si>
  <si>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</si>
  <si>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</si>
  <si>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</si>
  <si>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</si>
  <si>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</si>
  <si>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</si>
  <si>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</si>
  <si>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</si>
  <si>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</si>
  <si>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</si>
  <si>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</si>
  <si>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</si>
  <si>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</si>
  <si>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</si>
  <si>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</si>
  <si>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</si>
  <si>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</si>
  <si>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</si>
  <si>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</si>
  <si>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</si>
  <si>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</si>
  <si>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</si>
  <si>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</si>
  <si>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</si>
  <si>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</si>
  <si>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</si>
  <si>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</si>
  <si>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</si>
  <si>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</si>
  <si>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</si>
  <si>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</si>
  <si>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</si>
  <si>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</si>
  <si>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</si>
  <si>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</si>
  <si>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</si>
  <si>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</si>
  <si>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</si>
  <si>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</si>
  <si>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</si>
  <si>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</si>
  <si>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</si>
  <si>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</si>
  <si>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</si>
  <si>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</si>
  <si>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</si>
  <si>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</si>
  <si>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</si>
  <si>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</si>
  <si>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</si>
  <si>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</si>
  <si>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</si>
  <si>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</si>
  <si>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</si>
  <si>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</si>
  <si>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</si>
  <si>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</si>
  <si>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</si>
  <si>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</si>
  <si>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</si>
  <si>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</si>
  <si>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</si>
  <si>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</si>
  <si>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</si>
  <si>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</si>
  <si>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</si>
  <si>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</si>
  <si>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</si>
  <si>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</si>
  <si>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</si>
  <si>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</si>
  <si>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</si>
  <si>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</si>
  <si>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</si>
  <si>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</si>
  <si>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</si>
  <si>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</si>
  <si>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</si>
  <si>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</si>
  <si>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</si>
  <si>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</si>
  <si>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</si>
  <si>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</si>
  <si>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</si>
  <si>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</si>
  <si>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</si>
  <si>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</si>
  <si>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</si>
  <si>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</si>
  <si>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</si>
  <si>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</si>
  <si>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</si>
  <si>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</si>
  <si>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</si>
  <si>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</si>
  <si>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</si>
  <si>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</si>
  <si>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</si>
  <si>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</si>
  <si>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</si>
  <si>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</si>
  <si>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</si>
  <si>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</si>
  <si>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</si>
  <si>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</si>
  <si>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</si>
  <si>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</si>
  <si>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</si>
  <si>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</si>
  <si>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</si>
  <si>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</si>
  <si>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</si>
  <si>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</si>
  <si>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</si>
  <si>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</si>
  <si>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</si>
  <si>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</si>
  <si>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</si>
  <si>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</si>
  <si>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</si>
  <si>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</si>
  <si>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</si>
  <si>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</si>
  <si>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</si>
  <si>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</si>
  <si>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</si>
  <si>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</si>
  <si>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</si>
  <si>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</si>
  <si>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</si>
  <si>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</si>
  <si>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</si>
  <si>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</si>
  <si>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</si>
  <si>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</si>
  <si>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</si>
  <si>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</si>
  <si>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</si>
  <si>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</si>
  <si>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</si>
  <si>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</si>
  <si>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</si>
  <si>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</si>
  <si>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</si>
  <si>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</si>
  <si>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</si>
  <si>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</si>
  <si>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</si>
  <si>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</si>
  <si>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</si>
  <si>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</si>
  <si>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</si>
  <si>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</si>
  <si>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</si>
  <si>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</si>
  <si>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</si>
  <si>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</si>
  <si>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</si>
  <si>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</si>
  <si>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</si>
  <si>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</si>
  <si>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</si>
  <si>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</si>
  <si>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</si>
  <si>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</si>
  <si>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</si>
  <si>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</si>
  <si>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</si>
  <si>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</si>
  <si>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</si>
  <si>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</si>
  <si>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</si>
  <si>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</si>
  <si>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</si>
  <si>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</si>
  <si>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</si>
  <si>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</si>
  <si>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</si>
  <si>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</si>
  <si>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</si>
  <si>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</si>
  <si>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</si>
  <si>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</si>
  <si>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</si>
  <si>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</si>
  <si>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</si>
  <si>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</si>
  <si>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</si>
  <si>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</si>
  <si>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</si>
  <si>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</si>
  <si>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</si>
  <si>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</si>
  <si>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</si>
  <si>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</si>
  <si>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</si>
  <si>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</si>
  <si>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</si>
  <si>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</si>
  <si>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</si>
  <si>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</si>
  <si>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</si>
  <si>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</si>
  <si>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</si>
  <si>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</si>
  <si>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</si>
  <si>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</si>
  <si>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</si>
  <si>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</si>
  <si>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</si>
  <si>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</si>
  <si>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</si>
  <si>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</si>
  <si>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</si>
  <si>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</si>
  <si>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</si>
  <si>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</si>
  <si>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</si>
  <si>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</si>
  <si>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</si>
  <si>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</si>
  <si>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</si>
  <si>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</si>
  <si>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</si>
  <si>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</si>
  <si>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</si>
  <si>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</si>
  <si>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</si>
  <si>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</si>
  <si>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</si>
  <si>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</si>
  <si>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</si>
  <si>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</si>
  <si>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</si>
  <si>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</si>
  <si>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</si>
  <si>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</si>
  <si>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</si>
  <si>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</si>
  <si>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</si>
  <si>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</si>
  <si>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</si>
  <si>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</si>
  <si>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</si>
  <si>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</si>
  <si>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</si>
  <si>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</si>
  <si>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</si>
  <si>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</si>
  <si>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</si>
  <si>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</si>
  <si>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</si>
  <si>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</si>
  <si>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</si>
  <si>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</si>
  <si>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</si>
  <si>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</si>
  <si>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</si>
  <si>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</si>
  <si>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</si>
  <si>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</si>
  <si>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</si>
  <si>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</si>
  <si>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</si>
  <si>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</si>
  <si>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</si>
  <si>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</si>
  <si>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</si>
  <si>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</si>
  <si>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</si>
  <si>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</si>
  <si>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</si>
  <si>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</si>
  <si>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</si>
  <si>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</si>
  <si>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</si>
  <si>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</si>
  <si>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</si>
  <si>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</si>
  <si>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</si>
  <si>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</si>
  <si>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</si>
  <si>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</si>
  <si>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</si>
  <si>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</si>
  <si>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</si>
  <si>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</si>
  <si>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</si>
  <si>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</si>
  <si>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</si>
  <si>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</si>
  <si>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</si>
  <si>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</si>
  <si>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</si>
  <si>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</si>
  <si>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</si>
  <si>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</si>
  <si>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</si>
  <si>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</si>
  <si>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</si>
  <si>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</si>
  <si>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</si>
  <si>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</si>
  <si>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</si>
  <si>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</si>
  <si>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</si>
  <si>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</si>
  <si>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</si>
  <si>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</si>
  <si>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</si>
  <si>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</si>
  <si>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</si>
  <si>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</si>
  <si>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</si>
  <si>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</si>
  <si>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</si>
  <si>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</si>
  <si>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</si>
  <si>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</si>
  <si>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</si>
  <si>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</si>
  <si>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</si>
  <si>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</si>
  <si>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</si>
  <si>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</si>
  <si>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</si>
  <si>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</si>
  <si>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</si>
  <si>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</si>
  <si>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</si>
  <si>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</si>
  <si>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</si>
  <si>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</si>
  <si>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</si>
  <si>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</si>
  <si>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</si>
  <si>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</si>
  <si>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</si>
  <si>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</si>
  <si>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</si>
  <si>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</si>
  <si>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</si>
  <si>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</si>
  <si>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</si>
  <si>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</si>
  <si>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</si>
  <si>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</si>
  <si>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</si>
  <si>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</si>
  <si>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</si>
  <si>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</si>
  <si>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</si>
  <si>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</si>
  <si>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</si>
  <si>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</si>
  <si>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</si>
  <si>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</si>
  <si>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</si>
  <si>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</si>
  <si>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</si>
  <si>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</si>
  <si>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</si>
  <si>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</si>
  <si>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</si>
  <si>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</si>
  <si>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</si>
  <si>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</si>
  <si>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</si>
  <si>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</si>
  <si>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</si>
  <si>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</si>
  <si>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</si>
  <si>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</si>
  <si>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</si>
  <si>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</si>
  <si>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</si>
  <si>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</si>
  <si>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</si>
  <si>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</si>
  <si>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</si>
  <si>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</si>
  <si>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</si>
  <si>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</si>
  <si>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</si>
  <si>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</si>
  <si>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</si>
  <si>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</si>
  <si>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</si>
  <si>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</si>
  <si>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</si>
  <si>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</si>
  <si>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</si>
  <si>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</si>
  <si>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</si>
  <si>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</si>
  <si>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</si>
  <si>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</si>
  <si>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</si>
  <si>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</si>
  <si>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</si>
  <si>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</si>
  <si>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</si>
  <si>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</si>
  <si>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</si>
  <si>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</si>
  <si>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</si>
  <si>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</si>
  <si>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</si>
  <si>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</si>
  <si>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</si>
  <si>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</si>
  <si>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</si>
  <si>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</si>
  <si>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</si>
  <si>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</si>
  <si>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</si>
  <si>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</si>
  <si>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</si>
  <si>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</si>
  <si>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</si>
  <si>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</si>
  <si>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</si>
  <si>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</si>
  <si>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</si>
  <si>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</si>
  <si>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</si>
  <si>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</si>
  <si>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</si>
  <si>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</si>
  <si>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</si>
  <si>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</si>
  <si>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</si>
  <si>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</si>
  <si>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</si>
  <si>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</si>
  <si>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</si>
  <si>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</si>
  <si>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</si>
  <si>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</si>
  <si>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</si>
  <si>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</si>
  <si>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</si>
  <si>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</si>
  <si>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</si>
  <si>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</si>
  <si>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</si>
  <si>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</si>
  <si>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</si>
  <si>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</si>
  <si>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</si>
  <si>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</si>
  <si>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</si>
  <si>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</si>
  <si>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</si>
  <si>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</si>
  <si>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</si>
  <si>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</si>
  <si>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</si>
  <si>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</si>
  <si>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</si>
  <si>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</si>
  <si>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</si>
  <si>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</si>
  <si>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</si>
  <si>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</si>
  <si>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</si>
  <si>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</si>
  <si>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</si>
  <si>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</si>
  <si>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</si>
  <si>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</si>
  <si>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</si>
  <si>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</si>
  <si>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</si>
  <si>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</si>
  <si>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</si>
  <si>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</si>
  <si>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</si>
  <si>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</si>
  <si>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</si>
  <si>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</si>
  <si>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</si>
  <si>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</si>
  <si>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</si>
  <si>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</si>
  <si>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</si>
  <si>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</si>
  <si>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</si>
  <si>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</si>
  <si>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</si>
  <si>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</si>
  <si>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</si>
  <si>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</si>
  <si>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</si>
  <si>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</si>
  <si>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</si>
  <si>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</si>
  <si>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</si>
  <si>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</si>
  <si>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</si>
  <si>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</si>
  <si>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</si>
  <si>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</si>
  <si>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</si>
  <si>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</si>
  <si>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</si>
  <si>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</si>
  <si>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</si>
  <si>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</si>
  <si>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</si>
  <si>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</si>
  <si>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</si>
  <si>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</si>
  <si>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</si>
  <si>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</si>
  <si>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</si>
  <si>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</si>
  <si>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</si>
  <si>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</si>
  <si>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</si>
  <si>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</si>
  <si>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</si>
  <si>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</si>
  <si>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</si>
  <si>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</si>
  <si>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</si>
  <si>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</si>
  <si>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</si>
  <si>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</si>
  <si>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</si>
  <si>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</si>
  <si>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</si>
  <si>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</si>
  <si>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</si>
  <si>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</si>
  <si>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</si>
  <si>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</si>
  <si>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</si>
  <si>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</si>
  <si>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</si>
  <si>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</si>
  <si>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</si>
  <si>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</si>
  <si>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</si>
  <si>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</si>
  <si>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</si>
  <si>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</si>
  <si>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</si>
  <si>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</si>
  <si>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</si>
  <si>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</si>
  <si>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</si>
  <si>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</si>
  <si>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</si>
  <si>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</si>
  <si>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</si>
  <si>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</si>
  <si>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</si>
  <si>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</si>
  <si>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</si>
  <si>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</si>
  <si>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</si>
  <si>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</si>
  <si>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</si>
  <si>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</si>
  <si>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</si>
  <si>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</si>
  <si>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</si>
  <si>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</si>
  <si>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</si>
  <si>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</si>
  <si>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</si>
  <si>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</si>
  <si>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</si>
  <si>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</si>
  <si>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</si>
  <si>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</si>
  <si>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</si>
  <si>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</si>
  <si>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</si>
  <si>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</si>
  <si>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</si>
  <si>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</si>
  <si>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</si>
  <si>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</si>
  <si>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</si>
  <si>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</si>
  <si>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</si>
  <si>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</si>
  <si>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</si>
  <si>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</si>
  <si>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</si>
  <si>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</si>
  <si>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</si>
  <si>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</si>
  <si>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</si>
  <si>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</si>
  <si>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</si>
  <si>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</si>
  <si>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</si>
  <si>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</si>
  <si>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</si>
  <si>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</si>
  <si>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</si>
  <si>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</si>
  <si>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</si>
  <si>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</si>
  <si>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</si>
  <si>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</si>
  <si>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</si>
  <si>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</si>
  <si>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</si>
  <si>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</si>
  <si>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</si>
  <si>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</si>
  <si>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</si>
  <si>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</si>
  <si>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</si>
  <si>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</si>
  <si>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</si>
  <si>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</si>
  <si>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</si>
  <si>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</si>
  <si>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</si>
  <si>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</si>
  <si>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</si>
  <si>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</si>
  <si>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</si>
  <si>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</si>
  <si>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</si>
  <si>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</si>
  <si>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</si>
  <si>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</si>
  <si>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</si>
  <si>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</si>
  <si>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</si>
  <si>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</si>
  <si>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</si>
  <si>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</si>
  <si>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</si>
  <si>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</si>
  <si>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</si>
  <si>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</si>
  <si>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</si>
  <si>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</si>
  <si>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</si>
  <si>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</si>
  <si>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</si>
  <si>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</si>
  <si>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</si>
  <si>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</si>
  <si>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</si>
  <si>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</si>
  <si>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</si>
  <si>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</si>
  <si>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</si>
  <si>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</si>
  <si>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</si>
  <si>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</si>
  <si>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</si>
  <si>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</si>
  <si>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</si>
  <si>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</si>
  <si>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</si>
  <si>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</si>
  <si>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</si>
  <si>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</si>
  <si>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</si>
  <si>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</si>
  <si>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</si>
  <si>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</si>
  <si>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</si>
  <si>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</si>
  <si>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</si>
  <si>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</si>
  <si>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</si>
  <si>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</si>
  <si>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</si>
  <si>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</si>
  <si>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</si>
  <si>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</si>
  <si>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</si>
  <si>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</si>
  <si>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</si>
  <si>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</si>
  <si>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</si>
  <si>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</si>
  <si>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</si>
  <si>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</si>
  <si>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</si>
  <si>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</si>
  <si>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</si>
  <si>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</si>
  <si>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</si>
  <si>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</si>
  <si>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</si>
  <si>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</si>
  <si>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</si>
  <si>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</si>
  <si>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</si>
  <si>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</si>
  <si>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</si>
  <si>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</si>
  <si>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</si>
  <si>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</si>
  <si>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</si>
  <si>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</si>
  <si>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</si>
  <si>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</si>
  <si>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</si>
  <si>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</si>
  <si>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</si>
  <si>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</si>
  <si>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</si>
  <si>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</si>
  <si>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</si>
  <si>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</si>
  <si>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</si>
  <si>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</si>
  <si>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</si>
  <si>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</si>
  <si>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</si>
  <si>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</si>
  <si>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</si>
  <si>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</si>
  <si>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</si>
  <si>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</si>
  <si>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</si>
  <si>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</si>
  <si>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</si>
  <si>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</si>
  <si>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</si>
  <si>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</si>
  <si>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</si>
  <si>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</si>
  <si>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</si>
  <si>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</si>
  <si>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</si>
  <si>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</si>
  <si>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</si>
  <si>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</si>
  <si>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</si>
  <si>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</si>
  <si>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</si>
  <si>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</si>
  <si>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</si>
  <si>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</si>
  <si>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</si>
  <si>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</si>
  <si>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</si>
  <si>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</si>
  <si>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</si>
  <si>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</si>
  <si>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</si>
  <si>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</si>
  <si>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</si>
  <si>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</si>
  <si>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</si>
  <si>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</si>
  <si>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</si>
  <si>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</si>
  <si>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</si>
  <si>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</si>
  <si>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</si>
  <si>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</si>
  <si>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</si>
  <si>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</si>
  <si>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</si>
  <si>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</si>
  <si>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</si>
  <si>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</si>
  <si>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</si>
  <si>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</si>
  <si>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</si>
  <si>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</si>
  <si>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</si>
  <si>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</si>
  <si>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</si>
  <si>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</si>
  <si>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</si>
  <si>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</si>
  <si>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</si>
  <si>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</si>
  <si>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</si>
  <si>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</si>
  <si>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</si>
  <si>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</si>
  <si>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</si>
  <si>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</si>
  <si>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</si>
  <si>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</si>
  <si>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</si>
  <si>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</si>
  <si>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</si>
  <si>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</si>
  <si>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</si>
  <si>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</si>
  <si>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</si>
  <si>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</si>
  <si>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</si>
  <si>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</si>
  <si>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</si>
  <si>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</si>
  <si>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</si>
  <si>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</si>
  <si>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</si>
  <si>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</si>
  <si>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</si>
  <si>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</si>
  <si>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</si>
  <si>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</si>
  <si>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</si>
  <si>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</si>
  <si>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</si>
  <si>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</si>
  <si>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</si>
  <si>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</si>
  <si>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</si>
  <si>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</si>
  <si>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</si>
  <si>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</si>
  <si>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</si>
  <si>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</si>
  <si>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</si>
  <si>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</si>
  <si>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</si>
  <si>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</si>
  <si>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</si>
  <si>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</si>
  <si>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</si>
  <si>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</si>
  <si>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</si>
  <si>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</si>
  <si>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</si>
  <si>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</si>
  <si>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</si>
  <si>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</si>
  <si>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</si>
  <si>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</si>
  <si>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</si>
  <si>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</si>
  <si>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</si>
  <si>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</si>
  <si>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</si>
  <si>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</si>
  <si>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</si>
  <si>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</si>
  <si>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</si>
  <si>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</si>
  <si>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</si>
  <si>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</si>
  <si>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</si>
  <si>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</si>
  <si>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</si>
  <si>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</si>
  <si>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</si>
  <si>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</si>
  <si>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</si>
  <si>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</si>
  <si>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</si>
  <si>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</si>
  <si>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</si>
  <si>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</si>
  <si>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</si>
  <si>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</si>
  <si>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</si>
  <si>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</si>
  <si>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</si>
  <si>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</si>
  <si>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</si>
  <si>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</si>
  <si>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</si>
  <si>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</si>
  <si>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</si>
  <si>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</si>
  <si>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</si>
  <si>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</si>
  <si>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</si>
  <si>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</si>
  <si>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</si>
  <si>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</si>
  <si>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</si>
  <si>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</si>
  <si>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</si>
  <si>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</si>
  <si>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</si>
  <si>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</si>
  <si>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</si>
  <si>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</si>
  <si>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</si>
  <si>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</si>
  <si>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</si>
  <si>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</si>
  <si>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</si>
  <si>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</si>
  <si>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</si>
  <si>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</si>
  <si>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</si>
  <si>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</si>
  <si>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</si>
  <si>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</si>
  <si>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</si>
  <si>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</si>
  <si>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</si>
  <si>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</si>
  <si>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</si>
  <si>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</si>
  <si>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</si>
  <si>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</si>
  <si>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</si>
  <si>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</si>
  <si>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</si>
  <si>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</si>
  <si>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</si>
  <si>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</si>
  <si>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</si>
  <si>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</si>
  <si>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</si>
  <si>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</si>
  <si>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</si>
  <si>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</si>
  <si>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</si>
  <si>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</si>
  <si>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</si>
  <si>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</si>
  <si>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</si>
  <si>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</si>
  <si>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</si>
  <si>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</si>
  <si>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</si>
  <si>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</si>
  <si>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</si>
  <si>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</si>
  <si>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</si>
  <si>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</si>
  <si>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</si>
  <si>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</si>
  <si>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</si>
  <si>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</si>
  <si>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</si>
  <si>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</si>
  <si>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</si>
  <si>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</si>
  <si>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</si>
  <si>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</si>
  <si>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</si>
  <si>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</si>
  <si>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</si>
  <si>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</si>
  <si>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</si>
  <si>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</si>
  <si>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</si>
  <si>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</si>
  <si>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</si>
  <si>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</si>
  <si>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</si>
  <si>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</si>
  <si>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</si>
  <si>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</si>
  <si>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</si>
  <si>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</si>
  <si>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</si>
  <si>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</si>
  <si>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</si>
  <si>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</si>
  <si>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</si>
  <si>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</si>
  <si>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</si>
  <si>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</si>
  <si>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</si>
  <si>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</si>
  <si>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</si>
  <si>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</si>
  <si>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</si>
  <si>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</si>
  <si>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</si>
  <si>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</si>
  <si>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</si>
  <si>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</si>
  <si>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</si>
  <si>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</si>
  <si>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</si>
  <si>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</si>
  <si>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</si>
  <si>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</si>
  <si>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</si>
  <si>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</si>
  <si>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</si>
  <si>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</si>
  <si>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</si>
  <si>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</si>
  <si>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</si>
  <si>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</si>
  <si>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</si>
  <si>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</si>
  <si>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</si>
  <si>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</si>
  <si>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</si>
  <si>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</si>
  <si>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</si>
  <si>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</si>
  <si>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</si>
  <si>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</si>
  <si>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</si>
  <si>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</si>
  <si>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</si>
  <si>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</si>
  <si>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</si>
  <si>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</si>
  <si>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</si>
  <si>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</si>
  <si>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</si>
  <si>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</si>
  <si>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</si>
  <si>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</si>
  <si>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</si>
  <si>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</si>
  <si>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</si>
  <si>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</si>
  <si>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</si>
  <si>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</si>
  <si>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</si>
  <si>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</si>
  <si>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</si>
  <si>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</si>
  <si>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</si>
  <si>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</si>
  <si>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</si>
  <si>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</si>
  <si>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</si>
  <si>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</si>
  <si>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</si>
  <si>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</si>
  <si>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</si>
  <si>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</si>
  <si>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</si>
  <si>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</si>
  <si>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</si>
  <si>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</si>
  <si>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</si>
  <si>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</si>
  <si>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</si>
  <si>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</si>
  <si>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</si>
  <si>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</si>
  <si>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</si>
  <si>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</si>
  <si>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</si>
  <si>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</si>
  <si>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</si>
  <si>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</si>
  <si>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</si>
  <si>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</si>
  <si>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</si>
  <si>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</si>
  <si>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</si>
  <si>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</si>
  <si>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</si>
  <si>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</si>
  <si>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</si>
  <si>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</si>
  <si>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</si>
  <si>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</si>
  <si>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</si>
  <si>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</si>
  <si>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</si>
  <si>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</si>
  <si>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</si>
  <si>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</si>
  <si>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</si>
  <si>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</si>
  <si>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</si>
  <si>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</si>
  <si>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</si>
  <si>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</si>
  <si>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</si>
  <si>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</si>
  <si>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</si>
  <si>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</si>
  <si>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</si>
  <si>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</si>
  <si>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</si>
  <si>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</si>
  <si>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</si>
  <si>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</si>
  <si>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</si>
  <si>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</si>
  <si>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</si>
  <si>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</si>
  <si>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</si>
  <si>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</si>
  <si>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</si>
  <si>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</si>
  <si>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</si>
  <si>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</si>
  <si>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</si>
  <si>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</si>
  <si>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</si>
  <si>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</si>
  <si>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</si>
  <si>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</si>
  <si>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</si>
  <si>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</si>
  <si>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</si>
  <si>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</si>
  <si>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</si>
  <si>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</si>
  <si>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</si>
  <si>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</si>
  <si>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</si>
  <si>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</si>
  <si>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</si>
  <si>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</si>
  <si>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</si>
  <si>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</si>
  <si>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</si>
  <si>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</si>
  <si>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</si>
  <si>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</si>
  <si>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</si>
  <si>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</si>
  <si>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</si>
  <si>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</si>
  <si>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</si>
  <si>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</si>
  <si>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</si>
  <si>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</si>
  <si>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</si>
  <si>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</si>
  <si>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</si>
  <si>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</si>
  <si>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</si>
  <si>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</si>
  <si>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</si>
  <si>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</si>
  <si>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</si>
  <si>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</si>
  <si>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</si>
  <si>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</si>
  <si>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</si>
  <si>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</si>
  <si>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</si>
  <si>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</si>
  <si>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</si>
  <si>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</si>
  <si>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</si>
  <si>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</si>
  <si>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</si>
  <si>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</si>
  <si>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</si>
  <si>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</si>
  <si>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</si>
  <si>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</si>
  <si>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</si>
  <si>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</si>
  <si>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</si>
  <si>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</si>
  <si>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</si>
  <si>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</si>
  <si>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</si>
  <si>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</si>
  <si>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</si>
  <si>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</si>
  <si>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</si>
  <si>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</si>
  <si>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</si>
  <si>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</si>
  <si>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</si>
  <si>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</si>
  <si>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</si>
  <si>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</si>
  <si>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</si>
  <si>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</si>
  <si>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</si>
  <si>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</si>
  <si>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</si>
  <si>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</si>
  <si>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</si>
  <si>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</si>
  <si>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</si>
  <si>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</si>
  <si>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</si>
  <si>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</si>
  <si>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</si>
  <si>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</si>
  <si>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</si>
  <si>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</si>
  <si>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</si>
  <si>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</si>
  <si>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</si>
  <si>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</si>
  <si>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</si>
  <si>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</si>
  <si>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</si>
  <si>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</si>
  <si>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</si>
  <si>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</si>
  <si>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</si>
  <si>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</si>
  <si>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</si>
  <si>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</si>
  <si>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</si>
  <si>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</si>
  <si>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</si>
  <si>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</si>
  <si>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</si>
  <si>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</si>
  <si>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</si>
  <si>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</si>
  <si>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</si>
  <si>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</si>
  <si>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</si>
  <si>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</si>
  <si>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</si>
  <si>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</si>
  <si>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</si>
  <si>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</si>
  <si>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</si>
  <si>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</si>
  <si>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</si>
  <si>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</si>
  <si>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</si>
  <si>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</si>
  <si>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</si>
  <si>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</si>
  <si>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</si>
  <si>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</si>
  <si>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</si>
  <si>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</si>
  <si>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</si>
  <si>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</si>
  <si>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</si>
  <si>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</si>
  <si>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</si>
  <si>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</si>
  <si>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</si>
  <si>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</si>
  <si>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</si>
  <si>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</si>
  <si>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</si>
  <si>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</si>
  <si>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</si>
  <si>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</si>
  <si>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</si>
  <si>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</si>
  <si>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</si>
  <si>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</si>
  <si>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</si>
  <si>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</si>
  <si>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</si>
  <si>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</si>
  <si>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</si>
  <si>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</si>
  <si>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</si>
  <si>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</si>
  <si>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</si>
  <si>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</si>
  <si>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</si>
  <si>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</si>
  <si>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</si>
  <si>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</si>
  <si>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</si>
  <si>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</si>
  <si>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</si>
  <si>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</si>
  <si>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</si>
  <si>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</si>
  <si>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</si>
  <si>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</si>
  <si>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</si>
  <si>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</si>
  <si>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</si>
  <si>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</si>
  <si>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</si>
  <si>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</si>
  <si>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</si>
  <si>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</si>
  <si>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</si>
  <si>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</si>
  <si>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</si>
  <si>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</si>
  <si>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</si>
  <si>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</si>
  <si>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</si>
  <si>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</si>
  <si>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</si>
  <si>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</si>
  <si>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</si>
  <si>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</si>
  <si>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</si>
  <si>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</si>
  <si>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</si>
  <si>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</si>
  <si>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</si>
  <si>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</si>
  <si>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</si>
  <si>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</si>
  <si>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</si>
  <si>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</si>
  <si>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</si>
  <si>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</si>
  <si>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</si>
  <si>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</si>
  <si>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</si>
  <si>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</si>
  <si>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</si>
  <si>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</si>
  <si>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</si>
  <si>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</si>
  <si>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</si>
  <si>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</si>
  <si>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</si>
  <si>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</si>
  <si>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</si>
  <si>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</si>
  <si>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</si>
  <si>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</si>
  <si>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</si>
  <si>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</si>
  <si>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</si>
  <si>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</si>
  <si>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</si>
  <si>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</si>
  <si>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</si>
  <si>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</si>
  <si>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</si>
  <si>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</si>
  <si>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</si>
  <si>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</si>
  <si>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</si>
  <si>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</si>
  <si>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</si>
  <si>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</si>
  <si>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</si>
  <si>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</si>
  <si>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</si>
  <si>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</si>
  <si>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</si>
  <si>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</si>
  <si>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</si>
  <si>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</si>
  <si>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</si>
  <si>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</si>
  <si>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</si>
  <si>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</si>
  <si>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</si>
  <si>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</si>
  <si>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</si>
  <si>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</si>
  <si>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</si>
  <si>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</si>
  <si>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</si>
  <si>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</si>
  <si>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</si>
  <si>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</si>
  <si>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</si>
  <si>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</si>
  <si>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</si>
  <si>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</si>
  <si>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</si>
  <si>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</si>
  <si>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</si>
  <si>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</si>
  <si>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</si>
  <si>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</si>
  <si>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</si>
  <si>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</si>
  <si>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</si>
  <si>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</si>
  <si>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</si>
  <si>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</si>
  <si>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</si>
  <si>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</si>
  <si>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</si>
  <si>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</si>
  <si>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</si>
  <si>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</si>
  <si>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</si>
  <si>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</si>
  <si>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</si>
  <si>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</si>
  <si>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</si>
  <si>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</si>
  <si>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</si>
  <si>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</si>
  <si>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</si>
  <si>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</si>
  <si>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</si>
  <si>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</si>
  <si>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</si>
  <si>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</si>
  <si>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</si>
  <si>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</si>
  <si>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</si>
  <si>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</si>
  <si>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</si>
  <si>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</si>
  <si>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</si>
  <si>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</si>
  <si>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</si>
  <si>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</si>
  <si>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</si>
  <si>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</si>
  <si>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</si>
  <si>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</si>
  <si>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</si>
  <si>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</si>
  <si>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</si>
  <si>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</si>
  <si>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</si>
  <si>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</si>
  <si>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</si>
  <si>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</si>
  <si>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</si>
  <si>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</si>
  <si>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</si>
  <si>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</si>
  <si>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</si>
  <si>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</si>
  <si>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</si>
  <si>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</si>
  <si>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</si>
  <si>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</si>
  <si>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</si>
  <si>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</si>
  <si>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</si>
  <si>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</si>
  <si>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</si>
  <si>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</si>
  <si>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</si>
  <si>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</si>
  <si>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</si>
  <si>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</si>
  <si>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</si>
  <si>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</si>
  <si>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</si>
  <si>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</si>
  <si>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</si>
  <si>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</si>
  <si>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</si>
  <si>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</si>
  <si>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</si>
  <si>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</si>
  <si>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</si>
  <si>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</si>
  <si>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</si>
  <si>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</si>
  <si>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</si>
  <si>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</si>
  <si>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</si>
  <si>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</si>
  <si>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</si>
  <si>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</si>
  <si>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</si>
  <si>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</si>
  <si>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</si>
  <si>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</si>
  <si>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</si>
  <si>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</si>
  <si>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</si>
  <si>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</si>
  <si>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</si>
  <si>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</si>
  <si>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</si>
  <si>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</si>
  <si>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</si>
  <si>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</si>
  <si>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</si>
  <si>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</si>
  <si>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</si>
  <si>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</si>
  <si>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</si>
  <si>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</si>
  <si>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</si>
  <si>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</si>
  <si>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</si>
  <si>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</si>
  <si>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</si>
  <si>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</si>
  <si>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</si>
  <si>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</si>
  <si>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</si>
  <si>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</si>
  <si>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</si>
  <si>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</si>
  <si>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</si>
  <si>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</si>
  <si>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</si>
  <si>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</si>
  <si>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</si>
  <si>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</si>
  <si>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</si>
  <si>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</si>
  <si>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</si>
  <si>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</si>
  <si>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</si>
  <si>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</si>
  <si>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</si>
  <si>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</si>
  <si>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</si>
  <si>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</si>
  <si>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</si>
  <si>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</si>
  <si>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</si>
  <si>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</si>
  <si>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</si>
  <si>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</si>
  <si>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</si>
  <si>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</si>
  <si>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</si>
  <si>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</si>
  <si>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</si>
  <si>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</si>
  <si>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</si>
  <si>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</si>
  <si>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</si>
  <si>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</si>
  <si>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</si>
  <si>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</si>
  <si>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</si>
  <si>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</si>
  <si>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</si>
  <si>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</si>
  <si>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</si>
  <si>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</si>
  <si>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</si>
  <si>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</si>
  <si>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</si>
  <si>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</si>
  <si>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</si>
  <si>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</si>
  <si>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</si>
  <si>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</si>
  <si>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</si>
  <si>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</si>
  <si>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</si>
  <si>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</si>
  <si>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</si>
  <si>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</si>
  <si>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</si>
  <si>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</si>
  <si>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</si>
  <si>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</si>
  <si>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</si>
  <si>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</si>
  <si>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</si>
  <si>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</si>
  <si>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</si>
  <si>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</si>
  <si>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</si>
  <si>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</si>
  <si>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</si>
  <si>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</si>
  <si>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</si>
  <si>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</si>
  <si>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</si>
  <si>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</si>
  <si>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</si>
  <si>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</si>
  <si>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</si>
  <si>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</si>
  <si>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</si>
  <si>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</si>
  <si>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</si>
  <si>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</si>
  <si>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</si>
  <si>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</si>
  <si>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</si>
  <si>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</si>
  <si>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</si>
  <si>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</si>
  <si>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</si>
  <si>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</si>
  <si>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</si>
  <si>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</si>
  <si>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</si>
  <si>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</si>
  <si>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</si>
  <si>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</si>
  <si>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</si>
  <si>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</si>
  <si>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</si>
  <si>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</si>
  <si>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</si>
  <si>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</si>
  <si>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</si>
  <si>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</si>
  <si>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</si>
  <si>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</si>
  <si>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</si>
  <si>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</si>
  <si>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</si>
  <si>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</si>
  <si>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</si>
  <si>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</si>
  <si>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</si>
  <si>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</si>
  <si>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</si>
  <si>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</si>
  <si>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</si>
  <si>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</si>
  <si>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</si>
  <si>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</si>
  <si>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</si>
  <si>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</si>
  <si>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</si>
  <si>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</si>
  <si>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</si>
  <si>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</si>
  <si>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</si>
  <si>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</si>
  <si>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</si>
  <si>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</si>
  <si>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</si>
  <si>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</si>
  <si>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</si>
  <si>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</si>
  <si>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</si>
  <si>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</si>
  <si>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</si>
  <si>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</si>
  <si>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</si>
  <si>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</si>
  <si>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</si>
  <si>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</si>
  <si>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</si>
  <si>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</si>
  <si>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</si>
  <si>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</si>
  <si>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</si>
  <si>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</si>
  <si>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</si>
  <si>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</si>
  <si>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</si>
  <si>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</si>
  <si>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</si>
  <si>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</si>
  <si>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</si>
  <si>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</si>
  <si>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</si>
  <si>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</si>
  <si>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</si>
  <si>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</si>
  <si>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</si>
  <si>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</si>
  <si>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</si>
  <si>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</si>
  <si>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</si>
  <si>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</si>
  <si>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</si>
  <si>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</si>
  <si>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</si>
  <si>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</si>
  <si>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</si>
  <si>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</si>
  <si>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</si>
  <si>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</si>
  <si>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</si>
  <si>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</si>
  <si>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</si>
  <si>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</si>
  <si>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</si>
  <si>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</si>
  <si>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</si>
  <si>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</si>
  <si>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</si>
  <si>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</si>
  <si>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</si>
  <si>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</si>
  <si>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</si>
  <si>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</si>
  <si>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</si>
  <si>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</si>
  <si>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</si>
  <si>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</si>
  <si>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</si>
  <si>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</si>
  <si>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</si>
  <si>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</si>
  <si>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</si>
  <si>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</si>
  <si>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</si>
  <si>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</si>
  <si>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</si>
  <si>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</si>
  <si>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</si>
  <si>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</si>
  <si>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</si>
  <si>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</si>
  <si>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</si>
  <si>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</si>
  <si>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</si>
  <si>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</si>
  <si>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</si>
  <si>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</si>
  <si>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</si>
  <si>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</si>
  <si>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</si>
  <si>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</si>
  <si>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</si>
  <si>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</si>
  <si>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</si>
  <si>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</si>
  <si>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</si>
  <si>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</si>
  <si>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</si>
  <si>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</si>
  <si>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</si>
  <si>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</si>
  <si>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</si>
  <si>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</si>
  <si>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</si>
  <si>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</si>
  <si>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</si>
  <si>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</si>
  <si>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</si>
  <si>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</si>
  <si>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</si>
  <si>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</si>
  <si>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</si>
  <si>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</si>
  <si>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</si>
  <si>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</si>
  <si>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</si>
  <si>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</si>
  <si>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</si>
  <si>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</si>
  <si>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</si>
  <si>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</si>
  <si>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</si>
  <si>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</si>
  <si>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</si>
  <si>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</si>
  <si>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</si>
  <si>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</si>
  <si>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</si>
  <si>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</si>
  <si>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</si>
  <si>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</si>
  <si>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</si>
  <si>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</si>
  <si>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</si>
  <si>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</si>
  <si>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</si>
  <si>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</si>
  <si>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</si>
  <si>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</si>
  <si>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</si>
  <si>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</si>
  <si>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</si>
  <si>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</si>
  <si>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</si>
  <si>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</si>
  <si>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</si>
  <si>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</si>
  <si>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</si>
  <si>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</si>
  <si>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</si>
  <si>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</si>
  <si>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</si>
  <si>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</si>
  <si>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</si>
  <si>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</si>
  <si>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</si>
  <si>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</si>
  <si>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</si>
  <si>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</si>
  <si>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</si>
  <si>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</si>
  <si>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</si>
  <si>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</si>
  <si>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</si>
  <si>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</si>
  <si>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</si>
  <si>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</si>
  <si>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</si>
  <si>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</si>
  <si>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</si>
  <si>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</si>
  <si>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</si>
  <si>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</si>
  <si>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</si>
  <si>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</si>
  <si>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</si>
  <si>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</si>
  <si>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</si>
  <si>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</si>
  <si>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</si>
  <si>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</si>
  <si>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</si>
  <si>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</si>
  <si>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</si>
  <si>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</si>
  <si>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</si>
  <si>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</si>
  <si>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</si>
  <si>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</si>
  <si>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</si>
  <si>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</si>
  <si>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</si>
  <si>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</si>
  <si>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</si>
  <si>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</si>
  <si>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</si>
  <si>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</si>
  <si>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</si>
  <si>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</si>
  <si>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</si>
  <si>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</si>
  <si>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</si>
  <si>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</si>
  <si>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</si>
  <si>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</si>
  <si>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</si>
  <si>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</si>
  <si>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</si>
  <si>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</si>
  <si>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</si>
  <si>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</si>
  <si>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</si>
  <si>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</si>
  <si>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</si>
  <si>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</si>
  <si>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</si>
  <si>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</si>
  <si>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</si>
  <si>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</si>
  <si>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</si>
  <si>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</si>
  <si>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</si>
  <si>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</si>
  <si>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</si>
  <si>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</si>
  <si>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</si>
  <si>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</si>
  <si>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</si>
  <si>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</si>
  <si>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</si>
  <si>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</si>
  <si>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</si>
  <si>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</si>
  <si>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</si>
  <si>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</si>
  <si>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</si>
  <si>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</si>
  <si>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</si>
  <si>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</si>
  <si>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</si>
  <si>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</si>
  <si>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</si>
  <si>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</si>
  <si>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</si>
  <si>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</si>
  <si>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</si>
  <si>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</si>
  <si>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</si>
  <si>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</si>
  <si>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</si>
  <si>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</si>
  <si>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</si>
  <si>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</si>
  <si>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</si>
  <si>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</si>
  <si>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</si>
  <si>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</si>
  <si>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</si>
  <si>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</si>
  <si>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</si>
  <si>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</si>
  <si>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</si>
  <si>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</si>
  <si>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</si>
  <si>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</si>
  <si>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</si>
  <si>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</si>
  <si>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</si>
  <si>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</si>
  <si>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</si>
  <si>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</si>
  <si>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</si>
  <si>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</si>
  <si>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</si>
  <si>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</si>
  <si>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</si>
  <si>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</si>
  <si>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</si>
  <si>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</si>
  <si>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</si>
  <si>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</si>
  <si>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</si>
  <si>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</si>
  <si>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</si>
  <si>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</si>
  <si>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</si>
  <si>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</si>
  <si>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</si>
  <si>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</si>
  <si>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</si>
  <si>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</si>
  <si>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</si>
  <si>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</si>
  <si>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</si>
  <si>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</si>
  <si>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</si>
  <si>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</si>
  <si>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</si>
  <si>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</si>
  <si>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</si>
  <si>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</si>
  <si>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</si>
  <si>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</si>
  <si>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</si>
  <si>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</si>
  <si>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</si>
  <si>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</si>
  <si>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</si>
  <si>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</si>
  <si>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</si>
  <si>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</si>
  <si>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</si>
  <si>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</si>
  <si>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</si>
  <si>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</si>
  <si>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</si>
  <si>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</si>
  <si>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</si>
  <si>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</si>
  <si>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</si>
  <si>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</si>
  <si>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</si>
  <si>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</si>
  <si>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</si>
  <si>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</si>
  <si>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</si>
  <si>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</si>
  <si>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</si>
  <si>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</si>
  <si>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</si>
  <si>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</si>
  <si>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</si>
  <si>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</si>
  <si>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</si>
  <si>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</si>
  <si>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</si>
  <si>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</si>
  <si>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</si>
  <si>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</si>
  <si>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</si>
  <si>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</si>
  <si>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</si>
  <si>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</si>
  <si>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</si>
  <si>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</si>
  <si>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</si>
  <si>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</si>
  <si>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</si>
  <si>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</si>
  <si>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</si>
  <si>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</si>
  <si>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</si>
  <si>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</si>
  <si>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</si>
  <si>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</si>
  <si>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</si>
  <si>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</si>
  <si>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</si>
  <si>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</si>
  <si>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</si>
  <si>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</si>
  <si>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</si>
  <si>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</si>
  <si>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</si>
  <si>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</si>
  <si>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</si>
  <si>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</si>
  <si>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</si>
  <si>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</si>
  <si>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</si>
  <si>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</si>
  <si>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</si>
  <si>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</si>
  <si>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</si>
  <si>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</si>
  <si>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</si>
  <si>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</si>
  <si>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</si>
  <si>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</si>
  <si>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</si>
  <si>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</si>
  <si>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</si>
  <si>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</si>
  <si>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</si>
  <si>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</si>
  <si>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</si>
  <si>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</si>
  <si>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</si>
  <si>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</si>
  <si>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</si>
  <si>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</si>
  <si>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</si>
  <si>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</si>
  <si>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</si>
  <si>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</si>
  <si>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</si>
  <si>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</si>
  <si>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</si>
  <si>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</si>
  <si>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</si>
  <si>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</si>
  <si>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</si>
  <si>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</si>
  <si>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</si>
  <si>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</si>
  <si>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</si>
  <si>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</si>
  <si>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</si>
  <si>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</si>
  <si>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</si>
  <si>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</si>
  <si>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</si>
  <si>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</si>
  <si>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</si>
  <si>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</si>
  <si>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</si>
  <si>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</si>
  <si>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</si>
  <si>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</si>
  <si>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</si>
  <si>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</si>
  <si>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</si>
  <si>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</si>
  <si>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</si>
  <si>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</si>
  <si>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</si>
  <si>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</si>
  <si>
    <t>Rows in duplicate groups</t>
  </si>
  <si>
    <t>Duplicate events (name + year + country)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</si>
</sst>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10"/>
    <tableColumn id="3" xr3:uid="{F5ECDA22-E707-4AC9-855C-167121959486}" uniqueName="3" name="Date" queryTableFieldId="3" dataDxfId="9"/>
    <tableColumn id="4" xr3:uid="{186036F9-01BE-41C5-87ED-F7AF8B2E548B}" uniqueName="4" name="Month" queryTableFieldId="4" dataDxfId="8"/>
    <tableColumn id="5" xr3:uid="{79F32112-DCA8-4FAC-BF2D-6DD79FC5D7B8}" uniqueName="5" name="Year" queryTableFieldId="5" dataDxfId="7"/>
    <tableColumn id="6" xr3:uid="{76D52BC4-0E4B-45BB-BF09-1392338EEA12}" uniqueName="6" name="Country" queryTableFieldId="6" dataDxfId="6"/>
    <tableColumn id="7" xr3:uid="{09C266C9-6840-4991-A94A-E68C6E0B5DCB}" uniqueName="7" name="Type of Event" queryTableFieldId="7" dataDxfId="5"/>
    <tableColumn id="8" xr3:uid="{8C9469FD-8D1E-44A7-A682-BFDB2740CD52}" uniqueName="8" name="Place Name" queryTableFieldId="8" dataDxfId="4"/>
    <tableColumn id="9" xr3:uid="{096B3148-E44C-4927-913E-D8A4862ADFBC}" uniqueName="9" name="Impact" queryTableFieldId="9" dataDxfId="3"/>
    <tableColumn id="10" xr3:uid="{2775CF84-99F7-4615-B55B-F7AEDA6FCBDF}" uniqueName="10" name="Affected Population" queryTableFieldId="10" dataDxfId="2"/>
    <tableColumn id="11" xr3:uid="{8D9CB389-6363-445B-9957-E1592E03275F}" uniqueName="11" name="Important Person/Group Responsible" queryTableFieldId="11" dataDxfId="1"/>
    <tableColumn id="12" xr3:uid="{E88233A0-FDA6-4E18-A0A0-9FF5FE0BAE14}" uniqueName="12" name="Outcom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activeCell="P21" sqref="P21"/>
    </sheetView>
  </sheetViews>
  <sheetFormatPr defaultRowHeight="14.4" x14ac:dyDescent="0.3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 x14ac:dyDescent="0.3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 x14ac:dyDescent="0.3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 x14ac:dyDescent="0.3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 x14ac:dyDescent="0.3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 x14ac:dyDescent="0.3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 x14ac:dyDescent="0.3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 x14ac:dyDescent="0.3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 x14ac:dyDescent="0.3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 x14ac:dyDescent="0.3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 x14ac:dyDescent="0.3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 x14ac:dyDescent="0.3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 x14ac:dyDescent="0.3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 x14ac:dyDescent="0.3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 x14ac:dyDescent="0.3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 x14ac:dyDescent="0.3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 x14ac:dyDescent="0.3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 x14ac:dyDescent="0.3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 x14ac:dyDescent="0.3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 x14ac:dyDescent="0.3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 x14ac:dyDescent="0.3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 x14ac:dyDescent="0.3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 x14ac:dyDescent="0.3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 x14ac:dyDescent="0.3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 x14ac:dyDescent="0.3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 x14ac:dyDescent="0.3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 x14ac:dyDescent="0.3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 x14ac:dyDescent="0.3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 x14ac:dyDescent="0.3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 x14ac:dyDescent="0.3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 x14ac:dyDescent="0.3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 x14ac:dyDescent="0.3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 x14ac:dyDescent="0.3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 x14ac:dyDescent="0.3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 x14ac:dyDescent="0.3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 x14ac:dyDescent="0.3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 x14ac:dyDescent="0.3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 x14ac:dyDescent="0.3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 x14ac:dyDescent="0.3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 x14ac:dyDescent="0.3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 x14ac:dyDescent="0.3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 x14ac:dyDescent="0.3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 x14ac:dyDescent="0.3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 x14ac:dyDescent="0.3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 x14ac:dyDescent="0.3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 x14ac:dyDescent="0.3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 x14ac:dyDescent="0.3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 x14ac:dyDescent="0.3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 x14ac:dyDescent="0.3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 x14ac:dyDescent="0.3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 x14ac:dyDescent="0.3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 x14ac:dyDescent="0.3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 x14ac:dyDescent="0.3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 x14ac:dyDescent="0.3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 x14ac:dyDescent="0.3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 x14ac:dyDescent="0.3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 x14ac:dyDescent="0.3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 x14ac:dyDescent="0.3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 x14ac:dyDescent="0.3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 x14ac:dyDescent="0.3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 x14ac:dyDescent="0.3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 x14ac:dyDescent="0.3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 x14ac:dyDescent="0.3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 x14ac:dyDescent="0.3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 x14ac:dyDescent="0.3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 x14ac:dyDescent="0.3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 x14ac:dyDescent="0.3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 x14ac:dyDescent="0.3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 x14ac:dyDescent="0.3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 x14ac:dyDescent="0.3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 x14ac:dyDescent="0.3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 x14ac:dyDescent="0.3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 x14ac:dyDescent="0.3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 x14ac:dyDescent="0.3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 x14ac:dyDescent="0.3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 x14ac:dyDescent="0.3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 x14ac:dyDescent="0.3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 x14ac:dyDescent="0.3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 x14ac:dyDescent="0.3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 x14ac:dyDescent="0.3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 x14ac:dyDescent="0.3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 x14ac:dyDescent="0.3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 x14ac:dyDescent="0.3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 x14ac:dyDescent="0.3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 x14ac:dyDescent="0.3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 x14ac:dyDescent="0.3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 x14ac:dyDescent="0.3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 x14ac:dyDescent="0.3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 x14ac:dyDescent="0.3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 x14ac:dyDescent="0.3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 x14ac:dyDescent="0.3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 x14ac:dyDescent="0.3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 x14ac:dyDescent="0.3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 x14ac:dyDescent="0.3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 x14ac:dyDescent="0.3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 x14ac:dyDescent="0.3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 x14ac:dyDescent="0.3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 x14ac:dyDescent="0.3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 x14ac:dyDescent="0.3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 x14ac:dyDescent="0.3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 x14ac:dyDescent="0.3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 x14ac:dyDescent="0.3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 x14ac:dyDescent="0.3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 x14ac:dyDescent="0.3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 x14ac:dyDescent="0.3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 x14ac:dyDescent="0.3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 x14ac:dyDescent="0.3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 x14ac:dyDescent="0.3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 x14ac:dyDescent="0.3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 x14ac:dyDescent="0.3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 x14ac:dyDescent="0.3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 x14ac:dyDescent="0.3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 x14ac:dyDescent="0.3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 x14ac:dyDescent="0.3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 x14ac:dyDescent="0.3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 x14ac:dyDescent="0.3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 x14ac:dyDescent="0.3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 x14ac:dyDescent="0.3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 x14ac:dyDescent="0.3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 x14ac:dyDescent="0.3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 x14ac:dyDescent="0.3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 x14ac:dyDescent="0.3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 x14ac:dyDescent="0.3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 x14ac:dyDescent="0.3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 x14ac:dyDescent="0.3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 x14ac:dyDescent="0.3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 x14ac:dyDescent="0.3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 x14ac:dyDescent="0.3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 x14ac:dyDescent="0.3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 x14ac:dyDescent="0.3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 x14ac:dyDescent="0.3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 x14ac:dyDescent="0.3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 x14ac:dyDescent="0.3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 x14ac:dyDescent="0.3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 x14ac:dyDescent="0.3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 x14ac:dyDescent="0.3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 x14ac:dyDescent="0.3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 x14ac:dyDescent="0.3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 x14ac:dyDescent="0.3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 x14ac:dyDescent="0.3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 x14ac:dyDescent="0.3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 x14ac:dyDescent="0.3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 x14ac:dyDescent="0.3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 x14ac:dyDescent="0.3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 x14ac:dyDescent="0.3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 x14ac:dyDescent="0.3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 x14ac:dyDescent="0.3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 x14ac:dyDescent="0.3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 x14ac:dyDescent="0.3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 x14ac:dyDescent="0.3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 x14ac:dyDescent="0.3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 x14ac:dyDescent="0.3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 x14ac:dyDescent="0.3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 x14ac:dyDescent="0.3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 x14ac:dyDescent="0.3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 x14ac:dyDescent="0.3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 x14ac:dyDescent="0.3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 x14ac:dyDescent="0.3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 x14ac:dyDescent="0.3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 x14ac:dyDescent="0.3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 x14ac:dyDescent="0.3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 x14ac:dyDescent="0.3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 x14ac:dyDescent="0.3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 x14ac:dyDescent="0.3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 x14ac:dyDescent="0.3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 x14ac:dyDescent="0.3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 x14ac:dyDescent="0.3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 x14ac:dyDescent="0.3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 x14ac:dyDescent="0.3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 x14ac:dyDescent="0.3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 x14ac:dyDescent="0.3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 x14ac:dyDescent="0.3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 x14ac:dyDescent="0.3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 x14ac:dyDescent="0.3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 x14ac:dyDescent="0.3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 x14ac:dyDescent="0.3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 x14ac:dyDescent="0.3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 x14ac:dyDescent="0.3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 x14ac:dyDescent="0.3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 x14ac:dyDescent="0.3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 x14ac:dyDescent="0.3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 x14ac:dyDescent="0.3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 x14ac:dyDescent="0.3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 x14ac:dyDescent="0.3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 x14ac:dyDescent="0.3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 x14ac:dyDescent="0.3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 x14ac:dyDescent="0.3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 x14ac:dyDescent="0.3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 x14ac:dyDescent="0.3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 x14ac:dyDescent="0.3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 x14ac:dyDescent="0.3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 x14ac:dyDescent="0.3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 x14ac:dyDescent="0.3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 x14ac:dyDescent="0.3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 x14ac:dyDescent="0.3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 x14ac:dyDescent="0.3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 x14ac:dyDescent="0.3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 x14ac:dyDescent="0.3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 x14ac:dyDescent="0.3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 x14ac:dyDescent="0.3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 x14ac:dyDescent="0.3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 x14ac:dyDescent="0.3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 x14ac:dyDescent="0.3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 x14ac:dyDescent="0.3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 x14ac:dyDescent="0.3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 x14ac:dyDescent="0.3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 x14ac:dyDescent="0.3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 x14ac:dyDescent="0.3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 x14ac:dyDescent="0.3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 x14ac:dyDescent="0.3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 x14ac:dyDescent="0.3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 x14ac:dyDescent="0.3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 x14ac:dyDescent="0.3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 x14ac:dyDescent="0.3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 x14ac:dyDescent="0.3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 x14ac:dyDescent="0.3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 x14ac:dyDescent="0.3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 x14ac:dyDescent="0.3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 x14ac:dyDescent="0.3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 x14ac:dyDescent="0.3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 x14ac:dyDescent="0.3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 x14ac:dyDescent="0.3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 x14ac:dyDescent="0.3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 x14ac:dyDescent="0.3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 x14ac:dyDescent="0.3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 x14ac:dyDescent="0.3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 x14ac:dyDescent="0.3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 x14ac:dyDescent="0.3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 x14ac:dyDescent="0.3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 x14ac:dyDescent="0.3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 x14ac:dyDescent="0.3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 x14ac:dyDescent="0.3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 x14ac:dyDescent="0.3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 x14ac:dyDescent="0.3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 x14ac:dyDescent="0.3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 x14ac:dyDescent="0.3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 x14ac:dyDescent="0.3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 x14ac:dyDescent="0.3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 x14ac:dyDescent="0.3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 x14ac:dyDescent="0.3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 x14ac:dyDescent="0.3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 x14ac:dyDescent="0.3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 x14ac:dyDescent="0.3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 x14ac:dyDescent="0.3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 x14ac:dyDescent="0.3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 x14ac:dyDescent="0.3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 x14ac:dyDescent="0.3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 x14ac:dyDescent="0.3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 x14ac:dyDescent="0.3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 x14ac:dyDescent="0.3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 x14ac:dyDescent="0.3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 x14ac:dyDescent="0.3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 x14ac:dyDescent="0.3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 x14ac:dyDescent="0.3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 x14ac:dyDescent="0.3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 x14ac:dyDescent="0.3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 x14ac:dyDescent="0.3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 x14ac:dyDescent="0.3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 x14ac:dyDescent="0.3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 x14ac:dyDescent="0.3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 x14ac:dyDescent="0.3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 x14ac:dyDescent="0.3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 x14ac:dyDescent="0.3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 x14ac:dyDescent="0.3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 x14ac:dyDescent="0.3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 x14ac:dyDescent="0.3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 x14ac:dyDescent="0.3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 x14ac:dyDescent="0.3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 x14ac:dyDescent="0.3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 x14ac:dyDescent="0.3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 x14ac:dyDescent="0.3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 x14ac:dyDescent="0.3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 x14ac:dyDescent="0.3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 x14ac:dyDescent="0.3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 x14ac:dyDescent="0.3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 x14ac:dyDescent="0.3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 x14ac:dyDescent="0.3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 x14ac:dyDescent="0.3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 x14ac:dyDescent="0.3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 x14ac:dyDescent="0.3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 x14ac:dyDescent="0.3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 x14ac:dyDescent="0.3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 x14ac:dyDescent="0.3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 x14ac:dyDescent="0.3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 x14ac:dyDescent="0.3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 x14ac:dyDescent="0.3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 x14ac:dyDescent="0.3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 x14ac:dyDescent="0.3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 x14ac:dyDescent="0.3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 x14ac:dyDescent="0.3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 x14ac:dyDescent="0.3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 x14ac:dyDescent="0.3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 x14ac:dyDescent="0.3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 x14ac:dyDescent="0.3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 x14ac:dyDescent="0.3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 x14ac:dyDescent="0.3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 x14ac:dyDescent="0.3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 x14ac:dyDescent="0.3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 x14ac:dyDescent="0.3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 x14ac:dyDescent="0.3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 x14ac:dyDescent="0.3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 x14ac:dyDescent="0.3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 x14ac:dyDescent="0.3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 x14ac:dyDescent="0.3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 x14ac:dyDescent="0.3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 x14ac:dyDescent="0.3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 x14ac:dyDescent="0.3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 x14ac:dyDescent="0.3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 x14ac:dyDescent="0.3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 x14ac:dyDescent="0.3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 x14ac:dyDescent="0.3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 x14ac:dyDescent="0.3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 x14ac:dyDescent="0.3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 x14ac:dyDescent="0.3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 x14ac:dyDescent="0.3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 x14ac:dyDescent="0.3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 x14ac:dyDescent="0.3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 x14ac:dyDescent="0.3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 x14ac:dyDescent="0.3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 x14ac:dyDescent="0.3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 x14ac:dyDescent="0.3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 x14ac:dyDescent="0.3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 x14ac:dyDescent="0.3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 x14ac:dyDescent="0.3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 x14ac:dyDescent="0.3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 x14ac:dyDescent="0.3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 x14ac:dyDescent="0.3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 x14ac:dyDescent="0.3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 x14ac:dyDescent="0.3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 x14ac:dyDescent="0.3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 x14ac:dyDescent="0.3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 x14ac:dyDescent="0.3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 x14ac:dyDescent="0.3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 x14ac:dyDescent="0.3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 x14ac:dyDescent="0.3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 x14ac:dyDescent="0.3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 x14ac:dyDescent="0.3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 x14ac:dyDescent="0.3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 x14ac:dyDescent="0.3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 x14ac:dyDescent="0.3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 x14ac:dyDescent="0.3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 x14ac:dyDescent="0.3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 x14ac:dyDescent="0.3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 x14ac:dyDescent="0.3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 x14ac:dyDescent="0.3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 x14ac:dyDescent="0.3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 x14ac:dyDescent="0.3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 x14ac:dyDescent="0.3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 x14ac:dyDescent="0.3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 x14ac:dyDescent="0.3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 x14ac:dyDescent="0.3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 x14ac:dyDescent="0.3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 x14ac:dyDescent="0.3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 x14ac:dyDescent="0.3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 x14ac:dyDescent="0.3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 x14ac:dyDescent="0.3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 x14ac:dyDescent="0.3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 x14ac:dyDescent="0.3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 x14ac:dyDescent="0.3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 x14ac:dyDescent="0.3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 x14ac:dyDescent="0.3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 x14ac:dyDescent="0.3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 x14ac:dyDescent="0.3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 x14ac:dyDescent="0.3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 x14ac:dyDescent="0.3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 x14ac:dyDescent="0.3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 x14ac:dyDescent="0.3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 x14ac:dyDescent="0.3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 x14ac:dyDescent="0.3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 x14ac:dyDescent="0.3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 x14ac:dyDescent="0.3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 x14ac:dyDescent="0.3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 x14ac:dyDescent="0.3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 x14ac:dyDescent="0.3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 x14ac:dyDescent="0.3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 x14ac:dyDescent="0.3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 x14ac:dyDescent="0.3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 x14ac:dyDescent="0.3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 x14ac:dyDescent="0.3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 x14ac:dyDescent="0.3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 x14ac:dyDescent="0.3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 x14ac:dyDescent="0.3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 x14ac:dyDescent="0.3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 x14ac:dyDescent="0.3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 x14ac:dyDescent="0.3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 x14ac:dyDescent="0.3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 x14ac:dyDescent="0.3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 x14ac:dyDescent="0.3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 x14ac:dyDescent="0.3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 x14ac:dyDescent="0.3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 x14ac:dyDescent="0.3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 x14ac:dyDescent="0.3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 x14ac:dyDescent="0.3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 x14ac:dyDescent="0.3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 x14ac:dyDescent="0.3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 x14ac:dyDescent="0.3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 x14ac:dyDescent="0.3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 x14ac:dyDescent="0.3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 x14ac:dyDescent="0.3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 x14ac:dyDescent="0.3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 x14ac:dyDescent="0.3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 x14ac:dyDescent="0.3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 x14ac:dyDescent="0.3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 x14ac:dyDescent="0.3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 x14ac:dyDescent="0.3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 x14ac:dyDescent="0.3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 x14ac:dyDescent="0.3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 x14ac:dyDescent="0.3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 x14ac:dyDescent="0.3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 x14ac:dyDescent="0.3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 x14ac:dyDescent="0.3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 x14ac:dyDescent="0.3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 x14ac:dyDescent="0.3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 x14ac:dyDescent="0.3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 x14ac:dyDescent="0.3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 x14ac:dyDescent="0.3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 x14ac:dyDescent="0.3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 x14ac:dyDescent="0.3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 x14ac:dyDescent="0.3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 x14ac:dyDescent="0.3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 x14ac:dyDescent="0.3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 x14ac:dyDescent="0.3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 x14ac:dyDescent="0.3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 x14ac:dyDescent="0.3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 x14ac:dyDescent="0.3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 x14ac:dyDescent="0.3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 x14ac:dyDescent="0.3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 x14ac:dyDescent="0.3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 x14ac:dyDescent="0.3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 x14ac:dyDescent="0.3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 x14ac:dyDescent="0.3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 x14ac:dyDescent="0.3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 x14ac:dyDescent="0.3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 x14ac:dyDescent="0.3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 x14ac:dyDescent="0.3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 x14ac:dyDescent="0.3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 x14ac:dyDescent="0.3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 x14ac:dyDescent="0.3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 x14ac:dyDescent="0.3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 x14ac:dyDescent="0.3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 x14ac:dyDescent="0.3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 x14ac:dyDescent="0.3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 x14ac:dyDescent="0.3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 x14ac:dyDescent="0.3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 x14ac:dyDescent="0.3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 x14ac:dyDescent="0.3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 x14ac:dyDescent="0.3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 x14ac:dyDescent="0.3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 x14ac:dyDescent="0.3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 x14ac:dyDescent="0.3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 x14ac:dyDescent="0.3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 x14ac:dyDescent="0.3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 x14ac:dyDescent="0.3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 x14ac:dyDescent="0.3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 x14ac:dyDescent="0.3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 x14ac:dyDescent="0.3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 x14ac:dyDescent="0.3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 x14ac:dyDescent="0.3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 x14ac:dyDescent="0.3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 x14ac:dyDescent="0.3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 x14ac:dyDescent="0.3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 x14ac:dyDescent="0.3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 x14ac:dyDescent="0.3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 x14ac:dyDescent="0.3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 x14ac:dyDescent="0.3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 x14ac:dyDescent="0.3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 x14ac:dyDescent="0.3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 x14ac:dyDescent="0.3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 x14ac:dyDescent="0.3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 x14ac:dyDescent="0.3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 x14ac:dyDescent="0.3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 x14ac:dyDescent="0.3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 x14ac:dyDescent="0.3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 x14ac:dyDescent="0.3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 x14ac:dyDescent="0.3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 x14ac:dyDescent="0.3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 x14ac:dyDescent="0.3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 x14ac:dyDescent="0.3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 x14ac:dyDescent="0.3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 x14ac:dyDescent="0.3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 x14ac:dyDescent="0.3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 x14ac:dyDescent="0.3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 x14ac:dyDescent="0.3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 x14ac:dyDescent="0.3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 x14ac:dyDescent="0.3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 x14ac:dyDescent="0.3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 x14ac:dyDescent="0.3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 x14ac:dyDescent="0.3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 x14ac:dyDescent="0.3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 x14ac:dyDescent="0.3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 x14ac:dyDescent="0.3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 x14ac:dyDescent="0.3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 x14ac:dyDescent="0.3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 x14ac:dyDescent="0.3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 x14ac:dyDescent="0.3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 x14ac:dyDescent="0.3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 x14ac:dyDescent="0.3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 x14ac:dyDescent="0.3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 x14ac:dyDescent="0.3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 x14ac:dyDescent="0.3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 x14ac:dyDescent="0.3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 x14ac:dyDescent="0.3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 x14ac:dyDescent="0.3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 x14ac:dyDescent="0.3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 x14ac:dyDescent="0.3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 x14ac:dyDescent="0.3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 x14ac:dyDescent="0.3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 x14ac:dyDescent="0.3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 x14ac:dyDescent="0.3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 x14ac:dyDescent="0.3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 x14ac:dyDescent="0.3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 x14ac:dyDescent="0.3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 x14ac:dyDescent="0.3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 x14ac:dyDescent="0.3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 x14ac:dyDescent="0.3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 x14ac:dyDescent="0.3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 x14ac:dyDescent="0.3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 x14ac:dyDescent="0.3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 x14ac:dyDescent="0.3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 x14ac:dyDescent="0.3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 x14ac:dyDescent="0.3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 x14ac:dyDescent="0.3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 x14ac:dyDescent="0.3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 x14ac:dyDescent="0.3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 x14ac:dyDescent="0.3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 x14ac:dyDescent="0.3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 x14ac:dyDescent="0.3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 x14ac:dyDescent="0.3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 x14ac:dyDescent="0.3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 x14ac:dyDescent="0.3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 x14ac:dyDescent="0.3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 x14ac:dyDescent="0.3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 x14ac:dyDescent="0.3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 x14ac:dyDescent="0.3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 x14ac:dyDescent="0.3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 x14ac:dyDescent="0.3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 x14ac:dyDescent="0.3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 x14ac:dyDescent="0.3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 x14ac:dyDescent="0.3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 x14ac:dyDescent="0.3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 x14ac:dyDescent="0.3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 x14ac:dyDescent="0.3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 x14ac:dyDescent="0.3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 x14ac:dyDescent="0.3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 x14ac:dyDescent="0.3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 x14ac:dyDescent="0.3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 x14ac:dyDescent="0.3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 x14ac:dyDescent="0.3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 x14ac:dyDescent="0.3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 x14ac:dyDescent="0.3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 x14ac:dyDescent="0.3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 x14ac:dyDescent="0.3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 x14ac:dyDescent="0.3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 x14ac:dyDescent="0.3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 x14ac:dyDescent="0.3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 x14ac:dyDescent="0.3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 x14ac:dyDescent="0.3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 x14ac:dyDescent="0.3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 x14ac:dyDescent="0.3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 x14ac:dyDescent="0.3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 x14ac:dyDescent="0.3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 x14ac:dyDescent="0.3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 x14ac:dyDescent="0.3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 x14ac:dyDescent="0.3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 x14ac:dyDescent="0.3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 x14ac:dyDescent="0.3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 x14ac:dyDescent="0.3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 x14ac:dyDescent="0.3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 x14ac:dyDescent="0.3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 x14ac:dyDescent="0.3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 x14ac:dyDescent="0.3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 x14ac:dyDescent="0.3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 x14ac:dyDescent="0.3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 x14ac:dyDescent="0.3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 x14ac:dyDescent="0.3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 x14ac:dyDescent="0.3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 x14ac:dyDescent="0.3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 x14ac:dyDescent="0.3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 x14ac:dyDescent="0.3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 x14ac:dyDescent="0.3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 x14ac:dyDescent="0.3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 x14ac:dyDescent="0.3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 x14ac:dyDescent="0.3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 x14ac:dyDescent="0.3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 x14ac:dyDescent="0.3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 x14ac:dyDescent="0.3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 x14ac:dyDescent="0.3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 x14ac:dyDescent="0.3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 x14ac:dyDescent="0.3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 x14ac:dyDescent="0.3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 x14ac:dyDescent="0.3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 x14ac:dyDescent="0.3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 x14ac:dyDescent="0.3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 x14ac:dyDescent="0.3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 x14ac:dyDescent="0.3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 x14ac:dyDescent="0.3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 x14ac:dyDescent="0.3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 x14ac:dyDescent="0.3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 x14ac:dyDescent="0.3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 x14ac:dyDescent="0.3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 x14ac:dyDescent="0.3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 x14ac:dyDescent="0.3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 x14ac:dyDescent="0.3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 x14ac:dyDescent="0.3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 x14ac:dyDescent="0.3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 x14ac:dyDescent="0.3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 x14ac:dyDescent="0.3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 x14ac:dyDescent="0.3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 x14ac:dyDescent="0.3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 x14ac:dyDescent="0.3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 x14ac:dyDescent="0.3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 x14ac:dyDescent="0.3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 x14ac:dyDescent="0.3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 x14ac:dyDescent="0.3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 x14ac:dyDescent="0.3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 x14ac:dyDescent="0.3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 x14ac:dyDescent="0.3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 x14ac:dyDescent="0.3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 x14ac:dyDescent="0.3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 x14ac:dyDescent="0.3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 x14ac:dyDescent="0.3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 x14ac:dyDescent="0.3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 x14ac:dyDescent="0.3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 x14ac:dyDescent="0.3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 x14ac:dyDescent="0.3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 x14ac:dyDescent="0.3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 x14ac:dyDescent="0.3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 x14ac:dyDescent="0.3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 x14ac:dyDescent="0.3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 x14ac:dyDescent="0.3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 x14ac:dyDescent="0.3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 x14ac:dyDescent="0.3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 x14ac:dyDescent="0.3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 x14ac:dyDescent="0.3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 x14ac:dyDescent="0.3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 x14ac:dyDescent="0.3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 x14ac:dyDescent="0.3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 x14ac:dyDescent="0.3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 x14ac:dyDescent="0.3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 x14ac:dyDescent="0.3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 x14ac:dyDescent="0.3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 x14ac:dyDescent="0.3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 x14ac:dyDescent="0.3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 x14ac:dyDescent="0.3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 x14ac:dyDescent="0.3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 x14ac:dyDescent="0.3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 x14ac:dyDescent="0.3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 x14ac:dyDescent="0.3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 x14ac:dyDescent="0.3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 x14ac:dyDescent="0.3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 x14ac:dyDescent="0.3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 x14ac:dyDescent="0.3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 x14ac:dyDescent="0.3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 x14ac:dyDescent="0.3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 x14ac:dyDescent="0.3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 x14ac:dyDescent="0.3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 x14ac:dyDescent="0.3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 x14ac:dyDescent="0.3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 x14ac:dyDescent="0.3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 x14ac:dyDescent="0.3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 x14ac:dyDescent="0.3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 x14ac:dyDescent="0.3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 x14ac:dyDescent="0.3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 x14ac:dyDescent="0.3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 x14ac:dyDescent="0.3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 x14ac:dyDescent="0.3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 x14ac:dyDescent="0.3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 x14ac:dyDescent="0.3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 x14ac:dyDescent="0.3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 x14ac:dyDescent="0.3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 x14ac:dyDescent="0.3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 x14ac:dyDescent="0.3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 x14ac:dyDescent="0.3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 x14ac:dyDescent="0.3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 x14ac:dyDescent="0.3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 x14ac:dyDescent="0.3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 x14ac:dyDescent="0.3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 x14ac:dyDescent="0.3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 x14ac:dyDescent="0.3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 x14ac:dyDescent="0.3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 x14ac:dyDescent="0.3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 x14ac:dyDescent="0.3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 x14ac:dyDescent="0.3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 x14ac:dyDescent="0.3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 x14ac:dyDescent="0.3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 x14ac:dyDescent="0.3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 x14ac:dyDescent="0.3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 x14ac:dyDescent="0.3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 x14ac:dyDescent="0.3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 x14ac:dyDescent="0.3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 x14ac:dyDescent="0.3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 x14ac:dyDescent="0.3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 x14ac:dyDescent="0.3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 x14ac:dyDescent="0.3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 x14ac:dyDescent="0.3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 x14ac:dyDescent="0.3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 x14ac:dyDescent="0.3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 x14ac:dyDescent="0.3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 x14ac:dyDescent="0.3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 x14ac:dyDescent="0.3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 x14ac:dyDescent="0.3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 x14ac:dyDescent="0.3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 x14ac:dyDescent="0.3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 x14ac:dyDescent="0.3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 x14ac:dyDescent="0.3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 x14ac:dyDescent="0.3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 x14ac:dyDescent="0.3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 x14ac:dyDescent="0.3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 x14ac:dyDescent="0.3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 x14ac:dyDescent="0.3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 x14ac:dyDescent="0.3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 x14ac:dyDescent="0.3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 x14ac:dyDescent="0.3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 x14ac:dyDescent="0.3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 x14ac:dyDescent="0.3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 x14ac:dyDescent="0.3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 x14ac:dyDescent="0.3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 x14ac:dyDescent="0.3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 x14ac:dyDescent="0.3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 x14ac:dyDescent="0.3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 x14ac:dyDescent="0.3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 x14ac:dyDescent="0.3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 x14ac:dyDescent="0.3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 x14ac:dyDescent="0.3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 x14ac:dyDescent="0.3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 x14ac:dyDescent="0.3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 x14ac:dyDescent="0.3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 x14ac:dyDescent="0.3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 x14ac:dyDescent="0.3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 x14ac:dyDescent="0.3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 x14ac:dyDescent="0.3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 x14ac:dyDescent="0.3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 x14ac:dyDescent="0.3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 x14ac:dyDescent="0.3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 x14ac:dyDescent="0.3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 x14ac:dyDescent="0.3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 x14ac:dyDescent="0.3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 x14ac:dyDescent="0.3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 x14ac:dyDescent="0.3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 x14ac:dyDescent="0.3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 x14ac:dyDescent="0.3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 x14ac:dyDescent="0.3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 x14ac:dyDescent="0.3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 x14ac:dyDescent="0.3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 x14ac:dyDescent="0.3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 x14ac:dyDescent="0.3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 x14ac:dyDescent="0.3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 x14ac:dyDescent="0.3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 x14ac:dyDescent="0.3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 x14ac:dyDescent="0.3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 x14ac:dyDescent="0.3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 x14ac:dyDescent="0.3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 x14ac:dyDescent="0.3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 x14ac:dyDescent="0.3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 x14ac:dyDescent="0.3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 x14ac:dyDescent="0.3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 x14ac:dyDescent="0.3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 x14ac:dyDescent="0.3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 x14ac:dyDescent="0.3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 x14ac:dyDescent="0.3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 x14ac:dyDescent="0.3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 x14ac:dyDescent="0.3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 x14ac:dyDescent="0.3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 x14ac:dyDescent="0.3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 x14ac:dyDescent="0.3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 x14ac:dyDescent="0.3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 x14ac:dyDescent="0.3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 x14ac:dyDescent="0.3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 x14ac:dyDescent="0.3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 x14ac:dyDescent="0.3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 x14ac:dyDescent="0.3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 x14ac:dyDescent="0.3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 x14ac:dyDescent="0.3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 x14ac:dyDescent="0.3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 x14ac:dyDescent="0.3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 x14ac:dyDescent="0.3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 x14ac:dyDescent="0.3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 x14ac:dyDescent="0.3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 x14ac:dyDescent="0.3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 x14ac:dyDescent="0.3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 x14ac:dyDescent="0.3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 x14ac:dyDescent="0.3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 x14ac:dyDescent="0.3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 x14ac:dyDescent="0.3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 x14ac:dyDescent="0.3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 x14ac:dyDescent="0.3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 x14ac:dyDescent="0.3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 x14ac:dyDescent="0.3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 x14ac:dyDescent="0.3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 x14ac:dyDescent="0.3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 x14ac:dyDescent="0.3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 x14ac:dyDescent="0.3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 x14ac:dyDescent="0.3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 x14ac:dyDescent="0.3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 x14ac:dyDescent="0.3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 x14ac:dyDescent="0.3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 x14ac:dyDescent="0.3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 x14ac:dyDescent="0.3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 x14ac:dyDescent="0.3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 x14ac:dyDescent="0.3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 x14ac:dyDescent="0.3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 x14ac:dyDescent="0.3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 x14ac:dyDescent="0.3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 x14ac:dyDescent="0.3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 x14ac:dyDescent="0.3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 x14ac:dyDescent="0.3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 x14ac:dyDescent="0.3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 x14ac:dyDescent="0.3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 x14ac:dyDescent="0.3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 x14ac:dyDescent="0.3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 x14ac:dyDescent="0.3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 x14ac:dyDescent="0.3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 x14ac:dyDescent="0.3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 x14ac:dyDescent="0.3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 x14ac:dyDescent="0.3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 x14ac:dyDescent="0.3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 x14ac:dyDescent="0.3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 x14ac:dyDescent="0.3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 x14ac:dyDescent="0.3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 x14ac:dyDescent="0.3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 x14ac:dyDescent="0.3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 x14ac:dyDescent="0.3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 x14ac:dyDescent="0.3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 x14ac:dyDescent="0.3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 x14ac:dyDescent="0.3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 x14ac:dyDescent="0.3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 x14ac:dyDescent="0.3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 x14ac:dyDescent="0.3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 x14ac:dyDescent="0.3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 x14ac:dyDescent="0.3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 x14ac:dyDescent="0.3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 x14ac:dyDescent="0.3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 x14ac:dyDescent="0.3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 x14ac:dyDescent="0.3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 x14ac:dyDescent="0.3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 x14ac:dyDescent="0.3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 x14ac:dyDescent="0.3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 x14ac:dyDescent="0.3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 x14ac:dyDescent="0.3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 x14ac:dyDescent="0.3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 x14ac:dyDescent="0.3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 x14ac:dyDescent="0.3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 x14ac:dyDescent="0.3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 x14ac:dyDescent="0.3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 x14ac:dyDescent="0.3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 x14ac:dyDescent="0.3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 x14ac:dyDescent="0.3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 x14ac:dyDescent="0.3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 x14ac:dyDescent="0.3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 x14ac:dyDescent="0.3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 x14ac:dyDescent="0.3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 x14ac:dyDescent="0.3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 x14ac:dyDescent="0.3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 x14ac:dyDescent="0.3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 x14ac:dyDescent="0.3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 x14ac:dyDescent="0.3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 x14ac:dyDescent="0.3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 x14ac:dyDescent="0.3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 x14ac:dyDescent="0.3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 x14ac:dyDescent="0.3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 x14ac:dyDescent="0.3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 x14ac:dyDescent="0.3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 x14ac:dyDescent="0.3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 x14ac:dyDescent="0.3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 x14ac:dyDescent="0.3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 x14ac:dyDescent="0.3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 x14ac:dyDescent="0.3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 x14ac:dyDescent="0.3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 x14ac:dyDescent="0.3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 x14ac:dyDescent="0.3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 x14ac:dyDescent="0.3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 x14ac:dyDescent="0.3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 x14ac:dyDescent="0.3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 x14ac:dyDescent="0.3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 x14ac:dyDescent="0.3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 x14ac:dyDescent="0.3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 x14ac:dyDescent="0.3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 x14ac:dyDescent="0.3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 x14ac:dyDescent="0.3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 x14ac:dyDescent="0.3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 x14ac:dyDescent="0.3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 x14ac:dyDescent="0.3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 x14ac:dyDescent="0.3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 x14ac:dyDescent="0.3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 x14ac:dyDescent="0.3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 x14ac:dyDescent="0.3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 x14ac:dyDescent="0.3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 x14ac:dyDescent="0.3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 x14ac:dyDescent="0.3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 x14ac:dyDescent="0.3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 x14ac:dyDescent="0.3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 x14ac:dyDescent="0.3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 x14ac:dyDescent="0.3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 x14ac:dyDescent="0.3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 x14ac:dyDescent="0.3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 x14ac:dyDescent="0.3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 x14ac:dyDescent="0.3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 x14ac:dyDescent="0.3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 x14ac:dyDescent="0.3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 x14ac:dyDescent="0.3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 x14ac:dyDescent="0.3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 x14ac:dyDescent="0.3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 x14ac:dyDescent="0.3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 x14ac:dyDescent="0.3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 x14ac:dyDescent="0.3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 x14ac:dyDescent="0.3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 x14ac:dyDescent="0.3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 x14ac:dyDescent="0.3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 x14ac:dyDescent="0.3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 x14ac:dyDescent="0.3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 x14ac:dyDescent="0.3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 x14ac:dyDescent="0.3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 x14ac:dyDescent="0.3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 x14ac:dyDescent="0.3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 x14ac:dyDescent="0.3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 x14ac:dyDescent="0.3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 x14ac:dyDescent="0.3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 x14ac:dyDescent="0.3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 x14ac:dyDescent="0.3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 x14ac:dyDescent="0.3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 x14ac:dyDescent="0.3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 x14ac:dyDescent="0.3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 x14ac:dyDescent="0.3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 x14ac:dyDescent="0.3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 x14ac:dyDescent="0.3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 x14ac:dyDescent="0.3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 x14ac:dyDescent="0.3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 x14ac:dyDescent="0.3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 x14ac:dyDescent="0.3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 x14ac:dyDescent="0.3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 x14ac:dyDescent="0.3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 x14ac:dyDescent="0.3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 x14ac:dyDescent="0.3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 x14ac:dyDescent="0.3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 x14ac:dyDescent="0.3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 x14ac:dyDescent="0.3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 x14ac:dyDescent="0.3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 x14ac:dyDescent="0.3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 x14ac:dyDescent="0.3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 x14ac:dyDescent="0.3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 x14ac:dyDescent="0.3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 x14ac:dyDescent="0.3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 x14ac:dyDescent="0.3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 x14ac:dyDescent="0.3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 x14ac:dyDescent="0.3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 x14ac:dyDescent="0.3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 x14ac:dyDescent="0.3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 x14ac:dyDescent="0.3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 x14ac:dyDescent="0.3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 x14ac:dyDescent="0.3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 x14ac:dyDescent="0.3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 x14ac:dyDescent="0.3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 x14ac:dyDescent="0.3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 x14ac:dyDescent="0.3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 x14ac:dyDescent="0.3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 x14ac:dyDescent="0.3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 x14ac:dyDescent="0.3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 x14ac:dyDescent="0.3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 x14ac:dyDescent="0.3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 x14ac:dyDescent="0.3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 x14ac:dyDescent="0.3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 x14ac:dyDescent="0.3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 x14ac:dyDescent="0.3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 x14ac:dyDescent="0.3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 x14ac:dyDescent="0.3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 x14ac:dyDescent="0.3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 x14ac:dyDescent="0.3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 x14ac:dyDescent="0.3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 x14ac:dyDescent="0.3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 x14ac:dyDescent="0.3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 x14ac:dyDescent="0.3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 x14ac:dyDescent="0.3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 x14ac:dyDescent="0.3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 x14ac:dyDescent="0.3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 x14ac:dyDescent="0.3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 x14ac:dyDescent="0.3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 x14ac:dyDescent="0.3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 x14ac:dyDescent="0.3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 x14ac:dyDescent="0.3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 x14ac:dyDescent="0.3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 x14ac:dyDescent="0.3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 x14ac:dyDescent="0.3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 x14ac:dyDescent="0.3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 x14ac:dyDescent="0.3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 x14ac:dyDescent="0.3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 x14ac:dyDescent="0.3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 x14ac:dyDescent="0.3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 x14ac:dyDescent="0.3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 x14ac:dyDescent="0.3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 x14ac:dyDescent="0.3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 x14ac:dyDescent="0.3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 x14ac:dyDescent="0.3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 x14ac:dyDescent="0.3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 x14ac:dyDescent="0.3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 x14ac:dyDescent="0.3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 x14ac:dyDescent="0.3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 x14ac:dyDescent="0.3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 x14ac:dyDescent="0.3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 x14ac:dyDescent="0.3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 x14ac:dyDescent="0.3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 x14ac:dyDescent="0.3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 x14ac:dyDescent="0.3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 x14ac:dyDescent="0.3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 x14ac:dyDescent="0.3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 x14ac:dyDescent="0.3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 x14ac:dyDescent="0.3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 x14ac:dyDescent="0.3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 x14ac:dyDescent="0.3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 x14ac:dyDescent="0.3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 x14ac:dyDescent="0.3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 x14ac:dyDescent="0.3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 x14ac:dyDescent="0.3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 x14ac:dyDescent="0.3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 x14ac:dyDescent="0.3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 x14ac:dyDescent="0.3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 x14ac:dyDescent="0.3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 x14ac:dyDescent="0.3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 x14ac:dyDescent="0.3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 x14ac:dyDescent="0.3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 x14ac:dyDescent="0.3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 x14ac:dyDescent="0.3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 x14ac:dyDescent="0.3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 x14ac:dyDescent="0.3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 x14ac:dyDescent="0.3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 x14ac:dyDescent="0.3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 x14ac:dyDescent="0.3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 x14ac:dyDescent="0.3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 x14ac:dyDescent="0.3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 x14ac:dyDescent="0.3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 x14ac:dyDescent="0.3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 x14ac:dyDescent="0.3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 x14ac:dyDescent="0.3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 x14ac:dyDescent="0.3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 x14ac:dyDescent="0.3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 x14ac:dyDescent="0.3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 x14ac:dyDescent="0.3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 x14ac:dyDescent="0.3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 x14ac:dyDescent="0.3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 x14ac:dyDescent="0.3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 x14ac:dyDescent="0.3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 x14ac:dyDescent="0.3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 x14ac:dyDescent="0.3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 x14ac:dyDescent="0.3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 x14ac:dyDescent="0.3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 x14ac:dyDescent="0.3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 x14ac:dyDescent="0.3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 x14ac:dyDescent="0.3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 x14ac:dyDescent="0.3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 x14ac:dyDescent="0.3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 x14ac:dyDescent="0.3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 x14ac:dyDescent="0.3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 x14ac:dyDescent="0.3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 x14ac:dyDescent="0.3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 x14ac:dyDescent="0.3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 x14ac:dyDescent="0.3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 x14ac:dyDescent="0.3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 x14ac:dyDescent="0.3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 x14ac:dyDescent="0.3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 x14ac:dyDescent="0.3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 x14ac:dyDescent="0.3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 x14ac:dyDescent="0.3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 x14ac:dyDescent="0.3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 x14ac:dyDescent="0.3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 x14ac:dyDescent="0.3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 x14ac:dyDescent="0.3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 x14ac:dyDescent="0.3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 x14ac:dyDescent="0.3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 x14ac:dyDescent="0.3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 x14ac:dyDescent="0.3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 x14ac:dyDescent="0.3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 x14ac:dyDescent="0.3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 x14ac:dyDescent="0.3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 x14ac:dyDescent="0.3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 x14ac:dyDescent="0.3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 x14ac:dyDescent="0.3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 x14ac:dyDescent="0.3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 x14ac:dyDescent="0.3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 x14ac:dyDescent="0.3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 x14ac:dyDescent="0.3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 x14ac:dyDescent="0.3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 x14ac:dyDescent="0.3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 x14ac:dyDescent="0.3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 x14ac:dyDescent="0.3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 x14ac:dyDescent="0.3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 x14ac:dyDescent="0.3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 x14ac:dyDescent="0.3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 x14ac:dyDescent="0.3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 x14ac:dyDescent="0.3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 x14ac:dyDescent="0.3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 x14ac:dyDescent="0.3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 x14ac:dyDescent="0.3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 x14ac:dyDescent="0.3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 x14ac:dyDescent="0.3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 x14ac:dyDescent="0.3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G37"/>
  <sheetViews>
    <sheetView tabSelected="1" topLeftCell="A19" workbookViewId="0">
      <selection activeCell="K30" sqref="K30"/>
    </sheetView>
  </sheetViews>
  <sheetFormatPr defaultRowHeight="14.4" x14ac:dyDescent="0.3"/>
  <cols>
    <col min="1" max="1" width="36.109375" bestFit="1" customWidth="1"/>
    <col min="2" max="2" width="9.6640625" bestFit="1" customWidth="1"/>
    <col min="3" max="3" width="21.77734375" bestFit="1" customWidth="1"/>
    <col min="4" max="4" width="15.109375" bestFit="1" customWidth="1"/>
    <col min="5" max="5" width="12.6640625" bestFit="1" customWidth="1"/>
  </cols>
  <sheetData>
    <row r="1" spans="1:5" x14ac:dyDescent="0.3">
      <c r="A1" s="1" t="s">
        <v>4809</v>
      </c>
    </row>
    <row r="3" spans="1:5" x14ac:dyDescent="0.3">
      <c r="A3" t="s">
        <v>4810</v>
      </c>
      <c r="B3">
        <f>ROWS(Raw_Data[])</f>
        <v>1096</v>
      </c>
    </row>
    <row r="5" spans="1:5" x14ac:dyDescent="0.3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</row>
    <row r="6" spans="1:5" x14ac:dyDescent="0.3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</row>
    <row r="7" spans="1:5" x14ac:dyDescent="0.3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</row>
    <row r="8" spans="1:5" x14ac:dyDescent="0.3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</row>
    <row r="9" spans="1:5" x14ac:dyDescent="0.3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</row>
    <row r="10" spans="1:5" x14ac:dyDescent="0.3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5" x14ac:dyDescent="0.3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5" x14ac:dyDescent="0.3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5" x14ac:dyDescent="0.3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5" x14ac:dyDescent="0.3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5" x14ac:dyDescent="0.3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5" x14ac:dyDescent="0.3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7" x14ac:dyDescent="0.3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  <row r="20" spans="1:7" x14ac:dyDescent="0.3">
      <c r="A20" s="1" t="s">
        <v>4816</v>
      </c>
      <c r="B20" cm="1">
        <f t="array" ref="B20">SUMPRODUCT(--(COUNTIFS(Raw_Data[Name of Incident],Raw_Data[Name of Incident],Raw_Data[Year],Raw_Data[Year],Raw_Data[Country],Raw_Data[Country])&gt;1))</f>
        <v>16</v>
      </c>
    </row>
    <row r="22" spans="1:7" x14ac:dyDescent="0.3">
      <c r="A22" s="1" t="s">
        <v>4817</v>
      </c>
      <c r="B22" cm="1">
        <f t="array" ref="B22:G37">_xlfn._xlws.SORT(_xlfn._xlws.FILTER(Raw_Data[[Sl. No]:[Country]],COUNTIFS(Raw_Data[Name of Incident],Raw_Data[Name of Incident],Raw_Data[Year],Raw_Data[Year],Raw_Data[Country],Raw_Data[Country])&gt;1),2)</f>
        <v>436</v>
      </c>
      <c r="C22" t="str">
        <v>Battle of Điện Biên Phủ</v>
      </c>
      <c r="D22" t="str">
        <v>7</v>
      </c>
      <c r="E22" t="str">
        <v>May</v>
      </c>
      <c r="F22" t="str">
        <v>1954</v>
      </c>
      <c r="G22" t="str">
        <v>Vietnam</v>
      </c>
    </row>
    <row r="23" spans="1:7" x14ac:dyDescent="0.3">
      <c r="B23">
        <v>474</v>
      </c>
      <c r="C23" t="str">
        <v>Battle of Điện Biên Phủ</v>
      </c>
      <c r="D23" t="str">
        <v>Unknown</v>
      </c>
      <c r="E23" t="str">
        <v>Unknown</v>
      </c>
      <c r="F23" t="str">
        <v>1954</v>
      </c>
      <c r="G23" t="str">
        <v>Vietnam</v>
      </c>
    </row>
    <row r="24" spans="1:7" x14ac:dyDescent="0.3">
      <c r="B24">
        <v>160</v>
      </c>
      <c r="C24" t="str">
        <v>Cultural Revolution</v>
      </c>
      <c r="D24" t="str">
        <v>Unknown</v>
      </c>
      <c r="E24" t="str">
        <v>Unknown</v>
      </c>
      <c r="F24" t="str">
        <v>1966</v>
      </c>
      <c r="G24" t="str">
        <v>China</v>
      </c>
    </row>
    <row r="25" spans="1:7" x14ac:dyDescent="0.3">
      <c r="B25">
        <v>193</v>
      </c>
      <c r="C25" t="str">
        <v>Cultural Revolution</v>
      </c>
      <c r="D25" t="str">
        <v>Unknown</v>
      </c>
      <c r="E25" t="str">
        <v>Unknown</v>
      </c>
      <c r="F25" t="str">
        <v>1966</v>
      </c>
      <c r="G25" t="str">
        <v>China</v>
      </c>
    </row>
    <row r="26" spans="1:7" x14ac:dyDescent="0.3">
      <c r="B26">
        <v>730</v>
      </c>
      <c r="C26" t="str">
        <v>Discovery of Insulin</v>
      </c>
      <c r="D26" t="str">
        <v>27</v>
      </c>
      <c r="E26" t="str">
        <v>July</v>
      </c>
      <c r="F26" t="str">
        <v>1921</v>
      </c>
      <c r="G26" t="str">
        <v>Canada</v>
      </c>
    </row>
    <row r="27" spans="1:7" x14ac:dyDescent="0.3">
      <c r="B27">
        <v>754</v>
      </c>
      <c r="C27" t="str">
        <v>Discovery of Insulin</v>
      </c>
      <c r="D27" t="str">
        <v>27</v>
      </c>
      <c r="E27" t="str">
        <v>July</v>
      </c>
      <c r="F27" t="str">
        <v>1921</v>
      </c>
      <c r="G27" t="str">
        <v>Canada</v>
      </c>
    </row>
    <row r="28" spans="1:7" x14ac:dyDescent="0.3">
      <c r="B28">
        <v>743</v>
      </c>
      <c r="C28" t="str">
        <v>Establishment of Nunavut</v>
      </c>
      <c r="D28" t="str">
        <v>1</v>
      </c>
      <c r="E28" t="str">
        <v>April</v>
      </c>
      <c r="F28" t="str">
        <v>1999</v>
      </c>
      <c r="G28" t="str">
        <v>Canada</v>
      </c>
    </row>
    <row r="29" spans="1:7" x14ac:dyDescent="0.3">
      <c r="B29">
        <v>759</v>
      </c>
      <c r="C29" t="str">
        <v>Establishment of Nunavut</v>
      </c>
      <c r="D29" t="str">
        <v>1</v>
      </c>
      <c r="E29" t="str">
        <v>April</v>
      </c>
      <c r="F29" t="str">
        <v>1999</v>
      </c>
      <c r="G29" t="str">
        <v>Canada</v>
      </c>
    </row>
    <row r="30" spans="1:7" x14ac:dyDescent="0.3">
      <c r="B30">
        <v>305</v>
      </c>
      <c r="C30" t="str">
        <v>Fukushima Daiichi Nuclear Disaster</v>
      </c>
      <c r="D30" t="str">
        <v>11</v>
      </c>
      <c r="E30" t="str">
        <v>March</v>
      </c>
      <c r="F30" t="str">
        <v>2011</v>
      </c>
      <c r="G30" t="str">
        <v>Japan</v>
      </c>
    </row>
    <row r="31" spans="1:7" x14ac:dyDescent="0.3">
      <c r="B31">
        <v>649</v>
      </c>
      <c r="C31" t="str">
        <v>Fukushima Daiichi Nuclear Disaster</v>
      </c>
      <c r="D31" t="str">
        <v>11</v>
      </c>
      <c r="E31" t="str">
        <v>March</v>
      </c>
      <c r="F31" t="str">
        <v>2011</v>
      </c>
      <c r="G31" t="str">
        <v>Japan</v>
      </c>
    </row>
    <row r="32" spans="1:7" x14ac:dyDescent="0.3">
      <c r="B32">
        <v>733</v>
      </c>
      <c r="C32" t="str">
        <v>Official Languages Act</v>
      </c>
      <c r="D32" t="str">
        <v>9</v>
      </c>
      <c r="E32" t="str">
        <v>September</v>
      </c>
      <c r="F32" t="str">
        <v>1969</v>
      </c>
      <c r="G32" t="str">
        <v>Canada</v>
      </c>
    </row>
    <row r="33" spans="2:7" x14ac:dyDescent="0.3">
      <c r="B33">
        <v>757</v>
      </c>
      <c r="C33" t="str">
        <v>Official Languages Act</v>
      </c>
      <c r="D33" t="str">
        <v>9</v>
      </c>
      <c r="E33" t="str">
        <v>September</v>
      </c>
      <c r="F33" t="str">
        <v>1969</v>
      </c>
      <c r="G33" t="str">
        <v>Canada</v>
      </c>
    </row>
    <row r="34" spans="2:7" x14ac:dyDescent="0.3">
      <c r="B34">
        <v>337</v>
      </c>
      <c r="C34" t="str">
        <v>Port Arthur Massacre</v>
      </c>
      <c r="D34" t="str">
        <v>28</v>
      </c>
      <c r="E34" t="str">
        <v>April</v>
      </c>
      <c r="F34" t="str">
        <v>1996</v>
      </c>
      <c r="G34" t="str">
        <v>Australia</v>
      </c>
    </row>
    <row r="35" spans="2:7" x14ac:dyDescent="0.3">
      <c r="B35">
        <v>348</v>
      </c>
      <c r="C35" t="str">
        <v>Port Arthur Massacre</v>
      </c>
      <c r="D35" t="str">
        <v>28</v>
      </c>
      <c r="E35" t="str">
        <v>April</v>
      </c>
      <c r="F35" t="str">
        <v>1996</v>
      </c>
      <c r="G35" t="str">
        <v>Australia</v>
      </c>
    </row>
    <row r="36" spans="2:7" x14ac:dyDescent="0.3">
      <c r="B36">
        <v>333</v>
      </c>
      <c r="C36" t="str">
        <v>Sydney Opera House Opens</v>
      </c>
      <c r="D36" t="str">
        <v>20</v>
      </c>
      <c r="E36" t="str">
        <v>October</v>
      </c>
      <c r="F36" t="str">
        <v>1973</v>
      </c>
      <c r="G36" t="str">
        <v>Australia</v>
      </c>
    </row>
    <row r="37" spans="2:7" x14ac:dyDescent="0.3">
      <c r="B37">
        <v>344</v>
      </c>
      <c r="C37" t="str">
        <v>Sydney Opera House Opens</v>
      </c>
      <c r="D37" t="str">
        <v>20</v>
      </c>
      <c r="E37" t="str">
        <v>October</v>
      </c>
      <c r="F37" t="str">
        <v>1973</v>
      </c>
      <c r="G37" t="str">
        <v>Australia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2026-10-28T13:44:25Z</dcterms:modified>
</cp:coreProperties>
</file>