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87f59888910b2c/Documents/Historical Events Project/"/>
    </mc:Choice>
  </mc:AlternateContent>
  <xr:revisionPtr revIDLastSave="103" documentId="8_{10712462-A393-4074-B003-B18B94321660}" xr6:coauthVersionLast="47" xr6:coauthVersionMax="47" xr10:uidLastSave="{A6CC2ECC-8115-43D8-8E9F-23050BEB536B}"/>
  <bookViews>
    <workbookView xWindow="-108" yWindow="-108" windowWidth="23256" windowHeight="12456" activeTab="1" xr2:uid="{6D2E873C-0883-4A45-B1D6-516B2229282E}"/>
  </bookViews>
  <sheets>
    <sheet name="Lookups" sheetId="5" r:id="rId1"/>
    <sheet name="Clean_Data" sheetId="4" r:id="rId2"/>
    <sheet name="Raw_Data" sheetId="2" r:id="rId3"/>
    <sheet name="Profiling" sheetId="3" r:id="rId4"/>
  </sheets>
  <definedNames>
    <definedName name="ExternalData_1" localSheetId="2" hidden="1">'Raw_Data'!$A$1:$L$1097</definedName>
    <definedName name="ExternalData_2" localSheetId="1" hidden="1">'Clean_Data'!$A$1:$M$1089</definedName>
    <definedName name="ExternalData_3" localSheetId="0" hidden="1">Lookups!$A$1:$C$114</definedName>
    <definedName name="ExternalData_4" localSheetId="0" hidden="1">Lookups!$E$1:$F$403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O2" i="4" a="1"/>
  <c r="O3" i="4" a="1"/>
  <c r="O4" i="4" a="1"/>
  <c r="O5" i="4" a="1"/>
  <c r="O6" i="4" a="1"/>
  <c r="O7" i="4" a="1"/>
  <c r="O8" i="4" a="1"/>
  <c r="O9" i="4" a="1"/>
  <c r="O10" i="4" a="1"/>
  <c r="O11" i="4" a="1"/>
  <c r="O12" i="4" a="1"/>
  <c r="O13" i="4" a="1"/>
  <c r="O14" i="4" a="1"/>
  <c r="O15" i="4" a="1"/>
  <c r="O16" i="4" a="1"/>
  <c r="O17" i="4" a="1"/>
  <c r="O18" i="4" a="1"/>
  <c r="O19" i="4" a="1"/>
  <c r="O20" i="4" a="1"/>
  <c r="O21" i="4" a="1"/>
  <c r="O22" i="4" a="1"/>
  <c r="O23" i="4" a="1"/>
  <c r="O24" i="4" a="1"/>
  <c r="O25" i="4" a="1"/>
  <c r="O26" i="4" a="1"/>
  <c r="O27" i="4" a="1"/>
  <c r="O28" i="4" a="1"/>
  <c r="O29" i="4" a="1"/>
  <c r="O30" i="4" a="1"/>
  <c r="O31" i="4" a="1"/>
  <c r="O32" i="4" a="1"/>
  <c r="O33" i="4" a="1"/>
  <c r="O34" i="4" a="1"/>
  <c r="O35" i="4" a="1"/>
  <c r="O36" i="4" a="1"/>
  <c r="O37" i="4" a="1"/>
  <c r="O38" i="4" a="1"/>
  <c r="O39" i="4" a="1"/>
  <c r="O40" i="4" a="1"/>
  <c r="O41" i="4" a="1"/>
  <c r="O42" i="4" a="1"/>
  <c r="O43" i="4" a="1"/>
  <c r="O44" i="4" a="1"/>
  <c r="O45" i="4" a="1"/>
  <c r="O46" i="4" a="1"/>
  <c r="O47" i="4" a="1"/>
  <c r="O48" i="4" a="1"/>
  <c r="O49" i="4" a="1"/>
  <c r="O50" i="4" a="1"/>
  <c r="O51" i="4" a="1"/>
  <c r="O52" i="4" a="1"/>
  <c r="O53" i="4" a="1"/>
  <c r="O54" i="4" a="1"/>
  <c r="O55" i="4" a="1"/>
  <c r="O56" i="4" a="1"/>
  <c r="O57" i="4" a="1"/>
  <c r="O58" i="4" a="1"/>
  <c r="O59" i="4" a="1"/>
  <c r="O60" i="4" a="1"/>
  <c r="O61" i="4" a="1"/>
  <c r="O62" i="4" a="1"/>
  <c r="O63" i="4" a="1"/>
  <c r="O64" i="4" a="1"/>
  <c r="O65" i="4" a="1"/>
  <c r="O66" i="4" a="1"/>
  <c r="O67" i="4" a="1"/>
  <c r="O68" i="4" a="1"/>
  <c r="O69" i="4" a="1"/>
  <c r="O70" i="4" a="1"/>
  <c r="O71" i="4" a="1"/>
  <c r="O72" i="4" a="1"/>
  <c r="O73" i="4" a="1"/>
  <c r="O74" i="4" a="1"/>
  <c r="O75" i="4" a="1"/>
  <c r="O76" i="4" a="1"/>
  <c r="O77" i="4" a="1"/>
  <c r="O78" i="4" a="1"/>
  <c r="O79" i="4" a="1"/>
  <c r="O80" i="4" a="1"/>
  <c r="O81" i="4" a="1"/>
  <c r="O82" i="4" a="1"/>
  <c r="O83" i="4" a="1"/>
  <c r="O84" i="4" a="1"/>
  <c r="O85" i="4" a="1"/>
  <c r="O86" i="4" a="1"/>
  <c r="O87" i="4" a="1"/>
  <c r="O88" i="4" a="1"/>
  <c r="O89" i="4" a="1"/>
  <c r="O90" i="4" a="1"/>
  <c r="O91" i="4" a="1"/>
  <c r="O92" i="4" a="1"/>
  <c r="O93" i="4" a="1"/>
  <c r="O94" i="4" a="1"/>
  <c r="O95" i="4" a="1"/>
  <c r="O96" i="4" a="1"/>
  <c r="O97" i="4" a="1"/>
  <c r="O98" i="4" a="1"/>
  <c r="O99" i="4" a="1"/>
  <c r="O100" i="4" a="1"/>
  <c r="O101" i="4" a="1"/>
  <c r="O102" i="4" a="1"/>
  <c r="O103" i="4" a="1"/>
  <c r="O104" i="4" a="1"/>
  <c r="O105" i="4" a="1"/>
  <c r="O106" i="4" a="1"/>
  <c r="O107" i="4" a="1"/>
  <c r="O108" i="4" a="1"/>
  <c r="O109" i="4" a="1"/>
  <c r="O110" i="4" a="1"/>
  <c r="O111" i="4" a="1"/>
  <c r="O112" i="4" a="1"/>
  <c r="O113" i="4" a="1"/>
  <c r="O114" i="4" a="1"/>
  <c r="O115" i="4" a="1"/>
  <c r="O116" i="4" a="1"/>
  <c r="O117" i="4" a="1"/>
  <c r="O118" i="4" a="1"/>
  <c r="O119" i="4" a="1"/>
  <c r="O120" i="4" a="1"/>
  <c r="O121" i="4" a="1"/>
  <c r="O122" i="4" a="1"/>
  <c r="O123" i="4" a="1"/>
  <c r="O124" i="4" a="1"/>
  <c r="O125" i="4" a="1"/>
  <c r="O126" i="4" a="1"/>
  <c r="O127" i="4" a="1"/>
  <c r="O128" i="4" a="1"/>
  <c r="O129" i="4" a="1"/>
  <c r="O130" i="4" a="1"/>
  <c r="O131" i="4" a="1"/>
  <c r="O132" i="4" a="1"/>
  <c r="O133" i="4" a="1"/>
  <c r="O134" i="4" a="1"/>
  <c r="O135" i="4" a="1"/>
  <c r="O136" i="4" a="1"/>
  <c r="O137" i="4" a="1"/>
  <c r="O138" i="4" a="1"/>
  <c r="O139" i="4" a="1"/>
  <c r="O140" i="4" a="1"/>
  <c r="O141" i="4" a="1"/>
  <c r="O142" i="4" a="1"/>
  <c r="O143" i="4" a="1"/>
  <c r="O144" i="4" a="1"/>
  <c r="O145" i="4" a="1"/>
  <c r="O146" i="4" a="1"/>
  <c r="O147" i="4" a="1"/>
  <c r="O148" i="4" a="1"/>
  <c r="O149" i="4" a="1"/>
  <c r="O150" i="4" a="1"/>
  <c r="O151" i="4" a="1"/>
  <c r="O152" i="4" a="1"/>
  <c r="O153" i="4" a="1"/>
  <c r="O154" i="4" a="1"/>
  <c r="O155" i="4" a="1"/>
  <c r="O156" i="4" a="1"/>
  <c r="O157" i="4" a="1"/>
  <c r="O158" i="4" a="1"/>
  <c r="O159" i="4" a="1"/>
  <c r="O160" i="4" a="1"/>
  <c r="O161" i="4" a="1"/>
  <c r="O162" i="4" a="1"/>
  <c r="O163" i="4" a="1"/>
  <c r="O164" i="4" a="1"/>
  <c r="O165" i="4" a="1"/>
  <c r="O166" i="4" a="1"/>
  <c r="O167" i="4" a="1"/>
  <c r="O168" i="4" a="1"/>
  <c r="O169" i="4" a="1"/>
  <c r="O170" i="4" a="1"/>
  <c r="O171" i="4" a="1"/>
  <c r="O172" i="4" a="1"/>
  <c r="O173" i="4" a="1"/>
  <c r="O174" i="4" a="1"/>
  <c r="O175" i="4" a="1"/>
  <c r="O176" i="4" a="1"/>
  <c r="O177" i="4" a="1"/>
  <c r="O178" i="4" a="1"/>
  <c r="O179" i="4" a="1"/>
  <c r="O180" i="4" a="1"/>
  <c r="O181" i="4" a="1"/>
  <c r="O182" i="4" a="1"/>
  <c r="O183" i="4" a="1"/>
  <c r="O184" i="4" a="1"/>
  <c r="O185" i="4" a="1"/>
  <c r="O186" i="4" a="1"/>
  <c r="O187" i="4" a="1"/>
  <c r="O188" i="4" a="1"/>
  <c r="O189" i="4" a="1"/>
  <c r="O190" i="4" a="1"/>
  <c r="O191" i="4" a="1"/>
  <c r="O192" i="4" a="1"/>
  <c r="O193" i="4" a="1"/>
  <c r="O194" i="4" a="1"/>
  <c r="O195" i="4" a="1"/>
  <c r="O196" i="4" a="1"/>
  <c r="O197" i="4" a="1"/>
  <c r="O198" i="4" a="1"/>
  <c r="O199" i="4" a="1"/>
  <c r="O200" i="4" a="1"/>
  <c r="O201" i="4" a="1"/>
  <c r="O202" i="4" a="1"/>
  <c r="O203" i="4" a="1"/>
  <c r="O204" i="4" a="1"/>
  <c r="O205" i="4" a="1"/>
  <c r="O206" i="4" a="1"/>
  <c r="O207" i="4" a="1"/>
  <c r="O208" i="4" a="1"/>
  <c r="O209" i="4" a="1"/>
  <c r="O210" i="4" a="1"/>
  <c r="O211" i="4" a="1"/>
  <c r="O212" i="4" a="1"/>
  <c r="O213" i="4" a="1"/>
  <c r="O214" i="4" a="1"/>
  <c r="O215" i="4" a="1"/>
  <c r="O216" i="4" a="1"/>
  <c r="O217" i="4" a="1"/>
  <c r="O218" i="4" a="1"/>
  <c r="O219" i="4" a="1"/>
  <c r="O220" i="4" a="1"/>
  <c r="O221" i="4" a="1"/>
  <c r="O222" i="4" a="1"/>
  <c r="O223" i="4" a="1"/>
  <c r="O224" i="4" a="1"/>
  <c r="O225" i="4" a="1"/>
  <c r="O226" i="4" a="1"/>
  <c r="O227" i="4" a="1"/>
  <c r="O228" i="4" a="1"/>
  <c r="O229" i="4" a="1"/>
  <c r="O230" i="4" a="1"/>
  <c r="O231" i="4" a="1"/>
  <c r="O232" i="4" a="1"/>
  <c r="O233" i="4" a="1"/>
  <c r="O234" i="4" a="1"/>
  <c r="O235" i="4" a="1"/>
  <c r="O236" i="4" a="1"/>
  <c r="O237" i="4" a="1"/>
  <c r="O238" i="4" a="1"/>
  <c r="O239" i="4" a="1"/>
  <c r="O240" i="4" a="1"/>
  <c r="O241" i="4" a="1"/>
  <c r="O242" i="4" a="1"/>
  <c r="O243" i="4" a="1"/>
  <c r="O244" i="4" a="1"/>
  <c r="O245" i="4" a="1"/>
  <c r="O246" i="4" a="1"/>
  <c r="O247" i="4" a="1"/>
  <c r="O248" i="4" a="1"/>
  <c r="O249" i="4" a="1"/>
  <c r="O250" i="4" a="1"/>
  <c r="O251" i="4" a="1"/>
  <c r="O252" i="4" a="1"/>
  <c r="O253" i="4" a="1"/>
  <c r="O254" i="4" a="1"/>
  <c r="O255" i="4" a="1"/>
  <c r="O256" i="4" a="1"/>
  <c r="O257" i="4" a="1"/>
  <c r="O258" i="4" a="1"/>
  <c r="O259" i="4" a="1"/>
  <c r="O260" i="4" a="1"/>
  <c r="O261" i="4" a="1"/>
  <c r="O262" i="4" a="1"/>
  <c r="O263" i="4" a="1"/>
  <c r="O264" i="4" a="1"/>
  <c r="O265" i="4" a="1"/>
  <c r="O266" i="4" a="1"/>
  <c r="O267" i="4" a="1"/>
  <c r="O268" i="4" a="1"/>
  <c r="O269" i="4" a="1"/>
  <c r="O270" i="4" a="1"/>
  <c r="O271" i="4" a="1"/>
  <c r="O272" i="4" a="1"/>
  <c r="O273" i="4" a="1"/>
  <c r="O274" i="4" a="1"/>
  <c r="O275" i="4" a="1"/>
  <c r="O276" i="4" a="1"/>
  <c r="O277" i="4" a="1"/>
  <c r="O278" i="4" a="1"/>
  <c r="O279" i="4" a="1"/>
  <c r="O280" i="4" a="1"/>
  <c r="O281" i="4" a="1"/>
  <c r="O282" i="4" a="1"/>
  <c r="O283" i="4" a="1"/>
  <c r="O284" i="4" a="1"/>
  <c r="O285" i="4" a="1"/>
  <c r="O286" i="4" a="1"/>
  <c r="O287" i="4" a="1"/>
  <c r="O288" i="4" a="1"/>
  <c r="O289" i="4" a="1"/>
  <c r="O290" i="4" a="1"/>
  <c r="O291" i="4" a="1"/>
  <c r="O292" i="4" a="1"/>
  <c r="O293" i="4" a="1"/>
  <c r="O294" i="4" a="1"/>
  <c r="O295" i="4" a="1"/>
  <c r="O296" i="4" a="1"/>
  <c r="O297" i="4" a="1"/>
  <c r="O298" i="4" a="1"/>
  <c r="O299" i="4" a="1"/>
  <c r="O300" i="4" a="1"/>
  <c r="O301" i="4" a="1"/>
  <c r="O302" i="4" a="1"/>
  <c r="O303" i="4" a="1"/>
  <c r="O304" i="4" a="1"/>
  <c r="O305" i="4" a="1"/>
  <c r="O306" i="4" a="1"/>
  <c r="O307" i="4" a="1"/>
  <c r="O308" i="4" a="1"/>
  <c r="O309" i="4" a="1"/>
  <c r="O310" i="4" a="1"/>
  <c r="O311" i="4" a="1"/>
  <c r="O312" i="4" a="1"/>
  <c r="O313" i="4" a="1"/>
  <c r="O314" i="4" a="1"/>
  <c r="O315" i="4" a="1"/>
  <c r="O316" i="4" a="1"/>
  <c r="O317" i="4" a="1"/>
  <c r="O318" i="4" a="1"/>
  <c r="O319" i="4" a="1"/>
  <c r="O320" i="4" a="1"/>
  <c r="O321" i="4" a="1"/>
  <c r="O322" i="4" a="1"/>
  <c r="O323" i="4" a="1"/>
  <c r="O324" i="4" a="1"/>
  <c r="O325" i="4" a="1"/>
  <c r="O326" i="4" a="1"/>
  <c r="O327" i="4" a="1"/>
  <c r="O328" i="4" a="1"/>
  <c r="O329" i="4" a="1"/>
  <c r="O330" i="4" a="1"/>
  <c r="O331" i="4" a="1"/>
  <c r="O332" i="4" a="1"/>
  <c r="O333" i="4" a="1"/>
  <c r="O334" i="4" a="1"/>
  <c r="O335" i="4" a="1"/>
  <c r="O336" i="4" a="1"/>
  <c r="O337" i="4" a="1"/>
  <c r="O338" i="4" a="1"/>
  <c r="O339" i="4" a="1"/>
  <c r="O340" i="4" a="1"/>
  <c r="O341" i="4" a="1"/>
  <c r="O342" i="4" a="1"/>
  <c r="O343" i="4" a="1"/>
  <c r="O344" i="4" a="1"/>
  <c r="O345" i="4" a="1"/>
  <c r="O346" i="4" a="1"/>
  <c r="O347" i="4" a="1"/>
  <c r="O348" i="4" a="1"/>
  <c r="O349" i="4" a="1"/>
  <c r="O350" i="4" a="1"/>
  <c r="O351" i="4" a="1"/>
  <c r="O352" i="4" a="1"/>
  <c r="O353" i="4" a="1"/>
  <c r="O354" i="4" a="1"/>
  <c r="O355" i="4" a="1"/>
  <c r="O356" i="4" a="1"/>
  <c r="O357" i="4" a="1"/>
  <c r="O358" i="4" a="1"/>
  <c r="O359" i="4" a="1"/>
  <c r="O360" i="4" a="1"/>
  <c r="O361" i="4" a="1"/>
  <c r="O362" i="4" a="1"/>
  <c r="O363" i="4" a="1"/>
  <c r="O364" i="4" a="1"/>
  <c r="O365" i="4" a="1"/>
  <c r="O366" i="4" a="1"/>
  <c r="O367" i="4" a="1"/>
  <c r="O368" i="4" a="1"/>
  <c r="O369" i="4" a="1"/>
  <c r="O370" i="4" a="1"/>
  <c r="O371" i="4" a="1"/>
  <c r="O372" i="4" a="1"/>
  <c r="O373" i="4" a="1"/>
  <c r="O374" i="4" a="1"/>
  <c r="O375" i="4" a="1"/>
  <c r="O376" i="4" a="1"/>
  <c r="O377" i="4" a="1"/>
  <c r="O378" i="4" a="1"/>
  <c r="O379" i="4" a="1"/>
  <c r="O380" i="4" a="1"/>
  <c r="O381" i="4" a="1"/>
  <c r="O382" i="4" a="1"/>
  <c r="O383" i="4" a="1"/>
  <c r="O384" i="4" a="1"/>
  <c r="O385" i="4" a="1"/>
  <c r="O386" i="4" a="1"/>
  <c r="O387" i="4" a="1"/>
  <c r="O388" i="4" a="1"/>
  <c r="O389" i="4" a="1"/>
  <c r="O390" i="4" a="1"/>
  <c r="O391" i="4" a="1"/>
  <c r="O392" i="4" a="1"/>
  <c r="O393" i="4" a="1"/>
  <c r="O394" i="4" a="1"/>
  <c r="O395" i="4" a="1"/>
  <c r="O396" i="4" a="1"/>
  <c r="O397" i="4" a="1"/>
  <c r="O398" i="4" a="1"/>
  <c r="O399" i="4" a="1"/>
  <c r="O400" i="4" a="1"/>
  <c r="O401" i="4" a="1"/>
  <c r="O402" i="4" a="1"/>
  <c r="O403" i="4" a="1"/>
  <c r="O404" i="4" a="1"/>
  <c r="O405" i="4" a="1"/>
  <c r="O406" i="4" a="1"/>
  <c r="O407" i="4" a="1"/>
  <c r="O408" i="4" a="1"/>
  <c r="O409" i="4" a="1"/>
  <c r="O410" i="4" a="1"/>
  <c r="O411" i="4" a="1"/>
  <c r="O412" i="4" a="1"/>
  <c r="O413" i="4" a="1"/>
  <c r="O414" i="4" a="1"/>
  <c r="O415" i="4" a="1"/>
  <c r="O416" i="4" a="1"/>
  <c r="O417" i="4" a="1"/>
  <c r="O418" i="4" a="1"/>
  <c r="O419" i="4" a="1"/>
  <c r="O420" i="4" a="1"/>
  <c r="O421" i="4" a="1"/>
  <c r="O422" i="4" a="1"/>
  <c r="O423" i="4" a="1"/>
  <c r="O424" i="4" a="1"/>
  <c r="O425" i="4" a="1"/>
  <c r="O426" i="4" a="1"/>
  <c r="O427" i="4" a="1"/>
  <c r="O428" i="4" a="1"/>
  <c r="O429" i="4" a="1"/>
  <c r="O430" i="4" a="1"/>
  <c r="O431" i="4" a="1"/>
  <c r="O432" i="4" a="1"/>
  <c r="O433" i="4" a="1"/>
  <c r="O434" i="4" a="1"/>
  <c r="O435" i="4" a="1"/>
  <c r="O436" i="4" a="1"/>
  <c r="O437" i="4" a="1"/>
  <c r="O438" i="4" a="1"/>
  <c r="O439" i="4" a="1"/>
  <c r="O440" i="4" a="1"/>
  <c r="O441" i="4" a="1"/>
  <c r="O442" i="4" a="1"/>
  <c r="O443" i="4" a="1"/>
  <c r="O444" i="4" a="1"/>
  <c r="O445" i="4" a="1"/>
  <c r="O446" i="4" a="1"/>
  <c r="O447" i="4" a="1"/>
  <c r="O448" i="4" a="1"/>
  <c r="O449" i="4" a="1"/>
  <c r="O450" i="4" a="1"/>
  <c r="O451" i="4" a="1"/>
  <c r="O452" i="4" a="1"/>
  <c r="O453" i="4" a="1"/>
  <c r="O454" i="4" a="1"/>
  <c r="O455" i="4" a="1"/>
  <c r="O456" i="4" a="1"/>
  <c r="O457" i="4" a="1"/>
  <c r="O458" i="4" a="1"/>
  <c r="O459" i="4" a="1"/>
  <c r="O460" i="4" a="1"/>
  <c r="O461" i="4" a="1"/>
  <c r="O462" i="4" a="1"/>
  <c r="O463" i="4" a="1"/>
  <c r="O464" i="4" a="1"/>
  <c r="O465" i="4" a="1"/>
  <c r="O466" i="4" a="1"/>
  <c r="O467" i="4" a="1"/>
  <c r="O468" i="4" a="1"/>
  <c r="O469" i="4" a="1"/>
  <c r="O470" i="4" a="1"/>
  <c r="O471" i="4" a="1"/>
  <c r="O472" i="4" a="1"/>
  <c r="O473" i="4" a="1"/>
  <c r="O474" i="4" a="1"/>
  <c r="O475" i="4" a="1"/>
  <c r="O476" i="4" a="1"/>
  <c r="O477" i="4" a="1"/>
  <c r="O478" i="4" a="1"/>
  <c r="O479" i="4" a="1"/>
  <c r="O480" i="4" a="1"/>
  <c r="O481" i="4" a="1"/>
  <c r="O482" i="4" a="1"/>
  <c r="O483" i="4" a="1"/>
  <c r="O484" i="4" a="1"/>
  <c r="O485" i="4" a="1"/>
  <c r="O486" i="4" a="1"/>
  <c r="O487" i="4" a="1"/>
  <c r="O488" i="4" a="1"/>
  <c r="O489" i="4" a="1"/>
  <c r="O490" i="4" a="1"/>
  <c r="O491" i="4" a="1"/>
  <c r="O492" i="4" a="1"/>
  <c r="O493" i="4" a="1"/>
  <c r="O494" i="4" a="1"/>
  <c r="O495" i="4" a="1"/>
  <c r="O496" i="4" a="1"/>
  <c r="O497" i="4" a="1"/>
  <c r="O498" i="4" a="1"/>
  <c r="O499" i="4" a="1"/>
  <c r="O500" i="4" a="1"/>
  <c r="O501" i="4" a="1"/>
  <c r="O502" i="4" a="1"/>
  <c r="O503" i="4" a="1"/>
  <c r="O504" i="4" a="1"/>
  <c r="O505" i="4" a="1"/>
  <c r="O506" i="4" a="1"/>
  <c r="O507" i="4" a="1"/>
  <c r="O508" i="4" a="1"/>
  <c r="O509" i="4" a="1"/>
  <c r="O510" i="4" a="1"/>
  <c r="O511" i="4" a="1"/>
  <c r="O512" i="4" a="1"/>
  <c r="O513" i="4" a="1"/>
  <c r="O514" i="4" a="1"/>
  <c r="O515" i="4" a="1"/>
  <c r="O516" i="4" a="1"/>
  <c r="O517" i="4" a="1"/>
  <c r="O518" i="4" a="1"/>
  <c r="O519" i="4" a="1"/>
  <c r="O520" i="4" a="1"/>
  <c r="O521" i="4" a="1"/>
  <c r="O522" i="4" a="1"/>
  <c r="O523" i="4" a="1"/>
  <c r="O524" i="4" a="1"/>
  <c r="O525" i="4" a="1"/>
  <c r="O526" i="4" a="1"/>
  <c r="O527" i="4" a="1"/>
  <c r="O528" i="4" a="1"/>
  <c r="O529" i="4" a="1"/>
  <c r="O530" i="4" a="1"/>
  <c r="O531" i="4" a="1"/>
  <c r="O532" i="4" a="1"/>
  <c r="O533" i="4" a="1"/>
  <c r="O534" i="4" a="1"/>
  <c r="O535" i="4" a="1"/>
  <c r="O536" i="4" a="1"/>
  <c r="O537" i="4" a="1"/>
  <c r="O538" i="4" a="1"/>
  <c r="O539" i="4" a="1"/>
  <c r="O540" i="4" a="1"/>
  <c r="O541" i="4" a="1"/>
  <c r="O542" i="4" a="1"/>
  <c r="O543" i="4" a="1"/>
  <c r="O544" i="4" a="1"/>
  <c r="O545" i="4" a="1"/>
  <c r="O546" i="4" a="1"/>
  <c r="O547" i="4" a="1"/>
  <c r="O548" i="4" a="1"/>
  <c r="O549" i="4" a="1"/>
  <c r="O550" i="4" a="1"/>
  <c r="O551" i="4" a="1"/>
  <c r="O552" i="4" a="1"/>
  <c r="O553" i="4" a="1"/>
  <c r="O554" i="4" a="1"/>
  <c r="O555" i="4" a="1"/>
  <c r="O556" i="4" a="1"/>
  <c r="O557" i="4" a="1"/>
  <c r="O558" i="4" a="1"/>
  <c r="O559" i="4" a="1"/>
  <c r="O560" i="4" a="1"/>
  <c r="O561" i="4" a="1"/>
  <c r="O562" i="4" a="1"/>
  <c r="O563" i="4" a="1"/>
  <c r="O564" i="4" a="1"/>
  <c r="O565" i="4" a="1"/>
  <c r="O566" i="4" a="1"/>
  <c r="O567" i="4" a="1"/>
  <c r="O568" i="4" a="1"/>
  <c r="O569" i="4" a="1"/>
  <c r="O570" i="4" a="1"/>
  <c r="O571" i="4" a="1"/>
  <c r="O572" i="4" a="1"/>
  <c r="O573" i="4" a="1"/>
  <c r="O574" i="4" a="1"/>
  <c r="O575" i="4" a="1"/>
  <c r="O576" i="4" a="1"/>
  <c r="O577" i="4" a="1"/>
  <c r="O578" i="4" a="1"/>
  <c r="O579" i="4" a="1"/>
  <c r="O580" i="4" a="1"/>
  <c r="O581" i="4" a="1"/>
  <c r="O582" i="4" a="1"/>
  <c r="O583" i="4" a="1"/>
  <c r="O584" i="4" a="1"/>
  <c r="O585" i="4" a="1"/>
  <c r="O586" i="4" a="1"/>
  <c r="O587" i="4" a="1"/>
  <c r="O588" i="4" a="1"/>
  <c r="O589" i="4" a="1"/>
  <c r="O590" i="4" a="1"/>
  <c r="O591" i="4" a="1"/>
  <c r="O592" i="4" a="1"/>
  <c r="O593" i="4" a="1"/>
  <c r="O594" i="4" a="1"/>
  <c r="O595" i="4" a="1"/>
  <c r="O596" i="4" a="1"/>
  <c r="O597" i="4" a="1"/>
  <c r="O598" i="4" a="1"/>
  <c r="O599" i="4" a="1"/>
  <c r="O600" i="4" a="1"/>
  <c r="O601" i="4" a="1"/>
  <c r="O602" i="4" a="1"/>
  <c r="O603" i="4" a="1"/>
  <c r="O604" i="4" a="1"/>
  <c r="O605" i="4" a="1"/>
  <c r="O606" i="4" a="1"/>
  <c r="O607" i="4" a="1"/>
  <c r="O608" i="4" a="1"/>
  <c r="O609" i="4" a="1"/>
  <c r="O610" i="4" a="1"/>
  <c r="O611" i="4" a="1"/>
  <c r="O612" i="4" a="1"/>
  <c r="O613" i="4" a="1"/>
  <c r="O614" i="4" a="1"/>
  <c r="O615" i="4" a="1"/>
  <c r="O616" i="4" a="1"/>
  <c r="O617" i="4" a="1"/>
  <c r="O618" i="4" a="1"/>
  <c r="O619" i="4" a="1"/>
  <c r="O620" i="4" a="1"/>
  <c r="O621" i="4" a="1"/>
  <c r="O622" i="4" a="1"/>
  <c r="O623" i="4" a="1"/>
  <c r="O624" i="4" a="1"/>
  <c r="O625" i="4" a="1"/>
  <c r="O626" i="4" a="1"/>
  <c r="O627" i="4" a="1"/>
  <c r="O628" i="4" a="1"/>
  <c r="O629" i="4" a="1"/>
  <c r="O630" i="4" a="1"/>
  <c r="O631" i="4" a="1"/>
  <c r="O632" i="4" a="1"/>
  <c r="O633" i="4" a="1"/>
  <c r="O634" i="4" a="1"/>
  <c r="O635" i="4" a="1"/>
  <c r="O636" i="4" a="1"/>
  <c r="O637" i="4" a="1"/>
  <c r="O638" i="4" a="1"/>
  <c r="O639" i="4" a="1"/>
  <c r="O640" i="4" a="1"/>
  <c r="O641" i="4" a="1"/>
  <c r="O642" i="4" a="1"/>
  <c r="O643" i="4" a="1"/>
  <c r="O644" i="4" a="1"/>
  <c r="O645" i="4" a="1"/>
  <c r="O646" i="4" a="1"/>
  <c r="O647" i="4" a="1"/>
  <c r="O648" i="4" a="1"/>
  <c r="O649" i="4" a="1"/>
  <c r="O650" i="4" a="1"/>
  <c r="O651" i="4" a="1"/>
  <c r="O652" i="4" a="1"/>
  <c r="O653" i="4" a="1"/>
  <c r="O654" i="4" a="1"/>
  <c r="O655" i="4" a="1"/>
  <c r="O656" i="4" a="1"/>
  <c r="O657" i="4" a="1"/>
  <c r="O658" i="4" a="1"/>
  <c r="O659" i="4" a="1"/>
  <c r="O660" i="4" a="1"/>
  <c r="O661" i="4" a="1"/>
  <c r="O662" i="4" a="1"/>
  <c r="O663" i="4" a="1"/>
  <c r="O664" i="4" a="1"/>
  <c r="O665" i="4" a="1"/>
  <c r="O666" i="4" a="1"/>
  <c r="O667" i="4" a="1"/>
  <c r="O668" i="4" a="1"/>
  <c r="O669" i="4" a="1"/>
  <c r="O670" i="4" a="1"/>
  <c r="O671" i="4" a="1"/>
  <c r="O672" i="4" a="1"/>
  <c r="O673" i="4" a="1"/>
  <c r="O674" i="4" a="1"/>
  <c r="O675" i="4" a="1"/>
  <c r="O676" i="4" a="1"/>
  <c r="O677" i="4" a="1"/>
  <c r="O678" i="4" a="1"/>
  <c r="O679" i="4" a="1"/>
  <c r="O680" i="4" a="1"/>
  <c r="O681" i="4" a="1"/>
  <c r="O682" i="4" a="1"/>
  <c r="O683" i="4" a="1"/>
  <c r="O684" i="4" a="1"/>
  <c r="O685" i="4" a="1"/>
  <c r="O686" i="4" a="1"/>
  <c r="O687" i="4" a="1"/>
  <c r="O688" i="4" a="1"/>
  <c r="O689" i="4" a="1"/>
  <c r="O690" i="4" a="1"/>
  <c r="O691" i="4" a="1"/>
  <c r="O692" i="4" a="1"/>
  <c r="O693" i="4" a="1"/>
  <c r="O694" i="4" a="1"/>
  <c r="O695" i="4" a="1"/>
  <c r="O696" i="4" a="1"/>
  <c r="O697" i="4" a="1"/>
  <c r="O698" i="4" a="1"/>
  <c r="O699" i="4" a="1"/>
  <c r="O700" i="4" a="1"/>
  <c r="O701" i="4" a="1"/>
  <c r="O702" i="4" a="1"/>
  <c r="O703" i="4" a="1"/>
  <c r="O704" i="4" a="1"/>
  <c r="O705" i="4" a="1"/>
  <c r="O706" i="4" a="1"/>
  <c r="O707" i="4" a="1"/>
  <c r="O708" i="4" a="1"/>
  <c r="O709" i="4" a="1"/>
  <c r="O710" i="4" a="1"/>
  <c r="O711" i="4" a="1"/>
  <c r="O712" i="4" a="1"/>
  <c r="O713" i="4" a="1"/>
  <c r="O714" i="4" a="1"/>
  <c r="O715" i="4" a="1"/>
  <c r="O716" i="4" a="1"/>
  <c r="O717" i="4" a="1"/>
  <c r="O718" i="4" a="1"/>
  <c r="O719" i="4" a="1"/>
  <c r="O720" i="4" a="1"/>
  <c r="O721" i="4" a="1"/>
  <c r="O722" i="4" a="1"/>
  <c r="O723" i="4" a="1"/>
  <c r="O724" i="4" a="1"/>
  <c r="O725" i="4" a="1"/>
  <c r="O726" i="4" a="1"/>
  <c r="O727" i="4" a="1"/>
  <c r="O728" i="4" a="1"/>
  <c r="O729" i="4" a="1"/>
  <c r="O730" i="4" a="1"/>
  <c r="O731" i="4" a="1"/>
  <c r="O732" i="4" a="1"/>
  <c r="O733" i="4" a="1"/>
  <c r="O734" i="4" a="1"/>
  <c r="O735" i="4" a="1"/>
  <c r="O736" i="4" a="1"/>
  <c r="O737" i="4" a="1"/>
  <c r="O738" i="4" a="1"/>
  <c r="O739" i="4" a="1"/>
  <c r="O740" i="4" a="1"/>
  <c r="O741" i="4" a="1"/>
  <c r="O742" i="4" a="1"/>
  <c r="O743" i="4" a="1"/>
  <c r="O744" i="4" a="1"/>
  <c r="O745" i="4" a="1"/>
  <c r="O746" i="4" a="1"/>
  <c r="O747" i="4" a="1"/>
  <c r="O748" i="4" a="1"/>
  <c r="O749" i="4" a="1"/>
  <c r="O750" i="4" a="1"/>
  <c r="O751" i="4" a="1"/>
  <c r="O752" i="4" a="1"/>
  <c r="O753" i="4" a="1"/>
  <c r="O754" i="4" a="1"/>
  <c r="O755" i="4" a="1"/>
  <c r="O756" i="4" a="1"/>
  <c r="O757" i="4" a="1"/>
  <c r="O758" i="4" a="1"/>
  <c r="O759" i="4" a="1"/>
  <c r="O760" i="4" a="1"/>
  <c r="O761" i="4" a="1"/>
  <c r="O762" i="4" a="1"/>
  <c r="O763" i="4" a="1"/>
  <c r="O764" i="4" a="1"/>
  <c r="O765" i="4" a="1"/>
  <c r="O766" i="4" a="1"/>
  <c r="O767" i="4" a="1"/>
  <c r="O768" i="4" a="1"/>
  <c r="O769" i="4" a="1"/>
  <c r="O770" i="4" a="1"/>
  <c r="O771" i="4" a="1"/>
  <c r="O772" i="4" a="1"/>
  <c r="O773" i="4" a="1"/>
  <c r="O774" i="4" a="1"/>
  <c r="O775" i="4" a="1"/>
  <c r="O776" i="4" a="1"/>
  <c r="O777" i="4" a="1"/>
  <c r="O778" i="4" a="1"/>
  <c r="O779" i="4" a="1"/>
  <c r="O780" i="4" a="1"/>
  <c r="O781" i="4" a="1"/>
  <c r="O782" i="4" a="1"/>
  <c r="O783" i="4" a="1"/>
  <c r="O784" i="4" a="1"/>
  <c r="O785" i="4" a="1"/>
  <c r="O786" i="4" a="1"/>
  <c r="O787" i="4" a="1"/>
  <c r="O788" i="4" a="1"/>
  <c r="O789" i="4" a="1"/>
  <c r="O790" i="4" a="1"/>
  <c r="O791" i="4" a="1"/>
  <c r="O792" i="4" a="1"/>
  <c r="O793" i="4" a="1"/>
  <c r="O794" i="4" a="1"/>
  <c r="O795" i="4" a="1"/>
  <c r="O796" i="4" a="1"/>
  <c r="O797" i="4" a="1"/>
  <c r="O798" i="4" a="1"/>
  <c r="O799" i="4" a="1"/>
  <c r="O800" i="4" a="1"/>
  <c r="O801" i="4" a="1"/>
  <c r="O802" i="4" a="1"/>
  <c r="O803" i="4" a="1"/>
  <c r="O804" i="4" a="1"/>
  <c r="O805" i="4" a="1"/>
  <c r="O806" i="4" a="1"/>
  <c r="O807" i="4" a="1"/>
  <c r="O808" i="4" a="1"/>
  <c r="O809" i="4" a="1"/>
  <c r="O810" i="4" a="1"/>
  <c r="O811" i="4" a="1"/>
  <c r="O812" i="4" a="1"/>
  <c r="O813" i="4" a="1"/>
  <c r="O814" i="4" a="1"/>
  <c r="O815" i="4" a="1"/>
  <c r="O816" i="4" a="1"/>
  <c r="O817" i="4" a="1"/>
  <c r="O818" i="4" a="1"/>
  <c r="O819" i="4" a="1"/>
  <c r="O820" i="4" a="1"/>
  <c r="O821" i="4" a="1"/>
  <c r="O822" i="4" a="1"/>
  <c r="O823" i="4" a="1"/>
  <c r="O824" i="4" a="1"/>
  <c r="O825" i="4" a="1"/>
  <c r="O826" i="4" a="1"/>
  <c r="O827" i="4" a="1"/>
  <c r="O828" i="4" a="1"/>
  <c r="O829" i="4" a="1"/>
  <c r="O830" i="4" a="1"/>
  <c r="O831" i="4" a="1"/>
  <c r="O832" i="4" a="1"/>
  <c r="O833" i="4" a="1"/>
  <c r="O834" i="4" a="1"/>
  <c r="O835" i="4" a="1"/>
  <c r="O836" i="4" a="1"/>
  <c r="O837" i="4" a="1"/>
  <c r="O838" i="4" a="1"/>
  <c r="O839" i="4" a="1"/>
  <c r="O840" i="4" a="1"/>
  <c r="O841" i="4" a="1"/>
  <c r="O842" i="4" a="1"/>
  <c r="O843" i="4" a="1"/>
  <c r="O844" i="4" a="1"/>
  <c r="O845" i="4" a="1"/>
  <c r="O846" i="4" a="1"/>
  <c r="O847" i="4" a="1"/>
  <c r="O848" i="4" a="1"/>
  <c r="O849" i="4" a="1"/>
  <c r="O850" i="4" a="1"/>
  <c r="O851" i="4" a="1"/>
  <c r="O852" i="4" a="1"/>
  <c r="O853" i="4" a="1"/>
  <c r="O854" i="4" a="1"/>
  <c r="O855" i="4" a="1"/>
  <c r="O856" i="4" a="1"/>
  <c r="O857" i="4" a="1"/>
  <c r="O858" i="4" a="1"/>
  <c r="O859" i="4" a="1"/>
  <c r="O860" i="4" a="1"/>
  <c r="O861" i="4" a="1"/>
  <c r="O862" i="4" a="1"/>
  <c r="O863" i="4" a="1"/>
  <c r="O864" i="4" a="1"/>
  <c r="O865" i="4" a="1"/>
  <c r="O866" i="4" a="1"/>
  <c r="O867" i="4" a="1"/>
  <c r="O868" i="4" a="1"/>
  <c r="O869" i="4" a="1"/>
  <c r="O870" i="4" a="1"/>
  <c r="O871" i="4" a="1"/>
  <c r="O872" i="4" a="1"/>
  <c r="O873" i="4" a="1"/>
  <c r="O874" i="4" a="1"/>
  <c r="O875" i="4" a="1"/>
  <c r="O876" i="4" a="1"/>
  <c r="O877" i="4" a="1"/>
  <c r="O878" i="4" a="1"/>
  <c r="O879" i="4" a="1"/>
  <c r="O880" i="4" a="1"/>
  <c r="O881" i="4" a="1"/>
  <c r="O882" i="4" a="1"/>
  <c r="O883" i="4" a="1"/>
  <c r="O884" i="4" a="1"/>
  <c r="O885" i="4" a="1"/>
  <c r="O886" i="4" a="1"/>
  <c r="O887" i="4" a="1"/>
  <c r="O888" i="4" a="1"/>
  <c r="O889" i="4" a="1"/>
  <c r="O890" i="4" a="1"/>
  <c r="O891" i="4" a="1"/>
  <c r="O892" i="4" a="1"/>
  <c r="O893" i="4" a="1"/>
  <c r="O894" i="4" a="1"/>
  <c r="O895" i="4" a="1"/>
  <c r="O896" i="4" a="1"/>
  <c r="O897" i="4" a="1"/>
  <c r="O898" i="4" a="1"/>
  <c r="O899" i="4" a="1"/>
  <c r="O900" i="4" a="1"/>
  <c r="O901" i="4" a="1"/>
  <c r="O902" i="4" a="1"/>
  <c r="O903" i="4" a="1"/>
  <c r="O904" i="4" a="1"/>
  <c r="O905" i="4" a="1"/>
  <c r="O906" i="4" a="1"/>
  <c r="O907" i="4" a="1"/>
  <c r="O908" i="4" a="1"/>
  <c r="O909" i="4" a="1"/>
  <c r="O910" i="4" a="1"/>
  <c r="O911" i="4" a="1"/>
  <c r="O912" i="4" a="1"/>
  <c r="O913" i="4" a="1"/>
  <c r="O914" i="4" a="1"/>
  <c r="O915" i="4" a="1"/>
  <c r="O916" i="4" a="1"/>
  <c r="O917" i="4" a="1"/>
  <c r="O918" i="4" a="1"/>
  <c r="O919" i="4" a="1"/>
  <c r="O920" i="4" a="1"/>
  <c r="O921" i="4" a="1"/>
  <c r="O922" i="4" a="1"/>
  <c r="O923" i="4" a="1"/>
  <c r="O924" i="4" a="1"/>
  <c r="O925" i="4" a="1"/>
  <c r="O926" i="4" a="1"/>
  <c r="O927" i="4" a="1"/>
  <c r="O928" i="4" a="1"/>
  <c r="O929" i="4" a="1"/>
  <c r="O930" i="4" a="1"/>
  <c r="O931" i="4" a="1"/>
  <c r="O932" i="4" a="1"/>
  <c r="O933" i="4" a="1"/>
  <c r="O934" i="4" a="1"/>
  <c r="O935" i="4" a="1"/>
  <c r="O936" i="4" a="1"/>
  <c r="O937" i="4" a="1"/>
  <c r="O938" i="4" a="1"/>
  <c r="O939" i="4" a="1"/>
  <c r="O940" i="4" a="1"/>
  <c r="O941" i="4" a="1"/>
  <c r="O942" i="4" a="1"/>
  <c r="O943" i="4" a="1"/>
  <c r="O944" i="4" a="1"/>
  <c r="O945" i="4" a="1"/>
  <c r="O946" i="4" a="1"/>
  <c r="O947" i="4" a="1"/>
  <c r="O948" i="4" a="1"/>
  <c r="O949" i="4" a="1"/>
  <c r="O950" i="4" a="1"/>
  <c r="O951" i="4" a="1"/>
  <c r="O952" i="4" a="1"/>
  <c r="O953" i="4" a="1"/>
  <c r="O954" i="4" a="1"/>
  <c r="O955" i="4" a="1"/>
  <c r="O956" i="4" a="1"/>
  <c r="O957" i="4" a="1"/>
  <c r="O958" i="4" a="1"/>
  <c r="O959" i="4" a="1"/>
  <c r="O960" i="4" a="1"/>
  <c r="O961" i="4" a="1"/>
  <c r="O962" i="4" a="1"/>
  <c r="O963" i="4" a="1"/>
  <c r="O964" i="4" a="1"/>
  <c r="O965" i="4" a="1"/>
  <c r="O966" i="4" a="1"/>
  <c r="O967" i="4" a="1"/>
  <c r="O968" i="4" a="1"/>
  <c r="O969" i="4" a="1"/>
  <c r="O970" i="4" a="1"/>
  <c r="O971" i="4" a="1"/>
  <c r="O972" i="4" a="1"/>
  <c r="O973" i="4" a="1"/>
  <c r="O974" i="4" a="1"/>
  <c r="O975" i="4" a="1"/>
  <c r="O976" i="4" a="1"/>
  <c r="O977" i="4" a="1"/>
  <c r="O978" i="4" a="1"/>
  <c r="O979" i="4" a="1"/>
  <c r="O980" i="4" a="1"/>
  <c r="O981" i="4" a="1"/>
  <c r="O982" i="4" a="1"/>
  <c r="O983" i="4" a="1"/>
  <c r="O984" i="4" a="1"/>
  <c r="O985" i="4" a="1"/>
  <c r="O986" i="4" a="1"/>
  <c r="O987" i="4" a="1"/>
  <c r="O988" i="4" a="1"/>
  <c r="O989" i="4" a="1"/>
  <c r="O990" i="4" a="1"/>
  <c r="O991" i="4" a="1"/>
  <c r="O992" i="4" a="1"/>
  <c r="O993" i="4" a="1"/>
  <c r="O994" i="4" a="1"/>
  <c r="O995" i="4" a="1"/>
  <c r="O996" i="4" a="1"/>
  <c r="O997" i="4" a="1"/>
  <c r="O998" i="4" a="1"/>
  <c r="O999" i="4" a="1"/>
  <c r="O1000" i="4" a="1"/>
  <c r="O1001" i="4" a="1"/>
  <c r="O1002" i="4" a="1"/>
  <c r="O1003" i="4" a="1"/>
  <c r="O1004" i="4" a="1"/>
  <c r="O1005" i="4" a="1"/>
  <c r="O1006" i="4" a="1"/>
  <c r="O1007" i="4" a="1"/>
  <c r="O1008" i="4" a="1"/>
  <c r="O1009" i="4" a="1"/>
  <c r="O1010" i="4" a="1"/>
  <c r="O1011" i="4" a="1"/>
  <c r="O1012" i="4" a="1"/>
  <c r="O1013" i="4" a="1"/>
  <c r="O1014" i="4" a="1"/>
  <c r="O1015" i="4" a="1"/>
  <c r="O1016" i="4" a="1"/>
  <c r="O1017" i="4" a="1"/>
  <c r="O1018" i="4" a="1"/>
  <c r="O1019" i="4" a="1"/>
  <c r="O1020" i="4" a="1"/>
  <c r="O1021" i="4" a="1"/>
  <c r="O1022" i="4" a="1"/>
  <c r="O1023" i="4" a="1"/>
  <c r="O1024" i="4" a="1"/>
  <c r="O1025" i="4" a="1"/>
  <c r="O1026" i="4" a="1"/>
  <c r="O1027" i="4" a="1"/>
  <c r="O1028" i="4" a="1"/>
  <c r="O1029" i="4" a="1"/>
  <c r="O1030" i="4" a="1"/>
  <c r="O1031" i="4" a="1"/>
  <c r="O1032" i="4" a="1"/>
  <c r="O1033" i="4" a="1"/>
  <c r="O1034" i="4" a="1"/>
  <c r="O1035" i="4" a="1"/>
  <c r="O1036" i="4" a="1"/>
  <c r="O1037" i="4" a="1"/>
  <c r="O1038" i="4" a="1"/>
  <c r="O1039" i="4" a="1"/>
  <c r="O1040" i="4" a="1"/>
  <c r="O1041" i="4" a="1"/>
  <c r="O1042" i="4" a="1"/>
  <c r="O1043" i="4" a="1"/>
  <c r="O1044" i="4" a="1"/>
  <c r="O1045" i="4" a="1"/>
  <c r="O1046" i="4" a="1"/>
  <c r="O1047" i="4" a="1"/>
  <c r="O1048" i="4" a="1"/>
  <c r="O1049" i="4" a="1"/>
  <c r="O1050" i="4" a="1"/>
  <c r="O1051" i="4" a="1"/>
  <c r="O1052" i="4" a="1"/>
  <c r="O1053" i="4" a="1"/>
  <c r="O1054" i="4" a="1"/>
  <c r="O1055" i="4" a="1"/>
  <c r="O1056" i="4" a="1"/>
  <c r="O1057" i="4" a="1"/>
  <c r="O1058" i="4" a="1"/>
  <c r="O1059" i="4" a="1"/>
  <c r="O1060" i="4" a="1"/>
  <c r="O1061" i="4" a="1"/>
  <c r="O1062" i="4" a="1"/>
  <c r="O1063" i="4" a="1"/>
  <c r="O1064" i="4" a="1"/>
  <c r="O1065" i="4" a="1"/>
  <c r="O1066" i="4" a="1"/>
  <c r="O1067" i="4" a="1"/>
  <c r="O1068" i="4" a="1"/>
  <c r="O1069" i="4" a="1"/>
  <c r="O1070" i="4" a="1"/>
  <c r="O1071" i="4" a="1"/>
  <c r="O1072" i="4" a="1"/>
  <c r="O1073" i="4" a="1"/>
  <c r="O1074" i="4" a="1"/>
  <c r="O1075" i="4" a="1"/>
  <c r="O1076" i="4" a="1"/>
  <c r="O1077" i="4" a="1"/>
  <c r="O1078" i="4" a="1"/>
  <c r="O1079" i="4" a="1"/>
  <c r="O1080" i="4" a="1"/>
  <c r="O1081" i="4" a="1"/>
  <c r="O1082" i="4" a="1"/>
  <c r="O1083" i="4" a="1"/>
  <c r="O1084" i="4" a="1"/>
  <c r="O1085" i="4" a="1"/>
  <c r="O1086" i="4" a="1"/>
  <c r="O1087" i="4" a="1"/>
  <c r="O1088" i="4" a="1"/>
  <c r="O1089" i="4" a="1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J9" i="3" a="1"/>
  <c r="J8" i="3" a="1"/>
  <c r="J7" i="3" a="1"/>
  <c r="J6" i="3"/>
  <c r="B22" i="3" a="1"/>
  <c r="B20" i="3" a="1"/>
  <c r="E7" i="3"/>
  <c r="E8" i="3"/>
  <c r="E9" i="3"/>
  <c r="E10" i="3"/>
  <c r="E11" i="3"/>
  <c r="E12" i="3"/>
  <c r="E13" i="3"/>
  <c r="E14" i="3"/>
  <c r="E15" i="3"/>
  <c r="E16" i="3"/>
  <c r="E17" i="3"/>
  <c r="E6" i="3"/>
  <c r="D7" i="3"/>
  <c r="D8" i="3"/>
  <c r="D9" i="3"/>
  <c r="D10" i="3"/>
  <c r="D11" i="3"/>
  <c r="D12" i="3"/>
  <c r="D13" i="3"/>
  <c r="D14" i="3"/>
  <c r="D15" i="3"/>
  <c r="D16" i="3"/>
  <c r="D17" i="3"/>
  <c r="D6" i="3"/>
  <c r="C7" i="3" a="1"/>
  <c r="C8" i="3" a="1"/>
  <c r="C9" i="3" a="1"/>
  <c r="C10" i="3" a="1"/>
  <c r="C11" i="3" a="1"/>
  <c r="C12" i="3" a="1"/>
  <c r="C13" i="3" a="1"/>
  <c r="C14" i="3" a="1"/>
  <c r="C15" i="3" a="1"/>
  <c r="C16" i="3" a="1"/>
  <c r="C17" i="3" a="1"/>
  <c r="C6" i="3" a="1"/>
  <c r="B7" i="3"/>
  <c r="B8" i="3"/>
  <c r="B9" i="3"/>
  <c r="B10" i="3"/>
  <c r="B11" i="3"/>
  <c r="B12" i="3"/>
  <c r="B13" i="3"/>
  <c r="B14" i="3"/>
  <c r="B15" i="3"/>
  <c r="B16" i="3"/>
  <c r="B17" i="3"/>
  <c r="B6" i="3"/>
  <c r="A6" i="3" a="1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D5085-393A-4412-9FF4-0686CEAD3134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2D525912-6D00-4060-B3DB-B5D7E9816063}" keepAlive="1" name="Query - country_region" description="Connection to the 'country_region' query in the workbook." type="5" refreshedVersion="8" background="1" saveData="1">
    <dbPr connection="Provider=Microsoft.Mashup.OleDb.1;Data Source=$Workbook$;Location=country_region;Extended Properties=&quot;&quot;" command="SELECT * FROM [country_region]"/>
  </connection>
  <connection id="3" xr16:uid="{7B1B0CEF-888B-4AA2-A92F-FFD9ECFF75F5}" keepAlive="1" name="Query - event_type_category" description="Connection to the 'event_type_category' query in the workbook." type="5" refreshedVersion="8" background="1" saveData="1">
    <dbPr connection="Provider=Microsoft.Mashup.OleDb.1;Data Source=$Workbook$;Location=event_type_category;Extended Properties=&quot;&quot;" command="SELECT * FROM [event_type_category]"/>
  </connection>
  <connection id="4" xr16:uid="{F3877CA6-5847-4928-B79C-488BFD898CEB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<sst xmlns="http://schemas.openxmlformats.org/spreadsheetml/2006/main" count="24296" uniqueCount="5121">
  <si>
    <t>Sl. No</t>
  </si>
  <si>
    <t>Name of Incident</t>
  </si>
  <si>
    <t>Date</t>
  </si>
  <si>
    <t>Month</t>
  </si>
  <si>
    <t>Year</t>
  </si>
  <si>
    <t>Country</t>
  </si>
  <si>
    <t>Type of Event</t>
  </si>
  <si>
    <t>Place Name</t>
  </si>
  <si>
    <t>Impact</t>
  </si>
  <si>
    <t>Affected Population</t>
  </si>
  <si>
    <t>Important Person/Group Responsible</t>
  </si>
  <si>
    <t>Outcome</t>
  </si>
  <si>
    <t>Indus Valley Civilization Flourishes</t>
  </si>
  <si>
    <t>Unknown</t>
  </si>
  <si>
    <t>2600 BC</t>
  </si>
  <si>
    <t>India</t>
  </si>
  <si>
    <t>Civilization</t>
  </si>
  <si>
    <t>Indus Valley</t>
  </si>
  <si>
    <t>Development of one of the world's earliest urban civilizations</t>
  </si>
  <si>
    <t>Local inhabitants</t>
  </si>
  <si>
    <t>Indus Valley people</t>
  </si>
  <si>
    <t>Positive</t>
  </si>
  <si>
    <t>Battle of the Ten Kings</t>
  </si>
  <si>
    <t>1400 BC</t>
  </si>
  <si>
    <t>Battle</t>
  </si>
  <si>
    <t>Punjab</t>
  </si>
  <si>
    <t>Rigvedic tribes consolidated their control over the region</t>
  </si>
  <si>
    <t>Rigvedic tribes</t>
  </si>
  <si>
    <t>Sudas</t>
  </si>
  <si>
    <t>Establishment of the Delhi Sultanate</t>
  </si>
  <si>
    <t>1206</t>
  </si>
  <si>
    <t>Political</t>
  </si>
  <si>
    <t>Delhi</t>
  </si>
  <si>
    <t>Muslim rule established in parts of India</t>
  </si>
  <si>
    <t>People of Delhi and surrounding regions</t>
  </si>
  <si>
    <t>QutbUnknownudUnknowndin Aibak</t>
  </si>
  <si>
    <t>Mixed</t>
  </si>
  <si>
    <t>Battle of Panipat</t>
  </si>
  <si>
    <t>21</t>
  </si>
  <si>
    <t>April</t>
  </si>
  <si>
    <t>1526</t>
  </si>
  <si>
    <t>Panipat</t>
  </si>
  <si>
    <t>Foundation of the Mughal Empire in India</t>
  </si>
  <si>
    <t>Northern Indian kingdoms</t>
  </si>
  <si>
    <t>Babur</t>
  </si>
  <si>
    <t>Establishment of British Raj</t>
  </si>
  <si>
    <t>1</t>
  </si>
  <si>
    <t>May</t>
  </si>
  <si>
    <t>1858</t>
  </si>
  <si>
    <t>Colonial</t>
  </si>
  <si>
    <t>Whole India</t>
  </si>
  <si>
    <t>Start of direct British governance in India</t>
  </si>
  <si>
    <t>Indian subcontinent</t>
  </si>
  <si>
    <t>British East India Company/Empire</t>
  </si>
  <si>
    <t>Negative</t>
  </si>
  <si>
    <t>Partition of India</t>
  </si>
  <si>
    <t>15</t>
  </si>
  <si>
    <t>August</t>
  </si>
  <si>
    <t>1947</t>
  </si>
  <si>
    <t>Partition</t>
  </si>
  <si>
    <t>India/Pakistan</t>
  </si>
  <si>
    <t>Creation of India and Pakistan; massive population displacement and violence</t>
  </si>
  <si>
    <t>Hindus, Muslims, Sikhs</t>
  </si>
  <si>
    <t>British Empire, Indian political leaders</t>
  </si>
  <si>
    <t>IndoUnknownPakistani War of 1971</t>
  </si>
  <si>
    <t>3</t>
  </si>
  <si>
    <t>December</t>
  </si>
  <si>
    <t>1971</t>
  </si>
  <si>
    <t>War</t>
  </si>
  <si>
    <t>Bangladesh</t>
  </si>
  <si>
    <t>Led to the independence of Bangladesh</t>
  </si>
  <si>
    <t>Bengalis in East Pakistan</t>
  </si>
  <si>
    <t>Indian Military, Mukti Bahini</t>
  </si>
  <si>
    <t>PokhranUnknownII Nuclear Tests</t>
  </si>
  <si>
    <t>11</t>
  </si>
  <si>
    <t>1998</t>
  </si>
  <si>
    <t>Nuclear Test</t>
  </si>
  <si>
    <t>Pokhran</t>
  </si>
  <si>
    <t>India declared itself a nuclear state</t>
  </si>
  <si>
    <t>International community</t>
  </si>
  <si>
    <t>Atal Bihari Vajpayee</t>
  </si>
  <si>
    <t>Mumbai Terror Attacks</t>
  </si>
  <si>
    <t>26</t>
  </si>
  <si>
    <t>November</t>
  </si>
  <si>
    <t>2008</t>
  </si>
  <si>
    <t>Terrorism</t>
  </si>
  <si>
    <t>Mumbai</t>
  </si>
  <si>
    <t>Highlighted the threat of international terrorism</t>
  </si>
  <si>
    <t>Citizens of Mumbai</t>
  </si>
  <si>
    <t>LashkarUnknowneUnknownTaiba</t>
  </si>
  <si>
    <t>Arrival of Vasco da Gama</t>
  </si>
  <si>
    <t>20</t>
  </si>
  <si>
    <t>1498</t>
  </si>
  <si>
    <t>Exploration</t>
  </si>
  <si>
    <t>Calicut</t>
  </si>
  <si>
    <t>Marked the beginning of European colonial interests in India</t>
  </si>
  <si>
    <t>Coastal communities</t>
  </si>
  <si>
    <t>Vasco da Gama</t>
  </si>
  <si>
    <t>Battle of Plassey</t>
  </si>
  <si>
    <t>23</t>
  </si>
  <si>
    <t>June</t>
  </si>
  <si>
    <t>1757</t>
  </si>
  <si>
    <t>Plassey</t>
  </si>
  <si>
    <t>Foundation for the expansion of British rule in India</t>
  </si>
  <si>
    <t>Bengal and later all of India</t>
  </si>
  <si>
    <t>East India Company</t>
  </si>
  <si>
    <t>First War of Indian Independence</t>
  </si>
  <si>
    <t>10</t>
  </si>
  <si>
    <t>1857</t>
  </si>
  <si>
    <t>Revolt</t>
  </si>
  <si>
    <t>Meerut</t>
  </si>
  <si>
    <t>First largeUnknownscale rebellion against British rule</t>
  </si>
  <si>
    <t>Rebels, British Raj</t>
  </si>
  <si>
    <t>Indian soldiers, British East India Company</t>
  </si>
  <si>
    <t>Swadeshi Movement</t>
  </si>
  <si>
    <t>7</t>
  </si>
  <si>
    <t>1905</t>
  </si>
  <si>
    <t>National Movement</t>
  </si>
  <si>
    <t>Bengal</t>
  </si>
  <si>
    <t>Promoted Indian goods; protest against British economic policies</t>
  </si>
  <si>
    <t>Indian nationalists</t>
  </si>
  <si>
    <t>Indian National Congress</t>
  </si>
  <si>
    <t>Green Revolution</t>
  </si>
  <si>
    <t>1960</t>
  </si>
  <si>
    <t>Agricultural Revolution</t>
  </si>
  <si>
    <t>Punjab, Haryana</t>
  </si>
  <si>
    <t>Dramatically increased agricultural production</t>
  </si>
  <si>
    <t>Indian farmers</t>
  </si>
  <si>
    <t>M.S. Swaminathan, Norman Borlaug</t>
  </si>
  <si>
    <t>Operation Blue Star</t>
  </si>
  <si>
    <t>1984</t>
  </si>
  <si>
    <t>Military Operation</t>
  </si>
  <si>
    <t>Amritsar</t>
  </si>
  <si>
    <t>Removal of armed militants from Golden Temple but led to controversy</t>
  </si>
  <si>
    <t>Sikh community</t>
  </si>
  <si>
    <t>Indian Government, Sikh militants</t>
  </si>
  <si>
    <t>Kargil War</t>
  </si>
  <si>
    <t>1999</t>
  </si>
  <si>
    <t>Military Conflict</t>
  </si>
  <si>
    <t>Kargil, Ladakh</t>
  </si>
  <si>
    <t>India regained control of Kargil; heightened patriotism</t>
  </si>
  <si>
    <t>Indian Armed Forces</t>
  </si>
  <si>
    <t>Indian Government, Pakistani Military</t>
  </si>
  <si>
    <t>Right to Information Act Enacted</t>
  </si>
  <si>
    <t>2005</t>
  </si>
  <si>
    <t>Legislation</t>
  </si>
  <si>
    <t>Empowered citizens to seek information from public authorities</t>
  </si>
  <si>
    <t>Indian citizens</t>
  </si>
  <si>
    <t>Government of India</t>
  </si>
  <si>
    <t>Nirbhaya Case</t>
  </si>
  <si>
    <t>16</t>
  </si>
  <si>
    <t>2012</t>
  </si>
  <si>
    <t>Criminal Incident</t>
  </si>
  <si>
    <t>New Delhi</t>
  </si>
  <si>
    <t>Brought attention to women's safety and led to legal reforms</t>
  </si>
  <si>
    <t>Indian women</t>
  </si>
  <si>
    <t>Indian society, Government of India</t>
  </si>
  <si>
    <t>Launch of 5G Services</t>
  </si>
  <si>
    <t>October</t>
  </si>
  <si>
    <t>2022</t>
  </si>
  <si>
    <t>Technology</t>
  </si>
  <si>
    <t>Introduction of 5G technology expected to revolutionize connectivity</t>
  </si>
  <si>
    <t>Indian consumers, businesses</t>
  </si>
  <si>
    <t>Telecom companies, Government of India</t>
  </si>
  <si>
    <t>Ram Mandir Bhoomi Pujan</t>
  </si>
  <si>
    <t>5</t>
  </si>
  <si>
    <t>2020</t>
  </si>
  <si>
    <t>Cultural/Religious</t>
  </si>
  <si>
    <t>Ayodhya</t>
  </si>
  <si>
    <t>Beginning of the construction of Ram Temple at disputed site</t>
  </si>
  <si>
    <t>Hindu community</t>
  </si>
  <si>
    <t>Government of India, Hindu activists</t>
  </si>
  <si>
    <t>India's First Hyperloop Project Announcement</t>
  </si>
  <si>
    <t>February</t>
  </si>
  <si>
    <t>2018</t>
  </si>
  <si>
    <t>Infrastructure</t>
  </si>
  <si>
    <t>Maharashtra</t>
  </si>
  <si>
    <t>Proposal for highUnknownspeed transportation system</t>
  </si>
  <si>
    <t>Potential commuters</t>
  </si>
  <si>
    <t>Virgin Hyperloop One, State Government</t>
  </si>
  <si>
    <t>Indian Independence</t>
  </si>
  <si>
    <t>End of British rule and birth of independent India</t>
  </si>
  <si>
    <t>All citizens of India</t>
  </si>
  <si>
    <t>Indian National Congress, Muslim League</t>
  </si>
  <si>
    <t>First General Elections</t>
  </si>
  <si>
    <t>1951</t>
  </si>
  <si>
    <t>Establishment of democratic governance</t>
  </si>
  <si>
    <t>Indian electorate</t>
  </si>
  <si>
    <t>SinoUnknownIndian War</t>
  </si>
  <si>
    <t>1962</t>
  </si>
  <si>
    <t>Border regions of India</t>
  </si>
  <si>
    <t>Highlighted the border disputes and led to military and strategic changes</t>
  </si>
  <si>
    <t>Border communities</t>
  </si>
  <si>
    <t>India, China</t>
  </si>
  <si>
    <t>First Nuclear Test (Smiling Buddha)</t>
  </si>
  <si>
    <t>18</t>
  </si>
  <si>
    <t>1974</t>
  </si>
  <si>
    <t>Pokhran, Rajasthan</t>
  </si>
  <si>
    <t>India joins the nuclear club, changing its strategic position globally</t>
  </si>
  <si>
    <t>Emergency Declared by Indira Gandhi</t>
  </si>
  <si>
    <t>25</t>
  </si>
  <si>
    <t>1975</t>
  </si>
  <si>
    <t>Period of political unrest and curtailment of civil liberties</t>
  </si>
  <si>
    <t>Indira Gandhi, Government of India</t>
  </si>
  <si>
    <t>Bhopal Gas Tragedy</t>
  </si>
  <si>
    <t>Industrial Disaster</t>
  </si>
  <si>
    <t>Bhopal, Madhya Pradesh</t>
  </si>
  <si>
    <t>World's worst industrial disaster</t>
  </si>
  <si>
    <t>Residents of Bhopal</t>
  </si>
  <si>
    <t>Union Carbide Corporation</t>
  </si>
  <si>
    <t>Economic Reforms and Liberalization</t>
  </si>
  <si>
    <t>July</t>
  </si>
  <si>
    <t>1991</t>
  </si>
  <si>
    <t>Economic Policy</t>
  </si>
  <si>
    <t>Opening of the Indian economy to global markets and investors</t>
  </si>
  <si>
    <t>Indian businesses, workers</t>
  </si>
  <si>
    <t>Manmohan Singh, P.V. Narasimha Rao</t>
  </si>
  <si>
    <t>Kandahar Hijacking (IC 814)</t>
  </si>
  <si>
    <t>24</t>
  </si>
  <si>
    <t>Kandahar, Afghanistan</t>
  </si>
  <si>
    <t>Highlighted issues in aviation security and terrorism</t>
  </si>
  <si>
    <t>Passengers, crew</t>
  </si>
  <si>
    <t>Hijackers, Indian Government</t>
  </si>
  <si>
    <t>2001 Indian Parliament Attack</t>
  </si>
  <si>
    <t>13</t>
  </si>
  <si>
    <t>2001</t>
  </si>
  <si>
    <t>Led to increased tensions between India and Pakistan</t>
  </si>
  <si>
    <t>Indian political system</t>
  </si>
  <si>
    <t>Terrorist groups, Government of India</t>
  </si>
  <si>
    <t>Right to Education Act</t>
  </si>
  <si>
    <t>4</t>
  </si>
  <si>
    <t>2009</t>
  </si>
  <si>
    <t>Ensured free and compulsory education for children</t>
  </si>
  <si>
    <t>Children aged 6 to 14</t>
  </si>
  <si>
    <t>Article 370 Revocation for Jammu &amp; Kashmir</t>
  </si>
  <si>
    <t>2019</t>
  </si>
  <si>
    <t>Jammu &amp; Kashmir</t>
  </si>
  <si>
    <t>Changed the special status and autonomy of J&amp;K</t>
  </si>
  <si>
    <t>Residents of J&amp;K</t>
  </si>
  <si>
    <t>Supreme Court Verdict on Ayodhya</t>
  </si>
  <si>
    <t>9</t>
  </si>
  <si>
    <t>Judiciary</t>
  </si>
  <si>
    <t>Paved the way for the construction of a Ram Temple</t>
  </si>
  <si>
    <t>Hindu and Muslim communities</t>
  </si>
  <si>
    <t>Supreme Court of India</t>
  </si>
  <si>
    <t>Opening of BandraUnknownWorli Sea Link</t>
  </si>
  <si>
    <t>30</t>
  </si>
  <si>
    <t>Improved connectivity and reduced travel time in Mumbai</t>
  </si>
  <si>
    <t>Commuters in Mumbai</t>
  </si>
  <si>
    <t>Government of Maharashtra</t>
  </si>
  <si>
    <t>Statue of Unity Unveiled</t>
  </si>
  <si>
    <t>31</t>
  </si>
  <si>
    <t>Cultural/Political</t>
  </si>
  <si>
    <t>Gujarat</t>
  </si>
  <si>
    <t>Became the world's tallest statue, symbolizing unity</t>
  </si>
  <si>
    <t>Triple Talaq Bill Passed</t>
  </si>
  <si>
    <t>Made instant triple talaq a criminal offence</t>
  </si>
  <si>
    <t>Muslim women</t>
  </si>
  <si>
    <t>Parliament of India</t>
  </si>
  <si>
    <t>India's First Transgender University</t>
  </si>
  <si>
    <t>January</t>
  </si>
  <si>
    <t>Education</t>
  </si>
  <si>
    <t>Uttar Pradesh</t>
  </si>
  <si>
    <t>Empowered the transgender community through education</t>
  </si>
  <si>
    <t>Transgender community</t>
  </si>
  <si>
    <t>Dr. Akhilesh Das Gupta Foundation</t>
  </si>
  <si>
    <t>Nationwide Lockdown due to COVIDUnknown19</t>
  </si>
  <si>
    <t>March</t>
  </si>
  <si>
    <t>Public Health</t>
  </si>
  <si>
    <t>Aimed to prevent the spread of COVIDUnknown19; significant economic impact</t>
  </si>
  <si>
    <t>Entire population</t>
  </si>
  <si>
    <t>Historic Win in Cricket World Cup 1983</t>
  </si>
  <si>
    <t>1983</t>
  </si>
  <si>
    <t>Sports</t>
  </si>
  <si>
    <t>Lord's, England</t>
  </si>
  <si>
    <t>Marked India's first Cricket World Cup win, boosting the sport's popularity</t>
  </si>
  <si>
    <t>Indian sports fans</t>
  </si>
  <si>
    <t>Indian cricket team</t>
  </si>
  <si>
    <t>2013 Uttarakhand Floods</t>
  </si>
  <si>
    <t>2013</t>
  </si>
  <si>
    <t>Natural Disaster</t>
  </si>
  <si>
    <t>Uttarakhand</t>
  </si>
  <si>
    <t>Severe floods causing massive destruction and loss of life</t>
  </si>
  <si>
    <t>Residents, pilgrims</t>
  </si>
  <si>
    <t>State Government, National Disaster Response Force</t>
  </si>
  <si>
    <t>Indian Mars Orbiter Mission Success</t>
  </si>
  <si>
    <t>September</t>
  </si>
  <si>
    <t>2014</t>
  </si>
  <si>
    <t>Space Exploration</t>
  </si>
  <si>
    <t>Mars</t>
  </si>
  <si>
    <t>Made India the first Asian nation to reach Mars orbit, and at first attempt</t>
  </si>
  <si>
    <t>Indian scientific community</t>
  </si>
  <si>
    <t>ISRO</t>
  </si>
  <si>
    <t>India Wins ICC T20 World Cup 2007</t>
  </si>
  <si>
    <t>2007</t>
  </si>
  <si>
    <t>South Africa</t>
  </si>
  <si>
    <t>Boosted the popularity of T20 cricket in India and worldwide</t>
  </si>
  <si>
    <t>India's Demonetisation Campaign</t>
  </si>
  <si>
    <t>8</t>
  </si>
  <si>
    <t>2016</t>
  </si>
  <si>
    <t>Nationwide</t>
  </si>
  <si>
    <t>Aimed to curb illegal cash holdings, and promote digital transactions</t>
  </si>
  <si>
    <t>Government of India, Prime Minister Narendra Modi</t>
  </si>
  <si>
    <t>Introduction of UPI (Unified Payment Interface)</t>
  </si>
  <si>
    <t>Financial Technology</t>
  </si>
  <si>
    <t>Revolutionized digital payments in India, making transactions simple and fast</t>
  </si>
  <si>
    <t>National Payments Corporation of India (NPCI)</t>
  </si>
  <si>
    <t>Jio Telecom Launch</t>
  </si>
  <si>
    <t>Telecommunications</t>
  </si>
  <si>
    <t>Dramatically increased internet accessibility and usage in India</t>
  </si>
  <si>
    <t>Indian population</t>
  </si>
  <si>
    <t>Reliance Industries</t>
  </si>
  <si>
    <t>Abolition of Instant Triple Talaq</t>
  </si>
  <si>
    <t>Legal</t>
  </si>
  <si>
    <t>Protected Muslim women's rights by making instant triple talaq illegal</t>
  </si>
  <si>
    <t>Asiatic Lion Census Showing Population Increase</t>
  </si>
  <si>
    <t>Wildlife Conservation</t>
  </si>
  <si>
    <t>Indicated successful conservation efforts, with an increase in the Asiatic lion population</t>
  </si>
  <si>
    <t>Asiatic lions</t>
  </si>
  <si>
    <t>Wildlife Conservationists, Government of Gujarat</t>
  </si>
  <si>
    <t>Decriminalisation of Section 377</t>
  </si>
  <si>
    <t>6</t>
  </si>
  <si>
    <t>Landmark judgement for LGBTQ+ rights in India, decriminalizing homosexuality</t>
  </si>
  <si>
    <t>LGBTQ+ community</t>
  </si>
  <si>
    <t>Launch of ChandrayaanUnknown1</t>
  </si>
  <si>
    <t>22</t>
  </si>
  <si>
    <t>Moon</t>
  </si>
  <si>
    <t>India's first lunar mission, contributing significant findings like water molecules on Moon</t>
  </si>
  <si>
    <t>Scientific community</t>
  </si>
  <si>
    <t>Indian Space Research Organisation (ISRO)</t>
  </si>
  <si>
    <t>Start of Swachh Bharat Mission</t>
  </si>
  <si>
    <t>2</t>
  </si>
  <si>
    <t>Environmental/Social</t>
  </si>
  <si>
    <t>Aimed at cleaning up the streets, roads and infrastructure of cities, towns, and rural areas</t>
  </si>
  <si>
    <t>Pulwama Terrorist Attack</t>
  </si>
  <si>
    <t>14</t>
  </si>
  <si>
    <t>Pulwama, Jammu and Kashmir</t>
  </si>
  <si>
    <t>Led to a significant military and diplomatic standoff between India and Pakistan</t>
  </si>
  <si>
    <t>Indian security forces</t>
  </si>
  <si>
    <t>JaishUnknowneUnknownMohammed</t>
  </si>
  <si>
    <t>Historic Solar Alliance Initiative</t>
  </si>
  <si>
    <t>2015</t>
  </si>
  <si>
    <t>International Cooperation</t>
  </si>
  <si>
    <t>Paris, France</t>
  </si>
  <si>
    <t>India coUnknownlaunched the International Solar Alliance to promote solar energy globally</t>
  </si>
  <si>
    <t>Global community</t>
  </si>
  <si>
    <t>Government of India, France</t>
  </si>
  <si>
    <t>GST (Goods and Services Tax) Implementation</t>
  </si>
  <si>
    <t>2017</t>
  </si>
  <si>
    <t>Economic Reform</t>
  </si>
  <si>
    <t>Unified the country's tax system, replacing multiple indirect taxes with a single tax</t>
  </si>
  <si>
    <t>Businesses, consumers</t>
  </si>
  <si>
    <t>Citizenship Amendment Act (CAA) Implementation</t>
  </si>
  <si>
    <t>12</t>
  </si>
  <si>
    <t>Led to widespread protests due to concerns over citizenship criteria based on religion</t>
  </si>
  <si>
    <t>2016 Uri Attack and Subsequent Surgical Strikes</t>
  </si>
  <si>
    <t>Military</t>
  </si>
  <si>
    <t>Uri, Jammu and Kashmir</t>
  </si>
  <si>
    <t>Led to crossUnknownborder surgical strikes by India against militant launch pads in Pakistan</t>
  </si>
  <si>
    <t>Military forces</t>
  </si>
  <si>
    <t>Indian Army</t>
  </si>
  <si>
    <t>Formation of Indian National Congress</t>
  </si>
  <si>
    <t>28</t>
  </si>
  <si>
    <t>1885</t>
  </si>
  <si>
    <t>Political Formation</t>
  </si>
  <si>
    <t>Bombay</t>
  </si>
  <si>
    <t>Aimed to obtain a greater share in government for educated Indians.</t>
  </si>
  <si>
    <t>Indian political leaders</t>
  </si>
  <si>
    <t>Allan Octavian Hume, Indian leaders</t>
  </si>
  <si>
    <t>Partition of Bengal</t>
  </si>
  <si>
    <t>Administrative</t>
  </si>
  <si>
    <t>Led to widespread nationalistic protests and was eventually reversed in 1911.</t>
  </si>
  <si>
    <t>People of Bengal</t>
  </si>
  <si>
    <t>Lord Curzon</t>
  </si>
  <si>
    <t>Jallianwala Bagh Massacre</t>
  </si>
  <si>
    <t>1919</t>
  </si>
  <si>
    <t>Massacre</t>
  </si>
  <si>
    <t>Galvanized the Indian population against British rule.</t>
  </si>
  <si>
    <t>People of Amritsar</t>
  </si>
  <si>
    <t>General Dyer</t>
  </si>
  <si>
    <t>NonUnknownCooperation Movement</t>
  </si>
  <si>
    <t>1920</t>
  </si>
  <si>
    <t>Civil Disobedience Movement</t>
  </si>
  <si>
    <t>NonUnknownviolent resistance against British rule, emphasizing swaraj and swadeshi.</t>
  </si>
  <si>
    <t>Indian civilians</t>
  </si>
  <si>
    <t>Mahatma Gandhi</t>
  </si>
  <si>
    <t>Chauri Chaura Incident</t>
  </si>
  <si>
    <t>1922</t>
  </si>
  <si>
    <t>Violent Protest</t>
  </si>
  <si>
    <t>Chauri Chaura</t>
  </si>
  <si>
    <t>Led to Gandhi halting the NonUnknownCooperation Movement due to violence.</t>
  </si>
  <si>
    <t>Protesters</t>
  </si>
  <si>
    <t>Indian protesters</t>
  </si>
  <si>
    <t>Dandi March</t>
  </si>
  <si>
    <t>1930</t>
  </si>
  <si>
    <t>Civil Disobedience</t>
  </si>
  <si>
    <t>Dandi</t>
  </si>
  <si>
    <t>Protest against the salt tax and British monopoly, pivotal in the independence movement.</t>
  </si>
  <si>
    <t>Mahatma Gandhi, followers</t>
  </si>
  <si>
    <t>First Round Table Conference</t>
  </si>
  <si>
    <t>UK</t>
  </si>
  <si>
    <t>Conference</t>
  </si>
  <si>
    <t>London</t>
  </si>
  <si>
    <t>Aimed at discussing constitutional reforms; boycotted by the Congress.</t>
  </si>
  <si>
    <t>Indian princely states, British officials</t>
  </si>
  <si>
    <t>British government</t>
  </si>
  <si>
    <t>Purna Swaraj Declaration</t>
  </si>
  <si>
    <t>Political Declaration</t>
  </si>
  <si>
    <t>Lahore</t>
  </si>
  <si>
    <t>The declaration of complete independence from British rule by the Congress.</t>
  </si>
  <si>
    <t>Quit India Movement</t>
  </si>
  <si>
    <t>1942</t>
  </si>
  <si>
    <t>Mass Protest</t>
  </si>
  <si>
    <t>Called for an orderly British withdrawal from India.</t>
  </si>
  <si>
    <t>Indian National Congress, Indian civilians</t>
  </si>
  <si>
    <t>Mahatma Gandhi, Indian National Congress</t>
  </si>
  <si>
    <t>Cripps Mission</t>
  </si>
  <si>
    <t>Negotiation</t>
  </si>
  <si>
    <t>Proposed Indian dominion status after WWII; rejected by Indian leaders.</t>
  </si>
  <si>
    <t>Indian leaders</t>
  </si>
  <si>
    <t>Sir Stafford Cripps</t>
  </si>
  <si>
    <t>Bengal Famine of 1943</t>
  </si>
  <si>
    <t>1943</t>
  </si>
  <si>
    <t>Famine</t>
  </si>
  <si>
    <t>Led to widespread criticism of British war policies and their impact on Indian civilians.</t>
  </si>
  <si>
    <t>British administration</t>
  </si>
  <si>
    <t>Partition Plan Announced</t>
  </si>
  <si>
    <t>Political Decision</t>
  </si>
  <si>
    <t>Announced the creation of India and Pakistan as separate nations.</t>
  </si>
  <si>
    <t>People of India and Pakistan</t>
  </si>
  <si>
    <t>Lord Mountbatten</t>
  </si>
  <si>
    <t>Integration of Princely States</t>
  </si>
  <si>
    <t>Political Integration</t>
  </si>
  <si>
    <t>Various</t>
  </si>
  <si>
    <t>Unified India by integrating princely states into the Indian Union.</t>
  </si>
  <si>
    <t>Princely states, Indian Union</t>
  </si>
  <si>
    <t>Sardar Vallabhbhai Patel</t>
  </si>
  <si>
    <t>Constitution of India Adopted</t>
  </si>
  <si>
    <t>1950</t>
  </si>
  <si>
    <t>Constitutional Adoption</t>
  </si>
  <si>
    <t>India became a sovereign, socialist, secular, democratic republic.</t>
  </si>
  <si>
    <t>Constituent Assembly of India</t>
  </si>
  <si>
    <t>Reserve Bank of India (RBI)</t>
  </si>
  <si>
    <t>1935</t>
  </si>
  <si>
    <t>Central Banking Institution</t>
  </si>
  <si>
    <t>Calcutta (now Kolkata)</t>
  </si>
  <si>
    <t>Regulates the issue of banknotes, maintains reserves to secure monetary stability, and operates the currency and credit system of the country.</t>
  </si>
  <si>
    <t>Indian economy, global investors</t>
  </si>
  <si>
    <t>British Government (preUnknownindependence)</t>
  </si>
  <si>
    <t>1969</t>
  </si>
  <si>
    <t>Space Agency</t>
  </si>
  <si>
    <t>Bangalore</t>
  </si>
  <si>
    <t>Leads India's space exploration and satellite deployment, contributing to national development and global space science.</t>
  </si>
  <si>
    <t>Global scientific community, Indian population</t>
  </si>
  <si>
    <t>Bharatiya Janata Party (BJP)</t>
  </si>
  <si>
    <t>1980</t>
  </si>
  <si>
    <t>Political Party</t>
  </si>
  <si>
    <t>Major political party in India, influencing the country's political landscape and governance policies.</t>
  </si>
  <si>
    <t>Atal Bihari Vajpayee, L.K. Advani</t>
  </si>
  <si>
    <t>Securities and Exchange Board of India (SEBI)</t>
  </si>
  <si>
    <t>1988</t>
  </si>
  <si>
    <t>Regulatory Body</t>
  </si>
  <si>
    <t>Regulates the securities market in India, protecting investors and promoting the development of the securities market.</t>
  </si>
  <si>
    <t>Investors, financial market participants</t>
  </si>
  <si>
    <t>Taj Mahal</t>
  </si>
  <si>
    <t>1653</t>
  </si>
  <si>
    <t>Mausoleum</t>
  </si>
  <si>
    <t>Agra</t>
  </si>
  <si>
    <t>A UNESCO World Heritage Site, symbolizing love, and an architectural marvel of the Mughal era.</t>
  </si>
  <si>
    <t>Global tourists, historians</t>
  </si>
  <si>
    <t>Emperor Shah Jahan</t>
  </si>
  <si>
    <t>Golden Temple (Harmandir Sahib)</t>
  </si>
  <si>
    <t>1585</t>
  </si>
  <si>
    <t>Religious Shrine</t>
  </si>
  <si>
    <t>The spiritual and cultural center for the Sikh religion, known for its goldUnknownplated facade.</t>
  </si>
  <si>
    <t>Sikhs, global pilgrims</t>
  </si>
  <si>
    <t>Guru Arjan</t>
  </si>
  <si>
    <t>Creation of Pakistan</t>
  </si>
  <si>
    <t>Pakistan</t>
  </si>
  <si>
    <t>Country Formation</t>
  </si>
  <si>
    <t>Establishment of Pakistan as a separate nation for Muslims of the Indian subcontinent.</t>
  </si>
  <si>
    <t>Muslims in Indian subcontinent</t>
  </si>
  <si>
    <t>Muhammad Ali Jinnah</t>
  </si>
  <si>
    <t>First IndoUnknownPak War</t>
  </si>
  <si>
    <t>Kashmir</t>
  </si>
  <si>
    <t>Conflict over the princely state of Kashmir leading to ongoing disputes.</t>
  </si>
  <si>
    <t>Residents of Kashmir</t>
  </si>
  <si>
    <t>India and Pakistan</t>
  </si>
  <si>
    <t>Pakistan Joins the United Nations</t>
  </si>
  <si>
    <t>International Relations</t>
  </si>
  <si>
    <t>New York</t>
  </si>
  <si>
    <t>Pakistan becomes a member of the UN, starting its journey in international diplomacy.</t>
  </si>
  <si>
    <t>Government of Pakistan</t>
  </si>
  <si>
    <t>First Constitution of Pakistan</t>
  </si>
  <si>
    <t>1956</t>
  </si>
  <si>
    <t>Constitutional</t>
  </si>
  <si>
    <t>Pakistan becomes an Islamic republic, adopting its first constitution.</t>
  </si>
  <si>
    <t>Pakistani citizens</t>
  </si>
  <si>
    <t>Constituent Assembly of Pakistan</t>
  </si>
  <si>
    <t>East Pakistan demands autonomy</t>
  </si>
  <si>
    <t>Political Movement</t>
  </si>
  <si>
    <t>Dhaka</t>
  </si>
  <si>
    <t>Sheikh Mujibur Rahman's historic speech demanding autonomy for East Pakistan.</t>
  </si>
  <si>
    <t>People of East Pakistan</t>
  </si>
  <si>
    <t>Sheikh Mujibur Rahman</t>
  </si>
  <si>
    <t>Independence of Bangladesh</t>
  </si>
  <si>
    <t>East Pakistan</t>
  </si>
  <si>
    <t>Resulted in the secession of East Pakistan, becoming Bangladesh.</t>
  </si>
  <si>
    <t>People of Bangladesh</t>
  </si>
  <si>
    <t>Indian Armed Forces, Mukti Bahini</t>
  </si>
  <si>
    <t>Pakistan's Nuclear Tests (ChagaiUnknownI)</t>
  </si>
  <si>
    <t>Chagai, Balochistan</t>
  </si>
  <si>
    <t>Pakistan becomes a nuclear power, conducting its first successful nuclear tests.</t>
  </si>
  <si>
    <t>Kargil Conflict</t>
  </si>
  <si>
    <t>Kargil, Kashmir</t>
  </si>
  <si>
    <t>A military conflict between India and Pakistan in the Kargil district of Kashmir.</t>
  </si>
  <si>
    <t>Citizens of India and Pakistan</t>
  </si>
  <si>
    <t>2005 Kashmir Earthquake</t>
  </si>
  <si>
    <t>Kashmir, Pakistan</t>
  </si>
  <si>
    <t>A devastating earthquake affecting Kashmir region, causing widespread damage and casualties.</t>
  </si>
  <si>
    <t>Government of Pakistan, International Aid</t>
  </si>
  <si>
    <t>Assassination of Benazir Bhutto</t>
  </si>
  <si>
    <t>27</t>
  </si>
  <si>
    <t>Rawalpindi</t>
  </si>
  <si>
    <t>The assassination of the former Prime Minister of Pakistan and a major political figure.</t>
  </si>
  <si>
    <t>Unknown assailants</t>
  </si>
  <si>
    <t>Operation ZarbUnknowneUnknownAzb</t>
  </si>
  <si>
    <t>North Waziristan</t>
  </si>
  <si>
    <t>A military operation against insurgent groups in North Waziristan part of the War on Terror.</t>
  </si>
  <si>
    <t>Residents of North Waziristan</t>
  </si>
  <si>
    <t>Pakistan Armed Forces</t>
  </si>
  <si>
    <t>2014 Peshawar School Massacre</t>
  </si>
  <si>
    <t>Peshawar</t>
  </si>
  <si>
    <t>A terrorist attack on the Army Public School, resulting in massive casualties, mostly children.</t>
  </si>
  <si>
    <t>Students, teachers, families</t>
  </si>
  <si>
    <t>TehrikUnknowniUnknownTaliban Pakistan</t>
  </si>
  <si>
    <t>ChinaUnknownPakistan Economic Corridor (CPEC) Agreement</t>
  </si>
  <si>
    <t>Economic/Infrastructure</t>
  </si>
  <si>
    <t>A collection of infrastructure projects that are under construction throughout Pakistan.</t>
  </si>
  <si>
    <t>Government of Pakistan, China</t>
  </si>
  <si>
    <t>Panama Papers Case &amp; Disqualification of PM Nawaz Sharif</t>
  </si>
  <si>
    <t>Political Corruption</t>
  </si>
  <si>
    <t>Islamabad</t>
  </si>
  <si>
    <t>Led to the disqualification of Prime Minister Nawaz Sharif from holding public office.</t>
  </si>
  <si>
    <t>Supreme Court of Pakistan</t>
  </si>
  <si>
    <t>Kartarpur Corridor Opening</t>
  </si>
  <si>
    <t>Diplomatic/Religious</t>
  </si>
  <si>
    <t>Kartarpur</t>
  </si>
  <si>
    <t>A border corridor between Pakistan and India, allowing Sikh pilgrims visaUnknownfree access to a holy site.</t>
  </si>
  <si>
    <t>Governments of Pakistan and India</t>
  </si>
  <si>
    <t>FATF Grey List</t>
  </si>
  <si>
    <t>International Finance</t>
  </si>
  <si>
    <t>Pakistan placed on the 'grey list' by the Financial Action Task Force for terror financing and money laundering risks.</t>
  </si>
  <si>
    <t>Pakistani economy</t>
  </si>
  <si>
    <t>Financial Action Task Force (FATF)</t>
  </si>
  <si>
    <t>Imran Khan Elected as Prime Minister</t>
  </si>
  <si>
    <t>Marks the first time a former cricketer transitioned to the Prime Minister, promising reform.</t>
  </si>
  <si>
    <t>Pakistan TehreekUnknowneUnknownInsaf (PTI)</t>
  </si>
  <si>
    <t>Abolition of FATA</t>
  </si>
  <si>
    <t>Federally Administered Tribal Areas</t>
  </si>
  <si>
    <t>Integrated the tribal regions into the Khyber Pakhtunkhwa province, aiming to mainstream the governance.</t>
  </si>
  <si>
    <t>Residents of FATA</t>
  </si>
  <si>
    <t>2019 Pulwama Attack and IndiaUnknownPakistan Standoff</t>
  </si>
  <si>
    <t>Military/Political</t>
  </si>
  <si>
    <t>Pulwama, India</t>
  </si>
  <si>
    <t>Led to heightened military tensions between India and Pakistan, including crossUnknownborder air strikes.</t>
  </si>
  <si>
    <t>JaishUnknowneUnknownMohammed, Governments of India and Pakistan</t>
  </si>
  <si>
    <t>MinarUnknowneUnknownPakistan Construction</t>
  </si>
  <si>
    <t>Monument</t>
  </si>
  <si>
    <t>Symbolizes freedom and the independence of Pakistan.</t>
  </si>
  <si>
    <t>Lahore Resolution (Pakistan Resolution)</t>
  </si>
  <si>
    <t>1940</t>
  </si>
  <si>
    <t>A formal political statement that called for greater Muslim autonomy in British India.</t>
  </si>
  <si>
    <t>Muslims in British India</t>
  </si>
  <si>
    <t>AllUnknownIndia Muslim League</t>
  </si>
  <si>
    <t>Siachen Glacier Conflict</t>
  </si>
  <si>
    <t>Siachen Glacier</t>
  </si>
  <si>
    <t>A military conflict between India and Pakistan over the disputed Siachen Glacier region in Kashmir.</t>
  </si>
  <si>
    <t>Indian &amp; Pakistani militaries</t>
  </si>
  <si>
    <t>Indus Water Treaty</t>
  </si>
  <si>
    <t>19</t>
  </si>
  <si>
    <t>International Agreement</t>
  </si>
  <si>
    <t>Karachi</t>
  </si>
  <si>
    <t>A waterUnknowndistribution treaty between India and Pakistan, brokered by the World Bank.</t>
  </si>
  <si>
    <t>Residents of India and Pakistan</t>
  </si>
  <si>
    <t>India, Pakistan, World Bank</t>
  </si>
  <si>
    <t>Pakistan Atomic Energy Commission Establishment</t>
  </si>
  <si>
    <t>Scientific Organization</t>
  </si>
  <si>
    <t>Established to oversee the nuclear energy and research projects in Pakistan.</t>
  </si>
  <si>
    <t>Pakistani population</t>
  </si>
  <si>
    <t>Nationalization in Pakistan</t>
  </si>
  <si>
    <t>1972</t>
  </si>
  <si>
    <t>The government took control of private industries, banks, and educational institutions.</t>
  </si>
  <si>
    <t>Business owners, general public</t>
  </si>
  <si>
    <t>Zulfikar Ali Bhutto</t>
  </si>
  <si>
    <t>Islamabad Declaration</t>
  </si>
  <si>
    <t>An Islamic summit that led to the creation of the Economic Cooperation Organization (ECO).</t>
  </si>
  <si>
    <t>ECO member states</t>
  </si>
  <si>
    <t>Leaders of MuslimUnknownmajority countries</t>
  </si>
  <si>
    <t>Motorway Network Development</t>
  </si>
  <si>
    <t>1997</t>
  </si>
  <si>
    <t>Development of a network of motorways to improve transportation and trade.</t>
  </si>
  <si>
    <t>Women's Protection Bill</t>
  </si>
  <si>
    <t>2006</t>
  </si>
  <si>
    <t>Aims to amend and strengthen laws related to women's rights and protection.</t>
  </si>
  <si>
    <t>Women in Pakistan</t>
  </si>
  <si>
    <t>Parliament of Pakistan</t>
  </si>
  <si>
    <t>Malala Yousafzai's Nobel Peace Prize</t>
  </si>
  <si>
    <t>International Recognition</t>
  </si>
  <si>
    <t>Oslo, Norway</t>
  </si>
  <si>
    <t>Awarded for her struggle against the suppression of children and young people and for the right of all children to education.</t>
  </si>
  <si>
    <t>Malala Yousafzai, Kailash Satyarthi</t>
  </si>
  <si>
    <t>ChinaUnknownPakistan Friendship Highway Completion</t>
  </si>
  <si>
    <t>1986</t>
  </si>
  <si>
    <t>Khunjerab Pass to Hassan Abdal</t>
  </si>
  <si>
    <t>Part of the Karakoram Highway, symbolizing the strong bilateral relationship between China and Pakistan.</t>
  </si>
  <si>
    <t>Residents, traders</t>
  </si>
  <si>
    <t>Governments of China and Pakistan</t>
  </si>
  <si>
    <t>Benazir Income Support Programme Launch</t>
  </si>
  <si>
    <t>Social Welfare Program</t>
  </si>
  <si>
    <t>A federal unconditional cash transfer poverty reduction program in Pakistan.</t>
  </si>
  <si>
    <t>LowUnknownincome families</t>
  </si>
  <si>
    <t>18th Amendment to the Constitution</t>
  </si>
  <si>
    <t>2010</t>
  </si>
  <si>
    <t>Constitutional Amendment</t>
  </si>
  <si>
    <t>A landmark amendment that devolved significant powers from the federal government to the provinces.</t>
  </si>
  <si>
    <t>Pakistan's First Satellite Launch</t>
  </si>
  <si>
    <t>1990</t>
  </si>
  <si>
    <t>Xichang, China</t>
  </si>
  <si>
    <t>Launch of BadrUnknown1, Pakistan's first indigenously developed and manufactured satellite.</t>
  </si>
  <si>
    <t>Pakistani scientific community</t>
  </si>
  <si>
    <t>SUPARCO</t>
  </si>
  <si>
    <t>Protection of Women Act</t>
  </si>
  <si>
    <t>29</t>
  </si>
  <si>
    <t>Enhances legal protections for women against violence and discrimination.</t>
  </si>
  <si>
    <t>National Database and Registration Authority (NADRA) Establishment</t>
  </si>
  <si>
    <t>Government Agency</t>
  </si>
  <si>
    <t>Established to maintain a secure and efficient national identity system.</t>
  </si>
  <si>
    <t>Karachi Nuclear Power Plant Operational</t>
  </si>
  <si>
    <t>Nuclear Energy</t>
  </si>
  <si>
    <t>Marks the beginning of nuclear energy use for peaceful purposes in Pakistan.</t>
  </si>
  <si>
    <t>Pakistan Atomic Energy Commission</t>
  </si>
  <si>
    <t>HEC Digital Library Initiative</t>
  </si>
  <si>
    <t>2004</t>
  </si>
  <si>
    <t>Provides students and researchers access to international scholarly literature.</t>
  </si>
  <si>
    <t>Students, researchers</t>
  </si>
  <si>
    <t>Higher Education Commission of Pakistan</t>
  </si>
  <si>
    <t>Gwadar Port Development</t>
  </si>
  <si>
    <t>2002</t>
  </si>
  <si>
    <t>Gwadar</t>
  </si>
  <si>
    <t>Development of a major deepUnknownsea port in the Arabian Sea, aiming to enhance trade.</t>
  </si>
  <si>
    <t>Pakistani economy, regional trade</t>
  </si>
  <si>
    <t>National Action Plan Against Terrorism</t>
  </si>
  <si>
    <t>Security Policy</t>
  </si>
  <si>
    <t>A comprehensive action plan for tackling terrorism in Pakistan following the Peshawar school massacre.</t>
  </si>
  <si>
    <t>Independence from British Rule</t>
  </si>
  <si>
    <t>1948</t>
  </si>
  <si>
    <t>Sri Lanka</t>
  </si>
  <si>
    <t>Colombo</t>
  </si>
  <si>
    <t>Marked the end of British colonial rule and the beginning of selfUnknowngovernance.</t>
  </si>
  <si>
    <t>Sri Lankan citizens</t>
  </si>
  <si>
    <t>Don Stephen Senanayake</t>
  </si>
  <si>
    <t>Sinhala Only Act</t>
  </si>
  <si>
    <t>Made Sinhala the sole official language, exacerbating ethnic tensions.</t>
  </si>
  <si>
    <t>Sinhalese and Tamil populations</t>
  </si>
  <si>
    <t>Solomon Bandaranaike</t>
  </si>
  <si>
    <t>1983 Black July Riots</t>
  </si>
  <si>
    <t>Ethnic Conflict</t>
  </si>
  <si>
    <t>Colombo, others</t>
  </si>
  <si>
    <t>Triggered a civil war between the Sri Lankan government and LTTE.</t>
  </si>
  <si>
    <t>Sri Lankan Tamils, general population</t>
  </si>
  <si>
    <t>Various groups and individuals</t>
  </si>
  <si>
    <t>Tsunami Disaster</t>
  </si>
  <si>
    <t>Coastal Sri Lanka</t>
  </si>
  <si>
    <t>One of the deadliest natural disasters in Sri Lanka, leading to significant loss of life and displacement.</t>
  </si>
  <si>
    <t>Coastal residents, general population</t>
  </si>
  <si>
    <t>End of the Civil War</t>
  </si>
  <si>
    <t>Mullaitivu</t>
  </si>
  <si>
    <t>Ended nearly three decades of conflict between the Sri Lankan government and LTTE.</t>
  </si>
  <si>
    <t>Sri Lankan citizens, especially Tamils</t>
  </si>
  <si>
    <t>Mahinda Rajapaksa, Sri Lankan Armed Forces</t>
  </si>
  <si>
    <t>Introduction of Free Education Act</t>
  </si>
  <si>
    <t>1945</t>
  </si>
  <si>
    <t>Education Policy</t>
  </si>
  <si>
    <t>Established free education from primary to postUnknowngraduate levels.</t>
  </si>
  <si>
    <t>Students, educators</t>
  </si>
  <si>
    <t>C.W.W. Kannangara</t>
  </si>
  <si>
    <t>Republican Constitution of 1972</t>
  </si>
  <si>
    <t>Transitioned Ceylon to a republic named Sri Lanka, affirming sovereignty.</t>
  </si>
  <si>
    <t>Sirimavo Bandaranaike</t>
  </si>
  <si>
    <t>Establishment of the Mahaweli Development Project</t>
  </si>
  <si>
    <t>1977</t>
  </si>
  <si>
    <t>Infrastructure Development</t>
  </si>
  <si>
    <t>Mahaweli River</t>
  </si>
  <si>
    <t>Aimed at irrigation and hydroelectric power generation, significantly impacting agriculture and energy supply.</t>
  </si>
  <si>
    <t>Residents, farmers</t>
  </si>
  <si>
    <t>Government of Sri Lanka</t>
  </si>
  <si>
    <t>1987 IndoUnknownSri Lanka Accord</t>
  </si>
  <si>
    <t>1987</t>
  </si>
  <si>
    <t>Aimed to resolve the civil war and ensure Tamil rights, leading to Indian Peace Keeping Force deployment.</t>
  </si>
  <si>
    <t>J.R. Jayewardene, Rajiv Gandhi</t>
  </si>
  <si>
    <t>2002 Ceasefire Agreement with LTTE</t>
  </si>
  <si>
    <t>Peace Process</t>
  </si>
  <si>
    <t>A temporary halt in hostilities, aiming for a lasting peace solution.</t>
  </si>
  <si>
    <t>ConflictUnknownaffected populations</t>
  </si>
  <si>
    <t>Ranil Wickremesinghe, LTTE</t>
  </si>
  <si>
    <t>Victory over Terrorism Day</t>
  </si>
  <si>
    <t>Commemoration</t>
  </si>
  <si>
    <t>Marks the end of the civil war and the defeat of LTTE.</t>
  </si>
  <si>
    <t>Establishment of the Central Bank of Sri Lanka</t>
  </si>
  <si>
    <t>Centralized control over monetary policy and financial system regulation.</t>
  </si>
  <si>
    <t>Economic sectors</t>
  </si>
  <si>
    <t>First Executive President Elected</t>
  </si>
  <si>
    <t>1978</t>
  </si>
  <si>
    <t>Introduced a new constitution and the executive presidency, changing the governance structure.</t>
  </si>
  <si>
    <t>J.R. Jayewardene</t>
  </si>
  <si>
    <t>Free Health Policy Implementation</t>
  </si>
  <si>
    <t>Health Policy</t>
  </si>
  <si>
    <t>Provided universal free healthcare, improving public health standards.</t>
  </si>
  <si>
    <t>2019 Easter Bombings</t>
  </si>
  <si>
    <t>A series of coordinated terrorist suicide bombings targeting churches and hotels.</t>
  </si>
  <si>
    <t>Christians, tourists</t>
  </si>
  <si>
    <t>National Thowheeth Jama'ath</t>
  </si>
  <si>
    <t>Establishment of the University of Ceylon</t>
  </si>
  <si>
    <t>Education Development</t>
  </si>
  <si>
    <t>The first university in Sri Lanka, marking a milestone in higher education.</t>
  </si>
  <si>
    <t>Students, academics</t>
  </si>
  <si>
    <t>Land Reform Law Enacted</t>
  </si>
  <si>
    <t>Land Policy</t>
  </si>
  <si>
    <t>Redistributed land to address disparities and promote agricultural development.</t>
  </si>
  <si>
    <t>Landless peasants, farmers</t>
  </si>
  <si>
    <t>Women's Franchise Act Passed</t>
  </si>
  <si>
    <t>1931</t>
  </si>
  <si>
    <t>Granted voting rights to women, significantly ahead of many other countries.</t>
  </si>
  <si>
    <t>Women in Sri Lanka</t>
  </si>
  <si>
    <t>British Colonial Government</t>
  </si>
  <si>
    <t>Establishment of Sri Lanka Broadcasting Corporation</t>
  </si>
  <si>
    <t>1967</t>
  </si>
  <si>
    <t>Media Development</t>
  </si>
  <si>
    <t>Asia's oldest radio station, contributing to the media landscape and cultural preservation.</t>
  </si>
  <si>
    <t>Sigiriya Designated as a UNESCO World Heritage Site</t>
  </si>
  <si>
    <t>1982</t>
  </si>
  <si>
    <t>Cultural Heritage</t>
  </si>
  <si>
    <t>Sigiriya</t>
  </si>
  <si>
    <t>Recognition of the ancient rock fortress for its historical, archaeological, and artistic value.</t>
  </si>
  <si>
    <t>Global and local tourists</t>
  </si>
  <si>
    <t>UNESCO</t>
  </si>
  <si>
    <t>Invention of Paper by Cai Lun</t>
  </si>
  <si>
    <t>105</t>
  </si>
  <si>
    <t>China</t>
  </si>
  <si>
    <t>Scientific</t>
  </si>
  <si>
    <t>Imperial court</t>
  </si>
  <si>
    <t>Revolutionized the way information was recorded and transmitted through ages.</t>
  </si>
  <si>
    <t>Global population</t>
  </si>
  <si>
    <t>Cai Lun</t>
  </si>
  <si>
    <t>Introduction of Buddhism to China</t>
  </si>
  <si>
    <t>0</t>
  </si>
  <si>
    <t>Religious/Cultural</t>
  </si>
  <si>
    <t>Han Dynasty China</t>
  </si>
  <si>
    <t>Significantly influenced Chinese culture, philosophy, and society for centuries.</t>
  </si>
  <si>
    <t>Chinese society</t>
  </si>
  <si>
    <t>Buddhist missionaries</t>
  </si>
  <si>
    <t>Construction of the Great Wall</t>
  </si>
  <si>
    <t>600</t>
  </si>
  <si>
    <t>Architectural/Defensive</t>
  </si>
  <si>
    <t>Northern China</t>
  </si>
  <si>
    <t>A series of fortifications built across northern borders of China for protection and border control.</t>
  </si>
  <si>
    <t>Chinese empire</t>
  </si>
  <si>
    <t>Various Chinese dynasties</t>
  </si>
  <si>
    <t>Tang Dynasty's Golden Age</t>
  </si>
  <si>
    <t>618</t>
  </si>
  <si>
    <t>Cultural/Economic</t>
  </si>
  <si>
    <t>Chang'an</t>
  </si>
  <si>
    <t>A period of relative peace, prosperity, and cultural achievement that influenced East Asia.</t>
  </si>
  <si>
    <t>Chinese and neighboring countries</t>
  </si>
  <si>
    <t>Emperor Taizong, Wu Zetian</t>
  </si>
  <si>
    <t>Founding of the Song Dynasty</t>
  </si>
  <si>
    <t>960</t>
  </si>
  <si>
    <t>Dynastic Founding</t>
  </si>
  <si>
    <t>Kaifeng</t>
  </si>
  <si>
    <t>Initiated advancements in technology, culture, and economics, including the use of gunpowder in warfare.</t>
  </si>
  <si>
    <t>Chinese population</t>
  </si>
  <si>
    <t>Emperor Taizu</t>
  </si>
  <si>
    <t>Mongol Conquest and the Yuan Dynasty Establishment</t>
  </si>
  <si>
    <t>1271</t>
  </si>
  <si>
    <t>Mongol Empire</t>
  </si>
  <si>
    <t>Marked the first time China was ruled by foreign conquerors, leading to significant cultural exchanges.</t>
  </si>
  <si>
    <t>Kublai Khan</t>
  </si>
  <si>
    <t>Fall of the Ming Dynasty and Rise of the Qing</t>
  </si>
  <si>
    <t>1644</t>
  </si>
  <si>
    <t>Dynastic Transition</t>
  </si>
  <si>
    <t>The transition brought about significant changes in administration and expansion of territory.</t>
  </si>
  <si>
    <t>Li Zicheng, Manchu leaders</t>
  </si>
  <si>
    <t>The Opium Wars and Treaty of Nanjing</t>
  </si>
  <si>
    <t>1842</t>
  </si>
  <si>
    <t>International Conflict</t>
  </si>
  <si>
    <t>Nanjing</t>
  </si>
  <si>
    <t>Led to the opening of treaty ports and the cession of Hong Kong to Britain.</t>
  </si>
  <si>
    <t>Qing Dynasty, British Empire</t>
  </si>
  <si>
    <t>Taiping Rebellion</t>
  </si>
  <si>
    <t>1850</t>
  </si>
  <si>
    <t>Civil War</t>
  </si>
  <si>
    <t>Southern China</t>
  </si>
  <si>
    <t>One of the deadliest military conflicts in history, challenging the Qing Dynasty's rule.</t>
  </si>
  <si>
    <t>Hong Xiuquan</t>
  </si>
  <si>
    <t>Xinhai Revolution and the End of Imperial China</t>
  </si>
  <si>
    <t>1911</t>
  </si>
  <si>
    <t>Wuchang</t>
  </si>
  <si>
    <t>Overthrew the Qing Dynasty, leading to the establishment of the Republic of China.</t>
  </si>
  <si>
    <t>Sun YatUnknownsen</t>
  </si>
  <si>
    <t>Long March</t>
  </si>
  <si>
    <t>1934</t>
  </si>
  <si>
    <t>Military/Strategic Retreat</t>
  </si>
  <si>
    <t>Jiangxi to Shaanxi</t>
  </si>
  <si>
    <t>A strategic retreat by the Chinese Communist Party's Red Army to evade the pursuit of the Kuomintang army.</t>
  </si>
  <si>
    <t>CCP followers</t>
  </si>
  <si>
    <t>Mao Zedong</t>
  </si>
  <si>
    <t>Cultural Revolution</t>
  </si>
  <si>
    <t>1966</t>
  </si>
  <si>
    <t>Political/Social Movement</t>
  </si>
  <si>
    <t>Aimed at preserving Chinese communism by purging remnants of capitalist and traditional elements.</t>
  </si>
  <si>
    <t>Handover of Hong Kong</t>
  </si>
  <si>
    <t>Hong Kong</t>
  </si>
  <si>
    <t>Marked the return of Hong Kong from British to Chinese sovereignty.</t>
  </si>
  <si>
    <t>Residents of Hong Kong</t>
  </si>
  <si>
    <t>British and Chinese governments</t>
  </si>
  <si>
    <t>China Hosts the Olympic Games</t>
  </si>
  <si>
    <t>International Sports Event</t>
  </si>
  <si>
    <t>Beijing</t>
  </si>
  <si>
    <t>Showcased China's emergence as a global power and led to widespread infrastructural improvements in Beijing.</t>
  </si>
  <si>
    <t>Global audience</t>
  </si>
  <si>
    <t>International Olympic Committee, Chinese government</t>
  </si>
  <si>
    <t>Silk Road Establishment</t>
  </si>
  <si>
    <t>150</t>
  </si>
  <si>
    <t>Trade Route Development</t>
  </si>
  <si>
    <t>China to the Mediterranean</t>
  </si>
  <si>
    <t>Facilitated trade and cultural exchanges between the East and West, significantly impacting ancient world economies.</t>
  </si>
  <si>
    <t>Traders, various civilizations</t>
  </si>
  <si>
    <t>Han Dynasty</t>
  </si>
  <si>
    <t>Invention of Gunpowder</t>
  </si>
  <si>
    <t>850</t>
  </si>
  <si>
    <t>Led to revolutionary changes in warfare and later, global military technologies.</t>
  </si>
  <si>
    <t>Chinese alchemists</t>
  </si>
  <si>
    <t>Invention of the Compass</t>
  </si>
  <si>
    <t>1050</t>
  </si>
  <si>
    <t>Revolutionized navigation and exploration, contributing to the Age of Discovery.</t>
  </si>
  <si>
    <t>Chinese scientists</t>
  </si>
  <si>
    <t>Invention of Printing Technology</t>
  </si>
  <si>
    <t>650</t>
  </si>
  <si>
    <t>Pioneered the use of woodblock and movable type printing, transforming information dissemination.</t>
  </si>
  <si>
    <t>Chinese inventors</t>
  </si>
  <si>
    <t>Battle of Red Cliffs</t>
  </si>
  <si>
    <t>208</t>
  </si>
  <si>
    <t>Yangtze River</t>
  </si>
  <si>
    <t>A decisive battle that marked the beginning of the Three Kingdoms period in Chinese history.</t>
  </si>
  <si>
    <t>Chinese states</t>
  </si>
  <si>
    <t>Sun Quan, Liu Bei</t>
  </si>
  <si>
    <t>The Grand Canal Construction</t>
  </si>
  <si>
    <t>Hangzhou to Beijing</t>
  </si>
  <si>
    <t>The world's longest canal, crucial for internal trade and transportation in Imperial China.</t>
  </si>
  <si>
    <t>Sui Dynasty</t>
  </si>
  <si>
    <t>Zheng He's Expeditions</t>
  </si>
  <si>
    <t>1430</t>
  </si>
  <si>
    <t>Southeast Asia, Africa</t>
  </si>
  <si>
    <t>Demonstrated China's naval capabilities and established international trade routes.</t>
  </si>
  <si>
    <t>Asia, Africa</t>
  </si>
  <si>
    <t>Zheng He</t>
  </si>
  <si>
    <t>Ming Dynasty's Voyages of Zheng He</t>
  </si>
  <si>
    <t>Qing Dynasty's Establishment</t>
  </si>
  <si>
    <t>The last imperial dynasty of China, known for its expansion, arts, and internal consolidation.</t>
  </si>
  <si>
    <t>Manchu leaders</t>
  </si>
  <si>
    <t>Boxer Rebellion</t>
  </si>
  <si>
    <t>1900</t>
  </si>
  <si>
    <t>AntiUnknownImperialist Uprising</t>
  </si>
  <si>
    <t>An antiUnknownforeigner movement that aimed to rid China of foreign influence.</t>
  </si>
  <si>
    <t>Foreigners, Chinese Christians</t>
  </si>
  <si>
    <t>Boxer militants</t>
  </si>
  <si>
    <t>May Fourth Movement</t>
  </si>
  <si>
    <t>Cultural and Political Movement</t>
  </si>
  <si>
    <t>A studentUnknownled protest against the Treaty of Versailles' decisions, sparking significant cultural and intellectual reform.</t>
  </si>
  <si>
    <t>Chinese intellectuals, students</t>
  </si>
  <si>
    <t>Chinese students, intellectuals</t>
  </si>
  <si>
    <t>OneUnknownChild Policy Introduced</t>
  </si>
  <si>
    <t>1979</t>
  </si>
  <si>
    <t>Population Control Policy</t>
  </si>
  <si>
    <t>Aimed to control the rapidly growing population of China through strict family planning.</t>
  </si>
  <si>
    <t>Chinese families</t>
  </si>
  <si>
    <t>Chinese government</t>
  </si>
  <si>
    <t>SinoUnknownJapanese War (Second)</t>
  </si>
  <si>
    <t>1937</t>
  </si>
  <si>
    <t>A major part of WWII in Asia, resulting in significant casualties and atrocities like the Nanjing Massacre.</t>
  </si>
  <si>
    <t>Imperial Japanese Army, Nationalist China</t>
  </si>
  <si>
    <t>Deng Xiaoping's Southern Tour</t>
  </si>
  <si>
    <t>1992</t>
  </si>
  <si>
    <t>Reaffirmed the commitment to economic reforms and openingUnknownup policies, leading to rapid economic growth.</t>
  </si>
  <si>
    <t>Chinese citizens</t>
  </si>
  <si>
    <t>Deng Xiaoping</t>
  </si>
  <si>
    <t>Return of Hong Kong</t>
  </si>
  <si>
    <t>Sovereignty Transition</t>
  </si>
  <si>
    <t>Marked the transfer of sovereignty over Hong Kong from the United Kingdom to China.</t>
  </si>
  <si>
    <t>Return of Macau</t>
  </si>
  <si>
    <t>Macau</t>
  </si>
  <si>
    <t>Similar to Hong Kong's return, marked the transfer of sovereignty over Macau from Portugal to China.</t>
  </si>
  <si>
    <t>Residents of Macau</t>
  </si>
  <si>
    <t>Portuguese and Chinese governments</t>
  </si>
  <si>
    <t>2008 Beijing Olympics</t>
  </si>
  <si>
    <t>Shanghai Cooperation Organization Establishment</t>
  </si>
  <si>
    <t>International Organization</t>
  </si>
  <si>
    <t>Shanghai</t>
  </si>
  <si>
    <t>Founded to promote multilateral cooperation in security, economy, and culture among member states.</t>
  </si>
  <si>
    <t>Member states</t>
  </si>
  <si>
    <t>China, Russia, Central Asian states</t>
  </si>
  <si>
    <t>Three Kingdoms Period Begins</t>
  </si>
  <si>
    <t>220</t>
  </si>
  <si>
    <t>Historical Period</t>
  </si>
  <si>
    <t>A period of fragmentation and warfare among rival kingdoms Wei, Shu, and Wu.</t>
  </si>
  <si>
    <t>Cao Cao, Liu Bei, Sun Quan</t>
  </si>
  <si>
    <t>An Lushan Rebellion</t>
  </si>
  <si>
    <t>755</t>
  </si>
  <si>
    <t>Military Rebellion</t>
  </si>
  <si>
    <t>Chang'an, Luoyang</t>
  </si>
  <si>
    <t>A devastating rebellion against the Tang dynasty that significantly weakened it.</t>
  </si>
  <si>
    <t>Tang dynasty, rebels</t>
  </si>
  <si>
    <t>An Lushan</t>
  </si>
  <si>
    <t>Marco Polo's Visit to Yuan Dynasty China</t>
  </si>
  <si>
    <t>1290</t>
  </si>
  <si>
    <t>Yuan Dynasty China</t>
  </si>
  <si>
    <t>Enhanced knowledge and interest in China among Europeans through his detailed accounts.</t>
  </si>
  <si>
    <t>European and Chinese societies</t>
  </si>
  <si>
    <t>Marco Polo</t>
  </si>
  <si>
    <t>Forbidden City Completion</t>
  </si>
  <si>
    <t>1420</t>
  </si>
  <si>
    <t>Architectural</t>
  </si>
  <si>
    <t>Served as the imperial palace for Ming and Qing dynasties, symbolizing imperial power and architectural brilliance.</t>
  </si>
  <si>
    <t>Chinese emperors, court</t>
  </si>
  <si>
    <t>Ming Dynasty emperors</t>
  </si>
  <si>
    <t>Jesuit Missionaries Arrive in Ming Dynasty</t>
  </si>
  <si>
    <t>1530</t>
  </si>
  <si>
    <t>Cultural/Religious Exchange</t>
  </si>
  <si>
    <t>Ming Dynasty China</t>
  </si>
  <si>
    <t>Introduced Western science, technology, and religion to the Chinese imperial court.</t>
  </si>
  <si>
    <t>Ming Dynasty society</t>
  </si>
  <si>
    <t>Matteo Ricci and other Jesuits</t>
  </si>
  <si>
    <t>Treaty of Nanking Signed</t>
  </si>
  <si>
    <t>Nanking</t>
  </si>
  <si>
    <t>Ended the First Opium War, ceding Hong Kong to Britain and opening up ports to foreign trade under unequal terms.</t>
  </si>
  <si>
    <t>Establishment of the People's Republic of China</t>
  </si>
  <si>
    <t>1949</t>
  </si>
  <si>
    <t>Marked the victory of the Communist Party in the Chinese Civil War, establishing a socialist state.</t>
  </si>
  <si>
    <t>Economic Reform and OpeningUnknownup Policy Initiated</t>
  </si>
  <si>
    <t>Introduced by Deng Xiaoping, leading to significant economic growth and opening China to the global market.</t>
  </si>
  <si>
    <t>Founding of the People's Republic of China</t>
  </si>
  <si>
    <t>Establishment of a communist government in China, significantly altering the country's political landscape.</t>
  </si>
  <si>
    <t>Great Leap Forward</t>
  </si>
  <si>
    <t>1958</t>
  </si>
  <si>
    <t>Aimed at rapidly transforming China from an agrarian society into an industrial one, leading to widespread famine.</t>
  </si>
  <si>
    <t>Chinese rural population</t>
  </si>
  <si>
    <t>Aimed at preserving Chinese communism by purging remnants of capitalist and traditional elements, causing social and political upheaval.</t>
  </si>
  <si>
    <t>SinoUnknownAmerican Rapprochement</t>
  </si>
  <si>
    <t>Beijing, Shanghai</t>
  </si>
  <si>
    <t>Normalization of relations between China and the United States, marked by President Nixon's visit.</t>
  </si>
  <si>
    <t>Chinese and American populations</t>
  </si>
  <si>
    <t>Mao Zedong, Zhou Enlai, Richard Nixon</t>
  </si>
  <si>
    <t>Reform and OpeningUnknownup Policy</t>
  </si>
  <si>
    <t>Initiated by Deng Xiaoping, leading to significant economic growth and opening China to the global market.</t>
  </si>
  <si>
    <t>Tiananmen Square Protests</t>
  </si>
  <si>
    <t>1989</t>
  </si>
  <si>
    <t>ProUnknowndemocracy protests calling for political reform; violently suppressed by the government.</t>
  </si>
  <si>
    <t>Protesters, general public</t>
  </si>
  <si>
    <t>Chinese government, protesters</t>
  </si>
  <si>
    <t>Hong Kong Handover</t>
  </si>
  <si>
    <t>Transfer of sovereignty over Hong Kong from the United Kingdom to China.</t>
  </si>
  <si>
    <t>China Joins the World Trade Organization (WTO)</t>
  </si>
  <si>
    <t>International Economic Integration</t>
  </si>
  <si>
    <t>Geneva</t>
  </si>
  <si>
    <t>Marked China's deeper integration into the global economy, significantly boosting trade.</t>
  </si>
  <si>
    <t>Global economy, Chinese exporters</t>
  </si>
  <si>
    <t>2008 Beijing Olympic Games</t>
  </si>
  <si>
    <t>Belt and Road Initiative Announced</t>
  </si>
  <si>
    <t>Economic and Infrastructure Project</t>
  </si>
  <si>
    <t>A global development strategy adopted by the Chinese government involving infrastructure development and investments.</t>
  </si>
  <si>
    <t>Global, especially participating countries</t>
  </si>
  <si>
    <t>Xi Jinping</t>
  </si>
  <si>
    <t>SARS Epidemic</t>
  </si>
  <si>
    <t>Health Crisis</t>
  </si>
  <si>
    <t>Guangdong</t>
  </si>
  <si>
    <t>A severe outbreak that underscored the need for global public health cooperation and transparency.</t>
  </si>
  <si>
    <t>AntiUnknownSecession Law Passed</t>
  </si>
  <si>
    <t>Aimed at preventing Taiwan's independence through nonUnknownpeaceful means, escalating crossUnknownstrait tensions.</t>
  </si>
  <si>
    <t>Chinese and Taiwanese populations</t>
  </si>
  <si>
    <t>National People's Congress of China</t>
  </si>
  <si>
    <t>HighUnknownSpeed Rail Expansion</t>
  </si>
  <si>
    <t>Initiated extensive development of the highUnknownspeed rail network, revolutionizing domestic travel and connectivity.</t>
  </si>
  <si>
    <t>Chinese government, Ministry of Railways</t>
  </si>
  <si>
    <t>Shanghai World Expo</t>
  </si>
  <si>
    <t>International Exhibition</t>
  </si>
  <si>
    <t>Showcased China's cultural and economic global integration, attracting participants and visitors worldwide.</t>
  </si>
  <si>
    <t>International visitors</t>
  </si>
  <si>
    <t>Shanghai World Expo Bureau, International Participants</t>
  </si>
  <si>
    <t>Xi Jinping Assumes Presidency</t>
  </si>
  <si>
    <t>Marked the beginning of Xi Jinping's leadership, significantly impacting China's domestic policies and global stance.</t>
  </si>
  <si>
    <t>Made in China 2025 Initiative Announced</t>
  </si>
  <si>
    <t>A strategic plan to transition China into a highUnknowntech manufacturing leader, affecting global trade dynamics.</t>
  </si>
  <si>
    <t>Global economy, Chinese industries</t>
  </si>
  <si>
    <t>South China Sea Arbitration Ruling</t>
  </si>
  <si>
    <t>South China Sea</t>
  </si>
  <si>
    <t>An international tribunal ruled against China's claims in the South China Sea, which China rejected.</t>
  </si>
  <si>
    <t>Regional claimant states</t>
  </si>
  <si>
    <t>Permanent Court of Arbitration, Chinese government</t>
  </si>
  <si>
    <t>Chang'eUnknown5 Moon Mission Success</t>
  </si>
  <si>
    <t>Successfully returned lunar samples to Earth, marking a significant achievement in China's space exploration.</t>
  </si>
  <si>
    <t>Global scientific community</t>
  </si>
  <si>
    <t>China National Space Administration</t>
  </si>
  <si>
    <t>Comprehensive Agreement on Investment with the EU</t>
  </si>
  <si>
    <t>International Economic Agreement</t>
  </si>
  <si>
    <t>Brussels</t>
  </si>
  <si>
    <t>Aimed to increase investment opportunities between China and the European Union, enhancing economic ties.</t>
  </si>
  <si>
    <t>EU and Chinese investors</t>
  </si>
  <si>
    <t>European Union, Chinese government</t>
  </si>
  <si>
    <t>Foundation of Kievan Rus'</t>
  </si>
  <si>
    <t>882</t>
  </si>
  <si>
    <t>Russia</t>
  </si>
  <si>
    <t>State Formation</t>
  </si>
  <si>
    <t>Kiev</t>
  </si>
  <si>
    <t>Established the first East Slavic state, laying the foundation for Russian nationality and statehood.</t>
  </si>
  <si>
    <t>East Slavs</t>
  </si>
  <si>
    <t>Prince Oleg of Novgorod</t>
  </si>
  <si>
    <t>Mongol Invasion of Rus'</t>
  </si>
  <si>
    <t>1237</t>
  </si>
  <si>
    <t>Military Invasion</t>
  </si>
  <si>
    <t>Kievan Rus'</t>
  </si>
  <si>
    <t>Led to the Mongol domination of Russian territories, profoundly affecting its development.</t>
  </si>
  <si>
    <t>Rus' principalities</t>
  </si>
  <si>
    <t>Batu Khan</t>
  </si>
  <si>
    <t>Battle of Kulikovo</t>
  </si>
  <si>
    <t>1380</t>
  </si>
  <si>
    <t>Kulikovo Field</t>
  </si>
  <si>
    <t>Marked the beginning of the decline of Mongol influence over Russian territories.</t>
  </si>
  <si>
    <t>Russian principalities</t>
  </si>
  <si>
    <t>Dmitry Donskoy</t>
  </si>
  <si>
    <t>Ivan III Tripled the Territory of Russia</t>
  </si>
  <si>
    <t>1490</t>
  </si>
  <si>
    <t>Territorial Expansion</t>
  </si>
  <si>
    <t>Moscow</t>
  </si>
  <si>
    <t>Known as "Ivan the Great," he significantly expanded Russian territory and centralized power in Moscow.</t>
  </si>
  <si>
    <t>Russian state</t>
  </si>
  <si>
    <t>Ivan III</t>
  </si>
  <si>
    <t>Time of Troubles</t>
  </si>
  <si>
    <t>1598</t>
  </si>
  <si>
    <t>Political Crisis</t>
  </si>
  <si>
    <t>A period of political chaos, famine, and foreign invasion following the death of Ivan IV.</t>
  </si>
  <si>
    <t>Russian population</t>
  </si>
  <si>
    <t>Various claimants and factions</t>
  </si>
  <si>
    <t>Peter the Great's Reforms</t>
  </si>
  <si>
    <t>1730</t>
  </si>
  <si>
    <t>Modernization/Expansion</t>
  </si>
  <si>
    <t>Modernized and expanded Russia, establishing it as a major European power.</t>
  </si>
  <si>
    <t>Russian Empire</t>
  </si>
  <si>
    <t>Peter I</t>
  </si>
  <si>
    <t>RussoUnknownJapanese War</t>
  </si>
  <si>
    <t>1904</t>
  </si>
  <si>
    <t>Manchuria, Korea</t>
  </si>
  <si>
    <t>First major military defeat of a European power by an Asian nation in the modern era.</t>
  </si>
  <si>
    <t>Russian and Japanese Empires</t>
  </si>
  <si>
    <t>Nicholas II</t>
  </si>
  <si>
    <t>October Revolution</t>
  </si>
  <si>
    <t>1917</t>
  </si>
  <si>
    <t>Political Revolution</t>
  </si>
  <si>
    <t>Petrograd (Saint Petersburg)</t>
  </si>
  <si>
    <t>Overthrew the Provisional Government, leading to the establishment of the Soviet Union.</t>
  </si>
  <si>
    <t>Russian society</t>
  </si>
  <si>
    <t>Bolsheviks (Vladimir Lenin)</t>
  </si>
  <si>
    <t>Russian Civil War</t>
  </si>
  <si>
    <t>A multiUnknownparty war in the former Russian Empire fought between the Bolshevik Red Army and various forces.</t>
  </si>
  <si>
    <t>Bolsheviks, White Army, and allies</t>
  </si>
  <si>
    <t>Stalin's Great Purge</t>
  </si>
  <si>
    <t>1936</t>
  </si>
  <si>
    <t>1938</t>
  </si>
  <si>
    <t>Political Repression</t>
  </si>
  <si>
    <t>Soviet Union</t>
  </si>
  <si>
    <t>A campaign of political repression, including executions and labor camps.</t>
  </si>
  <si>
    <t>Soviet citizens</t>
  </si>
  <si>
    <t>Joseph Stalin</t>
  </si>
  <si>
    <t>Nazi Germany Invades the Soviet Union</t>
  </si>
  <si>
    <t>1941</t>
  </si>
  <si>
    <t>Known as Operation Barbarossa, it was the largest military invasion in history.</t>
  </si>
  <si>
    <t>Soviet Union citizens</t>
  </si>
  <si>
    <t>Adolf Hitler</t>
  </si>
  <si>
    <t>Victory in the Great Patriotic War</t>
  </si>
  <si>
    <t>End of WWII in Europe</t>
  </si>
  <si>
    <t>Marked the defeat of Nazi Germany, celebrating the end of WWII in Europe.</t>
  </si>
  <si>
    <t>Soviet military and citizens</t>
  </si>
  <si>
    <t>Treaty of BrestUnknownLitovsk</t>
  </si>
  <si>
    <t>1918</t>
  </si>
  <si>
    <t>International Treaty</t>
  </si>
  <si>
    <t>BrestUnknownLitovsk (now Brest, Belarus)</t>
  </si>
  <si>
    <t>Ended Russia's participation in WWI, ceding vast territories to the Central Powers.</t>
  </si>
  <si>
    <t>Bolshevik Government</t>
  </si>
  <si>
    <t>Kronstadt Rebellion</t>
  </si>
  <si>
    <t>1921</t>
  </si>
  <si>
    <t>Kronstadt</t>
  </si>
  <si>
    <t>A major revolt by sailors against the Soviet government's policies, brutally suppressed.</t>
  </si>
  <si>
    <t>Sailors, Red Army</t>
  </si>
  <si>
    <t>Formation of the USSR</t>
  </si>
  <si>
    <t>Soviet Russia</t>
  </si>
  <si>
    <t>Unified the Russian, Ukrainian, Belarusian, and Transcaucasian republics into a single federal state.</t>
  </si>
  <si>
    <t>Citizens of member republics</t>
  </si>
  <si>
    <t>Vladimir Lenin, Soviet leadership</t>
  </si>
  <si>
    <t>Collectivization of Agriculture</t>
  </si>
  <si>
    <t>1929</t>
  </si>
  <si>
    <t>Forced consolidation of individual peasant households into collective farms (kolkhozes and sovkhozes).</t>
  </si>
  <si>
    <t>Peasants</t>
  </si>
  <si>
    <t>First FiveUnknownYear Plan Initiated</t>
  </si>
  <si>
    <t>1928</t>
  </si>
  <si>
    <t>Aimed at rapid industrialization and collectivization of agriculture, setting high production goals.</t>
  </si>
  <si>
    <t>Soviet workforce</t>
  </si>
  <si>
    <t>SovietUnknownFinnish Winter War</t>
  </si>
  <si>
    <t>1939</t>
  </si>
  <si>
    <t>Finland</t>
  </si>
  <si>
    <t>An attempt by the Soviet Union to annex Finnish territory, resulting in heavy casualties and international criticism.</t>
  </si>
  <si>
    <t>Finnish and Soviet military</t>
  </si>
  <si>
    <t>Joseph Stalin, Soviet military</t>
  </si>
  <si>
    <t>Siege of Leningrad</t>
  </si>
  <si>
    <t>Military Siege</t>
  </si>
  <si>
    <t>Leningrad (now Saint Petersburg)</t>
  </si>
  <si>
    <t>One of the longest and most destructive sieges in history, causing severe famine and casualties.</t>
  </si>
  <si>
    <t>Civilians, Soviet military</t>
  </si>
  <si>
    <t>Nazi Germany, Soviet Union</t>
  </si>
  <si>
    <t>Battle of Stalingrad</t>
  </si>
  <si>
    <t>17</t>
  </si>
  <si>
    <t>Military Battle</t>
  </si>
  <si>
    <t>Stalingrad (now Volgograd)</t>
  </si>
  <si>
    <t>A turning point in WWII on the Eastern Front, resulting in significant German losses.</t>
  </si>
  <si>
    <t>Soviet and German military</t>
  </si>
  <si>
    <t>Soviet Union, Nazi Germany</t>
  </si>
  <si>
    <t>Moscow Conference of Foreign Ministers</t>
  </si>
  <si>
    <t>Diplomatic Meeting</t>
  </si>
  <si>
    <t>Led to discussions on postUnknownwar reorganization and laid the groundwork for the United Nations.</t>
  </si>
  <si>
    <t>Allied nations</t>
  </si>
  <si>
    <t>Churchill, Roosevelt, Stalin</t>
  </si>
  <si>
    <t>Yalta Conference</t>
  </si>
  <si>
    <t>International Conference</t>
  </si>
  <si>
    <t>Yalta, Crimea</t>
  </si>
  <si>
    <t>Agreements on the postUnknownwar reorganization of Europe and Germany, setting the stage for the Cold War.</t>
  </si>
  <si>
    <t>Allied powers</t>
  </si>
  <si>
    <t>Death of Joseph Stalin</t>
  </si>
  <si>
    <t>1953</t>
  </si>
  <si>
    <t>USSR</t>
  </si>
  <si>
    <t>Marked the end of Stalin's rule and the beginning of the deUnknownStalinization process under his successors.</t>
  </si>
  <si>
    <t>Launch of Sputnik 1</t>
  </si>
  <si>
    <t>1957</t>
  </si>
  <si>
    <t>Baikonur Cosmodrome</t>
  </si>
  <si>
    <t>Initiated the space age and the space race between the USSR and the United States.</t>
  </si>
  <si>
    <t>Soviet space program</t>
  </si>
  <si>
    <t>Cuban Missile Crisis</t>
  </si>
  <si>
    <t>International Crisis</t>
  </si>
  <si>
    <t>Cuba</t>
  </si>
  <si>
    <t>A 13Unknownday confrontation between the United States and the Soviet Union over Soviet ballistic missiles in Cuba.</t>
  </si>
  <si>
    <t>Nikita Khrushchev, John F. Kennedy</t>
  </si>
  <si>
    <t>Khrushchev's Secret Speech</t>
  </si>
  <si>
    <t>Denounced the crimes of Joseph Stalin, marking the beginning of the deUnknownStalinization.</t>
  </si>
  <si>
    <t>Soviet citizens, Communist Party members</t>
  </si>
  <si>
    <t>Nikita Khrushchev</t>
  </si>
  <si>
    <t>The Prague Spring and its Suppression</t>
  </si>
  <si>
    <t>1968</t>
  </si>
  <si>
    <t>Military Intervention</t>
  </si>
  <si>
    <t>Czechoslovakia</t>
  </si>
  <si>
    <t>A period of political liberalization in Czechoslovakia crushed by Soviet military intervention.</t>
  </si>
  <si>
    <t>Czechoslovak citizens</t>
  </si>
  <si>
    <t>Leonid Brezhnev</t>
  </si>
  <si>
    <t>SovietUnknownAfghan War</t>
  </si>
  <si>
    <t>Afghanistan</t>
  </si>
  <si>
    <t>A costly and ultimately unsuccessful attempt by the Soviet Union to prop up a communist government.</t>
  </si>
  <si>
    <t>Afghan and Soviet citizens</t>
  </si>
  <si>
    <t>Perestroika and Glasnost Reforms</t>
  </si>
  <si>
    <t>Political/Economic Reform</t>
  </si>
  <si>
    <t>Mikhail Gorbachev's policies of reforming the political system and increasing transparency.</t>
  </si>
  <si>
    <t>Mikhail Gorbachev</t>
  </si>
  <si>
    <t>Chernobyl Nuclear Disaster</t>
  </si>
  <si>
    <t>Nuclear Accident</t>
  </si>
  <si>
    <t>Chernobyl, Ukraine</t>
  </si>
  <si>
    <t>The worst nuclear disaster in history, leading to significant health and environmental consequences.</t>
  </si>
  <si>
    <t>Fall of the Berlin Wall</t>
  </si>
  <si>
    <t>Berlin, Germany</t>
  </si>
  <si>
    <t>Symbolized the end of the Cold War and the beginning of German reunification.</t>
  </si>
  <si>
    <t>East and West Germans</t>
  </si>
  <si>
    <t>Dissolution of the Soviet Union</t>
  </si>
  <si>
    <t>Marked the end of the Soviet Union and the emergence of 15 independent republics, including Russia.</t>
  </si>
  <si>
    <t>Citizens of former USSR</t>
  </si>
  <si>
    <t>Mikhail Gorbachev, Boris Yeltsin</t>
  </si>
  <si>
    <t>Boris Yeltsin Elected as First President of Russia</t>
  </si>
  <si>
    <t>Signified the transition towards democratic governance and market economics in postUnknownSoviet Russia.</t>
  </si>
  <si>
    <t>Russian citizens</t>
  </si>
  <si>
    <t>Boris Yeltsin</t>
  </si>
  <si>
    <t>Constitutional Crisis in Russia</t>
  </si>
  <si>
    <t>1993</t>
  </si>
  <si>
    <t>A political standUnknownoff between the Russian president and the parliament culminated in military conflict.</t>
  </si>
  <si>
    <t>Boris Yeltsin, Russian parliament</t>
  </si>
  <si>
    <t>Financial Crisis in Russia</t>
  </si>
  <si>
    <t>Economic Crisis</t>
  </si>
  <si>
    <t>Led to the Russian government defaulting on its debt, causing significant economic turmoil.</t>
  </si>
  <si>
    <t>Russian government</t>
  </si>
  <si>
    <t>Putin's First Presidential Term</t>
  </si>
  <si>
    <t>2000</t>
  </si>
  <si>
    <t>Marked the beginning of Vladimir Putin's long tenure in power, significantly impacting Russian politics.</t>
  </si>
  <si>
    <t>Vladimir Putin</t>
  </si>
  <si>
    <t>Moscow Theater Hostage Crisis</t>
  </si>
  <si>
    <t>A deadly siege carried out by Chechen terrorists, ending with numerous casualties.</t>
  </si>
  <si>
    <t>Hostages, terrorists</t>
  </si>
  <si>
    <t>Chechen terrorists, Russian security forces</t>
  </si>
  <si>
    <t>Beslan School Siege</t>
  </si>
  <si>
    <t>Beslan, North Ossetia</t>
  </si>
  <si>
    <t>A terrorist attack resulting in over 330 deaths, including many children.</t>
  </si>
  <si>
    <t>Beslan residents</t>
  </si>
  <si>
    <t>Russia's Annexation of Crimea</t>
  </si>
  <si>
    <t>Political/Territorial Change</t>
  </si>
  <si>
    <t>Crimea</t>
  </si>
  <si>
    <t>Led to international sanctions against Russia and significant geopolitical tensions.</t>
  </si>
  <si>
    <t>Ukrainians, Russians</t>
  </si>
  <si>
    <t>Vladimir Putin, Russian government</t>
  </si>
  <si>
    <t>Intervention in the Syrian Civil War</t>
  </si>
  <si>
    <t>Syria</t>
  </si>
  <si>
    <t>Russia's military intervention on behalf of the Syrian government, affecting the course of the war.</t>
  </si>
  <si>
    <t>Syrian population</t>
  </si>
  <si>
    <t>Vladimir Putin, Russian military</t>
  </si>
  <si>
    <t>Skripal Poisoning Incident</t>
  </si>
  <si>
    <t>International Incident</t>
  </si>
  <si>
    <t>Salisbury, UK</t>
  </si>
  <si>
    <t>Led to a diplomatic crisis between Russia and Western countries, with accusations of Russian involvement.</t>
  </si>
  <si>
    <t>Skripal family, UK citizens</t>
  </si>
  <si>
    <t>Russian government (alleged)</t>
  </si>
  <si>
    <t>Asuka Period Begins</t>
  </si>
  <si>
    <t>538</t>
  </si>
  <si>
    <t>Japan</t>
  </si>
  <si>
    <t>Asuka</t>
  </si>
  <si>
    <t>Marked the introduction of Buddhism to Japan, influencing its culture and religion significantly.</t>
  </si>
  <si>
    <t>Japanese society</t>
  </si>
  <si>
    <t>Soga no Umako, Prince Shotoku</t>
  </si>
  <si>
    <t>Taika Reforms</t>
  </si>
  <si>
    <t>645</t>
  </si>
  <si>
    <t>A set of doctrines established to reshape Japanese government and society along Chinese Confucian models.</t>
  </si>
  <si>
    <t>Emperor Kōtoku</t>
  </si>
  <si>
    <t>Nara Period Begins</t>
  </si>
  <si>
    <t>710</t>
  </si>
  <si>
    <t>Cultural</t>
  </si>
  <si>
    <t>Nara</t>
  </si>
  <si>
    <t>Establishment of the first permanent capital in Nara, leading to a flourishing of Japanese culture and arts.</t>
  </si>
  <si>
    <t>Empress Genmei</t>
  </si>
  <si>
    <t>Heian Period Begins</t>
  </si>
  <si>
    <t>794</t>
  </si>
  <si>
    <t>HeianUnknownkyō (Kyoto)</t>
  </si>
  <si>
    <t>Marked the start of a golden age of art, culture, and literature in Japan.</t>
  </si>
  <si>
    <t>Emperor Kanmu</t>
  </si>
  <si>
    <t>The Tale of Genji by Murasaki Shikibu</t>
  </si>
  <si>
    <t>1030</t>
  </si>
  <si>
    <t>Literature</t>
  </si>
  <si>
    <t>Often considered the world's first novel, showcasing the sophistication of HeianUnknownera culture and society.</t>
  </si>
  <si>
    <t>Japanese literature, global readership</t>
  </si>
  <si>
    <t>Murasaki Shikibu</t>
  </si>
  <si>
    <t>Kamakura Shogunate Established</t>
  </si>
  <si>
    <t>1185</t>
  </si>
  <si>
    <t>Kamakura</t>
  </si>
  <si>
    <t>The establishment of the first shogunate in Japan, marking the beginning of feudalism and samurai dominance.</t>
  </si>
  <si>
    <t>Minamoto no Yoritomo</t>
  </si>
  <si>
    <t>Mongol Invasions of Japan</t>
  </si>
  <si>
    <t>1274</t>
  </si>
  <si>
    <t>Kyushu</t>
  </si>
  <si>
    <t>Failed attempts by the Mongol Empire to invade Japan, reinforcing the samurai's status and affecting Japanese medieval identity.</t>
  </si>
  <si>
    <t>Japanese defenders</t>
  </si>
  <si>
    <t>Kublai Khan, Samurai defenders</t>
  </si>
  <si>
    <t>Muromachi Period Begins</t>
  </si>
  <si>
    <t>1336</t>
  </si>
  <si>
    <t>Muromachi, Kyoto</t>
  </si>
  <si>
    <t>A period marked by civil wars and the establishment of the Ashikaga shogunate, leading to cultural developments like the tea ceremony and Noh theater.</t>
  </si>
  <si>
    <t>Ashikaga Takauji</t>
  </si>
  <si>
    <t>Onin War</t>
  </si>
  <si>
    <t>1467</t>
  </si>
  <si>
    <t>Kyoto</t>
  </si>
  <si>
    <t>A conflict that led to the collapse of the Ashikaga shogunate's authority and the start of the Sengoku period.</t>
  </si>
  <si>
    <t>Various daimyōs</t>
  </si>
  <si>
    <t>Introduction of Firearms by Portuguese</t>
  </si>
  <si>
    <t>1543</t>
  </si>
  <si>
    <t>Military/Technology</t>
  </si>
  <si>
    <t>Tanegashima</t>
  </si>
  <si>
    <t>Transformed warfare in Japan and led to significant changes in military tactics during the Sengoku period.</t>
  </si>
  <si>
    <t>Japanese warlords, samurai</t>
  </si>
  <si>
    <t>Portuguese traders</t>
  </si>
  <si>
    <t>AzuchiUnknownMomoyama Period Begins</t>
  </si>
  <si>
    <t>1568</t>
  </si>
  <si>
    <t>Azuchi</t>
  </si>
  <si>
    <t>Characterized by the unification of Japan under Oda Nobunaga and later Toyotomi Hideyoshi, leading to the establishment of a centralized government.</t>
  </si>
  <si>
    <t>Oda Nobunaga, Toyotomi Hideyoshi</t>
  </si>
  <si>
    <t>Tokugawa Shogunate Established</t>
  </si>
  <si>
    <t>1603</t>
  </si>
  <si>
    <t>Edo (Tokyo)</t>
  </si>
  <si>
    <t>The establishment of the Tokugawa shogunate marked the beginning of over 250 years of peace and stability, known as the Edo period.</t>
  </si>
  <si>
    <t>Tokugawa Ieyasu</t>
  </si>
  <si>
    <t>Sakoku Edict of 1635</t>
  </si>
  <si>
    <t>1635</t>
  </si>
  <si>
    <t>Foreign Policy</t>
  </si>
  <si>
    <t>The isolationist foreign policy of the Tokugawa shogunate that restricted Japan's contact with most foreign countries.</t>
  </si>
  <si>
    <t>Tokugawa Iemitsu</t>
  </si>
  <si>
    <t>Meiji Restoration</t>
  </si>
  <si>
    <t>1868</t>
  </si>
  <si>
    <t>The restoration of imperial rule under Emperor Meiji, leading to rapid modernization and westernization.</t>
  </si>
  <si>
    <t>Emperor Meiji, Meiji oligarchs</t>
  </si>
  <si>
    <t>SinoUnknownJapanese War</t>
  </si>
  <si>
    <t>1894</t>
  </si>
  <si>
    <t>Korea, China</t>
  </si>
  <si>
    <t>Established Japan as a formidable military power in East Asia, leading to the acquisition of Taiwan.</t>
  </si>
  <si>
    <t>Chinese and Japanese Empires</t>
  </si>
  <si>
    <t>Meiji Government</t>
  </si>
  <si>
    <t>A significant victory for Japan, marking the first time an Asian power defeated a European power in modern times.</t>
  </si>
  <si>
    <t>Taisho Democracy</t>
  </si>
  <si>
    <t>1912</t>
  </si>
  <si>
    <t>A period of democratic political reforms and increased political participation during the Taisho era.</t>
  </si>
  <si>
    <t>Japanese Invasion of Manchuria</t>
  </si>
  <si>
    <t>Manchuria, China</t>
  </si>
  <si>
    <t>Marked the beginning of Japan's aggressive expansion in East Asia, leading to the Second SinoUnknownJapanese War.</t>
  </si>
  <si>
    <t>Chinese and Japanese populations</t>
  </si>
  <si>
    <t>Imperial Japanese Army</t>
  </si>
  <si>
    <t>Second SinoUnknownJapanese War</t>
  </si>
  <si>
    <t>A major theater of WWII in Asia, resulting in massive casualties and atrocities such as the Nanjing Massacre.</t>
  </si>
  <si>
    <t>Chinese and Japanese civilians</t>
  </si>
  <si>
    <t>Atomic Bombings of Hiroshima and Nagasaki</t>
  </si>
  <si>
    <t>6 and 9</t>
  </si>
  <si>
    <t>Military/Atomic Warfare</t>
  </si>
  <si>
    <t>Hiroshima, Nagasaki</t>
  </si>
  <si>
    <t>Led to Japan's surrender in WWII, marking the first and only use of nuclear weapons in warfare.</t>
  </si>
  <si>
    <t>Japanese civilians</t>
  </si>
  <si>
    <t>United States</t>
  </si>
  <si>
    <t>Perry Expedition and Opening of Japan</t>
  </si>
  <si>
    <t>1853</t>
  </si>
  <si>
    <t>Edo Bay (Tokyo Bay)</t>
  </si>
  <si>
    <t>Forced Japan to end its isolationist policy, leading to the Treaty of Kanagawa and opening Japan to the West.</t>
  </si>
  <si>
    <t>Commodore Matthew Perry</t>
  </si>
  <si>
    <t>Boshin War</t>
  </si>
  <si>
    <t>A civil war between forces of the Tokugawa Shogunate and those seeking to return political power to the Imperial Court.</t>
  </si>
  <si>
    <t>Tokugawa Shogunate, Imperial loyalists</t>
  </si>
  <si>
    <t>Iwakura Mission</t>
  </si>
  <si>
    <t>1871</t>
  </si>
  <si>
    <t>Diplomatic Mission</t>
  </si>
  <si>
    <t>USA, Europe</t>
  </si>
  <si>
    <t>A Japanese diplomatic voyage to the United States and Europe to renegotiate unequal treaties and study Western ways.</t>
  </si>
  <si>
    <t>Iwakura Tomomi, Kido Takayoshi</t>
  </si>
  <si>
    <t>Satsuma Rebellion</t>
  </si>
  <si>
    <t>1877</t>
  </si>
  <si>
    <t>A revolt of disaffected samurai against the new imperial government, marking the end of samurai rebellion.</t>
  </si>
  <si>
    <t>Japanese government, samurai</t>
  </si>
  <si>
    <t>Saigō Takamori</t>
  </si>
  <si>
    <t>First SinoUnknownJapanese War</t>
  </si>
  <si>
    <t>Demonstrated Japan's military dominance in Asia, leading to the acquisition of Taiwan and Korea's independence.</t>
  </si>
  <si>
    <t>JapanUnknownKorea Annexation Treaty</t>
  </si>
  <si>
    <t>1910</t>
  </si>
  <si>
    <t>Korea</t>
  </si>
  <si>
    <t>Officially annexed Korea, making it a part of the Japanese Empire until the end of World War II.</t>
  </si>
  <si>
    <t>Korean population</t>
  </si>
  <si>
    <t>Imperial Japan</t>
  </si>
  <si>
    <t>Washington Naval Conference</t>
  </si>
  <si>
    <t>Washington D.C.</t>
  </si>
  <si>
    <t>Led to naval disarmament and attempted to prevent naval arms race among the major powers.</t>
  </si>
  <si>
    <t>USA, UK, Japan, France, Italy</t>
  </si>
  <si>
    <t>Manchurian Incident</t>
  </si>
  <si>
    <t>Military Aggression</t>
  </si>
  <si>
    <t>A staged event used by Japan as a pretext to invade Manchuria, leading to the establishment of Manchukuo.</t>
  </si>
  <si>
    <t>Marco Polo Bridge Incident</t>
  </si>
  <si>
    <t>Near Beijing, China</t>
  </si>
  <si>
    <t>The start of the fullUnknownscale Second SinoUnknownJapanese War, escalating conflict in East Asia.</t>
  </si>
  <si>
    <t>Imperial Japanese Army, Chinese forces</t>
  </si>
  <si>
    <t>Japan's Surrender in World War II</t>
  </si>
  <si>
    <t>End of WWII</t>
  </si>
  <si>
    <t>Tokyo Bay</t>
  </si>
  <si>
    <t>Marked the end of World War II and the beginning of Japan's postUnknownwar reconstruction and pacifism era.</t>
  </si>
  <si>
    <t>Japanese population</t>
  </si>
  <si>
    <t>Emperor Hirohito, Allied Powers</t>
  </si>
  <si>
    <t>San Francisco Peace Treaty Signed</t>
  </si>
  <si>
    <t>San Francisco</t>
  </si>
  <si>
    <t>Officially ended the state of war between Japan and the Allied Powers, restoring Japan's sovereignty.</t>
  </si>
  <si>
    <t>Shigeru Yoshida (Prime Minister)</t>
  </si>
  <si>
    <t>Japan Joins the United Nations</t>
  </si>
  <si>
    <t>Marked Japan's return to the international community and its commitment to global peace and cooperation.</t>
  </si>
  <si>
    <t>Japanese government</t>
  </si>
  <si>
    <t>Income Doubling Plan Announced</t>
  </si>
  <si>
    <t>Aimed at doubling the national income, fueling rapid economic growth and improving living standards.</t>
  </si>
  <si>
    <t>Japanese citizens</t>
  </si>
  <si>
    <t>Hayato Ikeda (Prime Minister)</t>
  </si>
  <si>
    <t>Tokyo Olympics</t>
  </si>
  <si>
    <t>1964</t>
  </si>
  <si>
    <t>Tokyo</t>
  </si>
  <si>
    <t>Showcased Japan's recovery and modernization to the world, fostering national pride and international goodwill.</t>
  </si>
  <si>
    <t>Osaka Expo '70</t>
  </si>
  <si>
    <t>1970</t>
  </si>
  <si>
    <t>World's Fair</t>
  </si>
  <si>
    <t>Osaka</t>
  </si>
  <si>
    <t>Symbolized Japan's cultural and technological advancements on the world stage.</t>
  </si>
  <si>
    <t>Oil Crisis and Economic Shift</t>
  </si>
  <si>
    <t>1973</t>
  </si>
  <si>
    <t>Prompted a shift in Japan's economy towards energyUnknownefficient industries and high technology.</t>
  </si>
  <si>
    <t>Japanese economy</t>
  </si>
  <si>
    <t>JapanUnknownChina Joint Communiqué</t>
  </si>
  <si>
    <t>Diplomatic Agreement</t>
  </si>
  <si>
    <t>Normalized diplomatic relations between Japan and China, ending the postUnknownwar state of hostility.</t>
  </si>
  <si>
    <t>Japanese and Chinese populations</t>
  </si>
  <si>
    <t>Kakuei Tanaka (Prime Minister)</t>
  </si>
  <si>
    <t>Heisei Era Begins</t>
  </si>
  <si>
    <t>Era Change</t>
  </si>
  <si>
    <t>The ascension of Emperor Akihito marked the beginning of the Heisei era, symbolizing peace and recovery.</t>
  </si>
  <si>
    <t>Emperor Akihito</t>
  </si>
  <si>
    <t>Great Hanshin Earthquake</t>
  </si>
  <si>
    <t>1995</t>
  </si>
  <si>
    <t>Kobe</t>
  </si>
  <si>
    <t>One of the deadliest earthquakes in Japan's history, leading to significant loss of life and damage.</t>
  </si>
  <si>
    <t>Residents of affected area</t>
  </si>
  <si>
    <t>Aum Shinrikyo Tokyo Subway Sarin Attack</t>
  </si>
  <si>
    <t>A deadly terrorist attack by a doomsday cult, shaking public security and trust in authorities.</t>
  </si>
  <si>
    <t>Commuters, general public</t>
  </si>
  <si>
    <t>Aum Shinrikyo cult</t>
  </si>
  <si>
    <t>Japan's Apology for WWII Aggressions</t>
  </si>
  <si>
    <t>Diplomatic Statement</t>
  </si>
  <si>
    <t>Prime Minister Tomiichi Murayama issued a formal apology for Japan's wartime aggressions.</t>
  </si>
  <si>
    <t>Asian neighbors</t>
  </si>
  <si>
    <t>Tomiichi Murayama (Prime Minister)</t>
  </si>
  <si>
    <t>Kyoto Protocol on Climate Change</t>
  </si>
  <si>
    <t>An international treaty committing its parties to reduce greenhouse gas emissions, based on the premise of global warming.</t>
  </si>
  <si>
    <t>International participants</t>
  </si>
  <si>
    <t>Fukushima Daiichi Nuclear Disaster</t>
  </si>
  <si>
    <t>2011</t>
  </si>
  <si>
    <t>Fukushima</t>
  </si>
  <si>
    <t>Triggered by a massive earthquake and tsunami, it was one of the worst nuclear disasters in history.</t>
  </si>
  <si>
    <t>Residents of affected area, global community</t>
  </si>
  <si>
    <t>TEPCO, Japanese government</t>
  </si>
  <si>
    <t>JapanUnknownKorea Comfort Women Agreement</t>
  </si>
  <si>
    <t>Seoul</t>
  </si>
  <si>
    <t>Aimed to resolve the longUnknownstanding issue of "comfort women" during WWII, though met with criticism and controversy.</t>
  </si>
  <si>
    <t>Victims, South Korean and Japanese populations</t>
  </si>
  <si>
    <t>Shinzo Abe (Prime Minister), Park GeunUnknownhye</t>
  </si>
  <si>
    <t>Emperor Akihito's Abdication</t>
  </si>
  <si>
    <t>Historical</t>
  </si>
  <si>
    <t>Marked the first abdication of a Japanese emperor in over two centuries, leading to the Reiwa era.</t>
  </si>
  <si>
    <t>2020 Tokyo Olympics Postponement</t>
  </si>
  <si>
    <t>The Olympics were postponed for the first time in history due to the COVIDUnknown19 pandemic.</t>
  </si>
  <si>
    <t>Global audience, athletes</t>
  </si>
  <si>
    <t>International Olympic Committee, Japanese government</t>
  </si>
  <si>
    <t>Reiwa Era Begins</t>
  </si>
  <si>
    <t>The ascension of Emperor Naruhito marked the beginning of the Reiwa era, symbolizing harmony and peace.</t>
  </si>
  <si>
    <t>Emperor Naruhito</t>
  </si>
  <si>
    <t>Arrival of the First Fleet</t>
  </si>
  <si>
    <t>1788</t>
  </si>
  <si>
    <t>Australia</t>
  </si>
  <si>
    <t>Colonial Settlement</t>
  </si>
  <si>
    <t>Sydney Cove</t>
  </si>
  <si>
    <t>Marked the beginning of British colonization in Australia, leading to the establishment of New South Wales.</t>
  </si>
  <si>
    <t>Indigenous Australians, British convicts</t>
  </si>
  <si>
    <t>Captain Arthur Phillip</t>
  </si>
  <si>
    <t>Establishment of the Colony of Van Diemen's Land</t>
  </si>
  <si>
    <t>1803</t>
  </si>
  <si>
    <t>Colonial Expansion</t>
  </si>
  <si>
    <t>Tasmania</t>
  </si>
  <si>
    <t>Expanded British territorial claims in Australia, significantly impacting the indigenous population.</t>
  </si>
  <si>
    <t>Tasmanian Aboriginal people, British settlers</t>
  </si>
  <si>
    <t>British Colonial Administration</t>
  </si>
  <si>
    <t>Gold Rushes Begin</t>
  </si>
  <si>
    <t>1851</t>
  </si>
  <si>
    <t>Economic</t>
  </si>
  <si>
    <t>New South Wales, Victoria</t>
  </si>
  <si>
    <t>Triggered mass migration to Australia, significantly boosting the economy and population.</t>
  </si>
  <si>
    <t>Australian colonies</t>
  </si>
  <si>
    <t>Gold prospectors</t>
  </si>
  <si>
    <t>Eureka Stockade</t>
  </si>
  <si>
    <t>1854</t>
  </si>
  <si>
    <t>Rebellion</t>
  </si>
  <si>
    <t>Ballarat, Victoria</t>
  </si>
  <si>
    <t>A miners' rebellion against colonial authorities, considered a pivotal event in the development of democracy in Australia.</t>
  </si>
  <si>
    <t>Miners, colonial authorities</t>
  </si>
  <si>
    <t>Peter Lalor</t>
  </si>
  <si>
    <t>Establishment of the Commonwealth of Australia</t>
  </si>
  <si>
    <t>1901</t>
  </si>
  <si>
    <t>Federation</t>
  </si>
  <si>
    <t>Entire Australia</t>
  </si>
  <si>
    <t>Unification of the six colonies into a federated nation, marking the birth of modern Australia.</t>
  </si>
  <si>
    <t>Australian population</t>
  </si>
  <si>
    <t>Edmund Barton</t>
  </si>
  <si>
    <t>ANZAC troops land at Gallipoli</t>
  </si>
  <si>
    <t>1915</t>
  </si>
  <si>
    <t>Gallipoli, Turkey</t>
  </si>
  <si>
    <t>Marked the first major military action fought by Australian and New Zealand forces during WWI.</t>
  </si>
  <si>
    <t>ANZAC soldiers</t>
  </si>
  <si>
    <t>The Great Strike of 1917</t>
  </si>
  <si>
    <t>Labor Movement</t>
  </si>
  <si>
    <t>Sydney</t>
  </si>
  <si>
    <t>One of Australia's largest industrial disputes, affecting the country's economy and labor laws.</t>
  </si>
  <si>
    <t>Workers, employers</t>
  </si>
  <si>
    <t>Union leaders</t>
  </si>
  <si>
    <t>Women's Suffrage Achieved</t>
  </si>
  <si>
    <t>1902</t>
  </si>
  <si>
    <t>Granted women the right to vote and stand for parliamentary election, a significant step for women's rights.</t>
  </si>
  <si>
    <t>Australian women</t>
  </si>
  <si>
    <t>Women's suffrage activists</t>
  </si>
  <si>
    <t>The Great Depression Hits Australia</t>
  </si>
  <si>
    <t>Severely affected Australia's economy, leading to widespread unemployment and social upheaval.</t>
  </si>
  <si>
    <t>Sydney Harbour Bridge Opens</t>
  </si>
  <si>
    <t>1932</t>
  </si>
  <si>
    <t>Became a national symbol of Australia and a critical transportation link within Sydney.</t>
  </si>
  <si>
    <t>Sydney residents</t>
  </si>
  <si>
    <t>John Bradfield</t>
  </si>
  <si>
    <t>Australian Citizenship Act</t>
  </si>
  <si>
    <t>Established Australian citizenship, formally distinguishing Australians from British subjects.</t>
  </si>
  <si>
    <t>Australian residents</t>
  </si>
  <si>
    <t>Australian Government</t>
  </si>
  <si>
    <t>Darwin Bombing by Japanese Forces</t>
  </si>
  <si>
    <t>Darwin, Northern Territory</t>
  </si>
  <si>
    <t>The largest single attack ever mounted by a foreign power on Australia, bringing the realities of WWII to Australian shores.</t>
  </si>
  <si>
    <t>Residents of Darwin</t>
  </si>
  <si>
    <t>Imperial Japanese Navy</t>
  </si>
  <si>
    <t>Kokoda Trail Campaign</t>
  </si>
  <si>
    <t>Papua New Guinea</t>
  </si>
  <si>
    <t>A series of battles fought in the New Guinea campaign of WWII, showcasing the bravery of Australian troops.</t>
  </si>
  <si>
    <t>Australian soldiers, Papua New Guineans</t>
  </si>
  <si>
    <t>Australian Army</t>
  </si>
  <si>
    <t>Australian Involvement in WWII Begins</t>
  </si>
  <si>
    <t>Global</t>
  </si>
  <si>
    <t>Marked Australia's entry into WWII following the United Kingdom's declaration of war on Nazi Germany.</t>
  </si>
  <si>
    <t>Australian military, civilians</t>
  </si>
  <si>
    <t>Robert Menzies (Prime Minister)</t>
  </si>
  <si>
    <t>Myall Creek Massacre</t>
  </si>
  <si>
    <t>1838</t>
  </si>
  <si>
    <t>Myall Creek, New South Wales</t>
  </si>
  <si>
    <t>One of the most infamous incidents of violence against Indigenous Australians during the frontier wars.</t>
  </si>
  <si>
    <t>Wirrayaraay people</t>
  </si>
  <si>
    <t>European settlers</t>
  </si>
  <si>
    <t>The Founding of Melbourne</t>
  </si>
  <si>
    <t>1835</t>
  </si>
  <si>
    <t>Settlement</t>
  </si>
  <si>
    <t>Melbourne, Victoria</t>
  </si>
  <si>
    <t>Establishment of Melbourne, which would grow to become one of Australia's largest and most influential cities.</t>
  </si>
  <si>
    <t>Indigenous Australians, settlers</t>
  </si>
  <si>
    <t>John Batman, settlers</t>
  </si>
  <si>
    <t>The Shearers' Strike</t>
  </si>
  <si>
    <t>1891</t>
  </si>
  <si>
    <t>Queensland</t>
  </si>
  <si>
    <t>A significant early labor dispute, highlighting the division between workers and employers in rural Australia.</t>
  </si>
  <si>
    <t>Shearers, pastoralists</t>
  </si>
  <si>
    <t>Union leaders, Queensland Government</t>
  </si>
  <si>
    <t>Federation of Australia</t>
  </si>
  <si>
    <t>Unified the six separate British colonies into a single nation, the Commonwealth of Australia.</t>
  </si>
  <si>
    <t>Residents of the colonies</t>
  </si>
  <si>
    <t>Australian Imperial Force's Formation</t>
  </si>
  <si>
    <t>1914</t>
  </si>
  <si>
    <t>Military Formation</t>
  </si>
  <si>
    <t>Formation of the AIF marked Australia's preparation for participation in WWI.</t>
  </si>
  <si>
    <t>Australian volunteers</t>
  </si>
  <si>
    <t>Black Friday Bushfires</t>
  </si>
  <si>
    <t>Victoria</t>
  </si>
  <si>
    <t>One of Australia's worst natural disasters, leading to significant loss of life and property.</t>
  </si>
  <si>
    <t>Residents of Victoria</t>
  </si>
  <si>
    <t>Signing of the ANZUS Treaty</t>
  </si>
  <si>
    <t>Established a security alliance between Australia, New Zealand, and the United States, strengthening ties with the US.</t>
  </si>
  <si>
    <t>Australian citizens</t>
  </si>
  <si>
    <t>Mabo v Queensland Decision</t>
  </si>
  <si>
    <t>Legal Land Rights</t>
  </si>
  <si>
    <t>High Court of Australia</t>
  </si>
  <si>
    <t>Recognized Native Title in Australia, overturning the doctrine of terra nullius and acknowledging Indigenous land rights.</t>
  </si>
  <si>
    <t>Indigenous Australians</t>
  </si>
  <si>
    <t>Eddie Mabo, High Court of Australia</t>
  </si>
  <si>
    <t>Introduction of the Universal Health Care System</t>
  </si>
  <si>
    <t>Established Medicare, providing access to free or subsidised medical care for Australian citizens.</t>
  </si>
  <si>
    <t>Gough Whitlam (Prime Minister)</t>
  </si>
  <si>
    <t>Sydney Opera House Opens</t>
  </si>
  <si>
    <t>Cultural Infrastructure</t>
  </si>
  <si>
    <t>Became an iconic symbol of Australia and a major cultural venue, enhancing the country's global cultural stature.</t>
  </si>
  <si>
    <t>International and local visitors</t>
  </si>
  <si>
    <t>Queen Elizabeth II, Jørn Utzon</t>
  </si>
  <si>
    <t>1967 Referendum on Indigenous Australians</t>
  </si>
  <si>
    <t>Political/Legal</t>
  </si>
  <si>
    <t>Amended the constitution to include Indigenous Australians in censuses and allow the federal government to create laws for them.</t>
  </si>
  <si>
    <t>Indigenous Australians, Australian voters</t>
  </si>
  <si>
    <t>Australian Government, Indigenous activists</t>
  </si>
  <si>
    <t>Australia's Involvement in the Vietnam War</t>
  </si>
  <si>
    <t>Vietnam</t>
  </si>
  <si>
    <t>Marked significant military engagement abroad and sparked domestic debate and protest movements.</t>
  </si>
  <si>
    <t>Australian soldiers, civilians</t>
  </si>
  <si>
    <t>Whitlam Government's Dismissal</t>
  </si>
  <si>
    <t>Canberra</t>
  </si>
  <si>
    <t>A constitutional crisis that led to the dismissal of the Whitlam government by the GovernorUnknownGeneral.</t>
  </si>
  <si>
    <t>Gough Whitlam, Sir John Kerr</t>
  </si>
  <si>
    <t>Port Arthur Massacre</t>
  </si>
  <si>
    <t>1996</t>
  </si>
  <si>
    <t>Gun Violence</t>
  </si>
  <si>
    <t>Port Arthur, Tasmania</t>
  </si>
  <si>
    <t>Led to significant reforms in Australia's gun laws with the National Firearms Agreement.</t>
  </si>
  <si>
    <t>John Howard (Prime Minister)</t>
  </si>
  <si>
    <t>Australia Act 1986</t>
  </si>
  <si>
    <t>Constitutional/Legal</t>
  </si>
  <si>
    <t>Canberra, London</t>
  </si>
  <si>
    <t>Severed the remaining constitutional links between Australia and the United Kingdom, establishing full sovereignty.</t>
  </si>
  <si>
    <t>Australian Government, British Government</t>
  </si>
  <si>
    <t>Apology to Australia's Indigenous Peoples</t>
  </si>
  <si>
    <t>The Australian government formally apologised to the Indigenous Australians for past injustices, particularly the Stolen Generations.</t>
  </si>
  <si>
    <t>Kevin Rudd (Prime Minister)</t>
  </si>
  <si>
    <t>Korean War Involvement</t>
  </si>
  <si>
    <t>Marked Australia's participation in UN forces during the Korean War, emphasizing its commitment to global security.</t>
  </si>
  <si>
    <t>Australian military, Korean civilians</t>
  </si>
  <si>
    <t>ANZUS Treaty Signing</t>
  </si>
  <si>
    <t>Established a security alliance between Australia, New Zealand, and the United States.</t>
  </si>
  <si>
    <t>Robert Menzies</t>
  </si>
  <si>
    <t>Vietnam War Involvement</t>
  </si>
  <si>
    <t>Australia's involvement in Vietnam War sparked national debate and protest movements.</t>
  </si>
  <si>
    <t>Australian military, Vietnamese civilians</t>
  </si>
  <si>
    <t>Aboriginal Land Rights Act</t>
  </si>
  <si>
    <t>1976</t>
  </si>
  <si>
    <t>Legal/Political</t>
  </si>
  <si>
    <t>Northern Territory</t>
  </si>
  <si>
    <t>A landmark in Indigenous rights, allowing Aboriginal Australians to claim land rights in the Northern Territory.</t>
  </si>
  <si>
    <t>Became a national icon and a major cultural hub, symbolizing Australia's architectural and artistic prowess.</t>
  </si>
  <si>
    <t>Global and local visitors</t>
  </si>
  <si>
    <t>Jørn Utzon</t>
  </si>
  <si>
    <t>Whitlam Government Dismissal</t>
  </si>
  <si>
    <t>A constitutional crisis that led to the dismissal of the Whitlam government, highlighting the power of the GovernorUnknownGeneral.</t>
  </si>
  <si>
    <t>Australia Acts 1986</t>
  </si>
  <si>
    <t>Legal/Constitutional</t>
  </si>
  <si>
    <t>Australia, UK</t>
  </si>
  <si>
    <t>Ended the British Parliament's ability to legislate for Australia, finalizing legal independence.</t>
  </si>
  <si>
    <t>Mabo Decision by the High Court</t>
  </si>
  <si>
    <t>Recognized native title in Australia, overturning the doctrine of terra nullius.</t>
  </si>
  <si>
    <t>John Howard</t>
  </si>
  <si>
    <t>Sydney 2000 Summer Olympics</t>
  </si>
  <si>
    <t>Showcased Australia's cultural diversity and hospitality, enhancing its global image.</t>
  </si>
  <si>
    <t>Apology to the Stolen Generations</t>
  </si>
  <si>
    <t>The government formally apologized for the forced removal of Indigenous children from their families.</t>
  </si>
  <si>
    <t>Kevin Rudd</t>
  </si>
  <si>
    <t>Introduction of Goods and Services Tax (GST)</t>
  </si>
  <si>
    <t>Implemented a comprehensive tax system reform, affecting consumption taxation nationwide.</t>
  </si>
  <si>
    <t>Australian consumers</t>
  </si>
  <si>
    <t>SameUnknownSex Marriage Legalization</t>
  </si>
  <si>
    <t>Legal/Social</t>
  </si>
  <si>
    <t>Legalized sameUnknownsex marriage, marking a significant advancement in LGBTQ+ rights.</t>
  </si>
  <si>
    <t>LGBTQ+ Australians</t>
  </si>
  <si>
    <t>Australian Parliament</t>
  </si>
  <si>
    <t>"Tampa" Refugee Crisis</t>
  </si>
  <si>
    <t>Humanitarian/Political</t>
  </si>
  <si>
    <t>Indian Ocean</t>
  </si>
  <si>
    <t>Sparked national and international debate on Australia's asylum seeker policies.</t>
  </si>
  <si>
    <t>Asylum seekers</t>
  </si>
  <si>
    <t>Black Saturday Bushfires</t>
  </si>
  <si>
    <t>One of the deadliest bushfires in Australian history, leading to significant loss of life and property.</t>
  </si>
  <si>
    <t>State Government of Victoria</t>
  </si>
  <si>
    <t>Repeal of Carbon Tax</t>
  </si>
  <si>
    <t>Environmental/Economic Policy</t>
  </si>
  <si>
    <t>The removal of the carbon tax was a controversial environmental and economic policy change.</t>
  </si>
  <si>
    <t>Tony Abbott</t>
  </si>
  <si>
    <t>Royal Commission into Institutional Responses...</t>
  </si>
  <si>
    <t>Legal Inquiry</t>
  </si>
  <si>
    <t>Investigated abuse in institutions, leading to widespread reforms and apologies to victims.</t>
  </si>
  <si>
    <t>Abuse survivors</t>
  </si>
  <si>
    <t>Australia's First Female Prime Minister</t>
  </si>
  <si>
    <t>Political Milestone</t>
  </si>
  <si>
    <t>Julia Gillard became the first female Prime Minister, representing a historic moment in Australian politics.</t>
  </si>
  <si>
    <t>Julia Gillard</t>
  </si>
  <si>
    <t>Signing of the Treaty of Waitangi</t>
  </si>
  <si>
    <t>1840</t>
  </si>
  <si>
    <t>New Zealand</t>
  </si>
  <si>
    <t>Foundational Document</t>
  </si>
  <si>
    <t>Waitangi</t>
  </si>
  <si>
    <t>Established a British Governor in New Zealand, granting the Crown the right to buy land from Māori and offering Māori the rights of British subjects.</t>
  </si>
  <si>
    <t>Māori, European settlers</t>
  </si>
  <si>
    <t>William Hobson, Māori chiefs</t>
  </si>
  <si>
    <t>New Zealand Wars</t>
  </si>
  <si>
    <t>1845</t>
  </si>
  <si>
    <t>Various locations</t>
  </si>
  <si>
    <t>A series of conflicts primarily between Colonial government forces and various Māori iwi, affecting sovereignty and land ownership.</t>
  </si>
  <si>
    <t>Various Māori iwi, British military</t>
  </si>
  <si>
    <t>1861</t>
  </si>
  <si>
    <t>Economic Boom</t>
  </si>
  <si>
    <t>Otago, West Coast</t>
  </si>
  <si>
    <t>Sparked significant economic growth and an influx of settlers, changing the demographic and economic landscape.</t>
  </si>
  <si>
    <t>European settlers, Māori</t>
  </si>
  <si>
    <t>Introduction of the New Zealand Constitution Act</t>
  </si>
  <si>
    <t>1852</t>
  </si>
  <si>
    <t>Political Framework</t>
  </si>
  <si>
    <t>Granted selfUnknowngovernment to New Zealand, allowing for the establishment of a central government and provincial governments.</t>
  </si>
  <si>
    <t>New Zealanders</t>
  </si>
  <si>
    <t>British Parliament</t>
  </si>
  <si>
    <t>1893</t>
  </si>
  <si>
    <t>Social Reform</t>
  </si>
  <si>
    <t>Made New Zealand the first selfUnknowngoverning country in the world to grant all women the right to vote in parliamentary elections.</t>
  </si>
  <si>
    <t>Women in New Zealand</t>
  </si>
  <si>
    <t>Kate Sheppard, Suffragette movement</t>
  </si>
  <si>
    <t>Creation of the Welfare State</t>
  </si>
  <si>
    <t>Social Policy</t>
  </si>
  <si>
    <t>Introduction of social security and welfare policies, providing support for the elderly, unemployed, and sick.</t>
  </si>
  <si>
    <t>Michael Joseph Savage, Labour Government</t>
  </si>
  <si>
    <t>Māori Seats Established in Parliament</t>
  </si>
  <si>
    <t>1867</t>
  </si>
  <si>
    <t>Political Inclusion</t>
  </si>
  <si>
    <t>Established separate electoral representation for Māori, recognising Māori as a distinct political group.</t>
  </si>
  <si>
    <t>Māori</t>
  </si>
  <si>
    <t>New Zealand Government</t>
  </si>
  <si>
    <t>Mount Tarawera Eruption</t>
  </si>
  <si>
    <t>1886</t>
  </si>
  <si>
    <t>Tarawera</t>
  </si>
  <si>
    <t>The deadliest volcanic eruption in New Zealand's history, causing significant loss of life and destruction.</t>
  </si>
  <si>
    <t>Residents near Tarawera</t>
  </si>
  <si>
    <t>Refrigerated Shipping Invented</t>
  </si>
  <si>
    <t>1882</t>
  </si>
  <si>
    <t>Economic Innovation</t>
  </si>
  <si>
    <t>Enabled the export of meat and dairy products to Britain, revolutionizing New Zealand's economy.</t>
  </si>
  <si>
    <t>New Zealand economy</t>
  </si>
  <si>
    <t>William Davidson, Thomas Brydone</t>
  </si>
  <si>
    <t>Anzac Forces Land at Gallipoli</t>
  </si>
  <si>
    <t>Military Campaign</t>
  </si>
  <si>
    <t>Marked New Zealand's significant involvement in World War I, impacting national identity and commemorations.</t>
  </si>
  <si>
    <t>Labour Party Elected for the First Time</t>
  </si>
  <si>
    <t>Political Change</t>
  </si>
  <si>
    <t>Brought the Labour Party to power, leading to significant social and economic reforms, including the creation of a welfare state.</t>
  </si>
  <si>
    <t>Michael Joseph Savage</t>
  </si>
  <si>
    <t>Ratana Movement Political Involvement</t>
  </si>
  <si>
    <t>Political/Religious Movement</t>
  </si>
  <si>
    <t>The movement's alignment with the Labour Party influenced Māori political engagement and policy development.</t>
  </si>
  <si>
    <t>T.W. Ratana</t>
  </si>
  <si>
    <t>Social Security Act Passed</t>
  </si>
  <si>
    <t>Social Welfare</t>
  </si>
  <si>
    <t>Established a comprehensive welfare system, providing support for the elderly, unemployed, and sick.</t>
  </si>
  <si>
    <t>Labour Government</t>
  </si>
  <si>
    <t>New Zealand Expeditionary Force in WWII</t>
  </si>
  <si>
    <t>Europe, Pacific</t>
  </si>
  <si>
    <t>Significant contribution to the Allied forces during World War II, affecting thousands of New Zealanders.</t>
  </si>
  <si>
    <t>Military personnel, civilians</t>
  </si>
  <si>
    <t>National Party Founded</t>
  </si>
  <si>
    <t>Political Party Formation</t>
  </si>
  <si>
    <t>The founding of the National Party, becoming a major political force and alternative to the Labour Party.</t>
  </si>
  <si>
    <t>Adam Hamilton</t>
  </si>
  <si>
    <t>State Housing Introduced</t>
  </si>
  <si>
    <t>Housing Policy</t>
  </si>
  <si>
    <t>Initiated a government program to provide quality public housing, improving living standards for many.</t>
  </si>
  <si>
    <t>Waitangi Day Established</t>
  </si>
  <si>
    <t>National Commemoration</t>
  </si>
  <si>
    <t>Commemorated the signing of the Treaty of Waitangi, though it didn't become a public holiday until later.</t>
  </si>
  <si>
    <t>1st Labour Government Elected</t>
  </si>
  <si>
    <t>Election</t>
  </si>
  <si>
    <t>The Labour Party's election led to significant social and economic reforms, including the establishment of a welfare state.</t>
  </si>
  <si>
    <t>Compulsory Military Training Introduced</t>
  </si>
  <si>
    <t>Defense Policy</t>
  </si>
  <si>
    <t>Aimed to prepare the population for potential military conflicts, reflecting the global tensions of the time.</t>
  </si>
  <si>
    <t>Young male citizens</t>
  </si>
  <si>
    <t>Construction of Auckland Harbour Bridge</t>
  </si>
  <si>
    <t>Auckland</t>
  </si>
  <si>
    <t>Improved transportation between Auckland city and the North Shore, contributing to the city's expansion.</t>
  </si>
  <si>
    <t>Auckland residents</t>
  </si>
  <si>
    <t>Treaty of Waitangi Act 1975</t>
  </si>
  <si>
    <t>Established the Waitangi Tribunal to address breaches of the Treaty, acknowledging Māori grievances over land and rights.</t>
  </si>
  <si>
    <t>Māori, New Zealanders</t>
  </si>
  <si>
    <t>ANZUS Treaty Suspension</t>
  </si>
  <si>
    <t>New Zealand's antiUnknownnuclear stance led to a suspension from the ANZUS security treaty, affirming its nuclearUnknownfree policy.</t>
  </si>
  <si>
    <t>David Lange</t>
  </si>
  <si>
    <t>Introduction of Nuclear Free Zone</t>
  </si>
  <si>
    <t>Policy/Legislation</t>
  </si>
  <si>
    <t>Legislated New Zealand as a nuclearUnknownfree zone, prohibiting nuclear weapons and power plants within the country.</t>
  </si>
  <si>
    <t>Homosexual Law Reform Act</t>
  </si>
  <si>
    <t>Decriminalized homosexuality, marking a significant step towards LGBTQ+ rights in New Zealand.</t>
  </si>
  <si>
    <t>LGBTQ+ Community, New Zealanders</t>
  </si>
  <si>
    <t>Rogernomics Initiatives Begin</t>
  </si>
  <si>
    <t>Economic reforms aimed at liberalizing the economy, introducing freeUnknownmarket policies.</t>
  </si>
  <si>
    <t>Roger Douglas</t>
  </si>
  <si>
    <t>Resource Management Act Enacted</t>
  </si>
  <si>
    <t>Environmental Legislation</t>
  </si>
  <si>
    <t>Provided a framework for managing New Zealand's natural and physical resources, emphasizing sustainability.</t>
  </si>
  <si>
    <t>1981 Springbok Tour Protests</t>
  </si>
  <si>
    <t>1981</t>
  </si>
  <si>
    <t>Social Unrest</t>
  </si>
  <si>
    <t>AntiUnknownapartheid protests against the South African rugby team's tour highlighted civil rights and antiUnknownracism issues.</t>
  </si>
  <si>
    <t>Protesters, rugby fans</t>
  </si>
  <si>
    <t>AntiUnknownApartheid Movements</t>
  </si>
  <si>
    <t>Waitangi Tribunal Established</t>
  </si>
  <si>
    <t>Judicial/Political</t>
  </si>
  <si>
    <t>Investigated historical breaches of the Treaty of Waitangi, offering a legal avenue for Māori to seek redress.</t>
  </si>
  <si>
    <t>2011 Christchurch Earthquake</t>
  </si>
  <si>
    <t>Christchurch</t>
  </si>
  <si>
    <t>A devastating earthquake that caused significant loss of life and damage, impacting the nation's resilience and urban planning.</t>
  </si>
  <si>
    <t>Christchurch residents, New Zealanders</t>
  </si>
  <si>
    <t>Foreshore and Seabed Controversy</t>
  </si>
  <si>
    <t>Sparked debate over Māori customary rights to the foreshore and seabed, leading to political and legal reform.</t>
  </si>
  <si>
    <t>New Zealand's First Female Prime Minister</t>
  </si>
  <si>
    <t>Jenny Shipley became the first female Prime Minister, marking a significant moment in New Zealand's political history.</t>
  </si>
  <si>
    <t>Jenny Shipley</t>
  </si>
  <si>
    <t>AntiUnknownNuclear Legislation Enacted</t>
  </si>
  <si>
    <t>Environmental Policy</t>
  </si>
  <si>
    <t>Cemented New Zealand's stance on remaining nuclearUnknownfree, influencing international relations and environmental policy.</t>
  </si>
  <si>
    <t>Auckland Harbour Bridge Protests</t>
  </si>
  <si>
    <t>Civil Rights</t>
  </si>
  <si>
    <t>Highlighted land rights issues and led to significant Māori activism against government policies on land and sovereignty.</t>
  </si>
  <si>
    <t>Māori, activists</t>
  </si>
  <si>
    <t>Māori Activists</t>
  </si>
  <si>
    <t>MMP Electoral System Introduced</t>
  </si>
  <si>
    <t>Electoral Reform</t>
  </si>
  <si>
    <t>Changed the electoral system to Mixed Member Proportional, aiming for fairer representation in Parliament.</t>
  </si>
  <si>
    <t>New Zealand voters</t>
  </si>
  <si>
    <t>New Zealand Signs Kyoto Protocol</t>
  </si>
  <si>
    <t>Kyoto, Japan</t>
  </si>
  <si>
    <t>Committed New Zealand to reducing greenhouse gas emissions, aligning with global efforts to combat climate change.</t>
  </si>
  <si>
    <t>1987 New Zealand Constitution Act</t>
  </si>
  <si>
    <t>Constitutional Reform</t>
  </si>
  <si>
    <t>Established the legal sovereignty of the New Zealand Parliament, removing the ability of the UK Parliament to legislate for New Zealand.</t>
  </si>
  <si>
    <t>New Zealand Bill of Rights Act</t>
  </si>
  <si>
    <t>Legal Framework</t>
  </si>
  <si>
    <t>Affirmed rights and freedoms in New Zealand law, providing comprehensive protection of human rights.</t>
  </si>
  <si>
    <t>Formation of the Māori Party</t>
  </si>
  <si>
    <t>Political Development</t>
  </si>
  <si>
    <t>Established to represent Māori interests in Parliament, emphasizing indigenous rights and perspectives.</t>
  </si>
  <si>
    <t>Māori, political observers</t>
  </si>
  <si>
    <t>Māori Leaders</t>
  </si>
  <si>
    <t>Recognition of the Māori Language</t>
  </si>
  <si>
    <t>Cultural/Legal</t>
  </si>
  <si>
    <t>Made Te Reo Māori an official language of New Zealand, recognizing the cultural heritage and rights of Māori.</t>
  </si>
  <si>
    <t>Decriminalization of Homosexuality</t>
  </si>
  <si>
    <t>Decriminalized homosexual acts between consenting adults, marking progress in LGBTQ+ rights.</t>
  </si>
  <si>
    <t>Establishment of Goryeo Dynasty</t>
  </si>
  <si>
    <t>918</t>
  </si>
  <si>
    <t>Korean Peninsula</t>
  </si>
  <si>
    <t>Unified the Later Three Kingdoms, laying the groundwork for a unified Korean identity and culture.</t>
  </si>
  <si>
    <t>Korean people</t>
  </si>
  <si>
    <t>King Taejo</t>
  </si>
  <si>
    <t>Mongol Invasions of Korea</t>
  </si>
  <si>
    <t>1231</t>
  </si>
  <si>
    <t>Led to Goryeo becoming a semiUnknownautonomous vassal state of the Mongol Empire, impacting Korean sovereignty.</t>
  </si>
  <si>
    <t>Establishment of Joseon Dynasty</t>
  </si>
  <si>
    <t>1392</t>
  </si>
  <si>
    <t>Marked the beginning of a dynasty that would last for five centuries, emphasizing Confucianism and centralizing royal power.</t>
  </si>
  <si>
    <t>King Taejo of Joseon</t>
  </si>
  <si>
    <t>Japanese Invasions of Korea (Imjin War)</t>
  </si>
  <si>
    <t>1592</t>
  </si>
  <si>
    <t>A devastating conflict that led to significant loss of life and cultural treasures, but also showcased Korean resilience.</t>
  </si>
  <si>
    <t>Toyotomi Hideyoshi, Admiral Yi SunUnknownsin</t>
  </si>
  <si>
    <t>Manchu Invasions of Korea</t>
  </si>
  <si>
    <t>1627</t>
  </si>
  <si>
    <t>Forced Korea into becoming a tributary state of the Qing Dynasty, impacting Korean foreign relations.</t>
  </si>
  <si>
    <t>Qing Dynasty</t>
  </si>
  <si>
    <t>The Gabo Reform</t>
  </si>
  <si>
    <t>Political/Social Reform</t>
  </si>
  <si>
    <t>A series of reforms aimed at modernizing Korea's government and social structures, influenced by foreign powers.</t>
  </si>
  <si>
    <t>King Gojong</t>
  </si>
  <si>
    <t>Assassination of Empress Myeongseong</t>
  </si>
  <si>
    <t>1895</t>
  </si>
  <si>
    <t>Political Assassination</t>
  </si>
  <si>
    <t>Gyeongbokgung Palace</t>
  </si>
  <si>
    <t>The JapaneseUnknownorchestrated assassination heightened Korean resentment towards Japan and destabilized the court.</t>
  </si>
  <si>
    <t>Korean royal family, citizens</t>
  </si>
  <si>
    <t>Japanese agents</t>
  </si>
  <si>
    <t>Korean Empire Proclaimed</t>
  </si>
  <si>
    <t>1897</t>
  </si>
  <si>
    <t>King Gojong declared the Korean Empire, asserting independence amidst increasing foreign intervention.</t>
  </si>
  <si>
    <t>Emperor Gojong</t>
  </si>
  <si>
    <t>Korean Peninsula, Manchuria</t>
  </si>
  <si>
    <t>Impacted Korea's sovereignty as Japan and Russia vied for dominance in the region, leading to Korea becoming a protectorate of Japan.</t>
  </si>
  <si>
    <t>Japan, Russia</t>
  </si>
  <si>
    <t>Annexation</t>
  </si>
  <si>
    <t>Officially annexed Korea to Japan, ending the Korean Empire and beginning a period of Japanese colonial rule.</t>
  </si>
  <si>
    <t>March 1st Movement</t>
  </si>
  <si>
    <t>Independence Movement</t>
  </si>
  <si>
    <t>A nationwide peaceful protest against Japanese colonial rule, pivotal in the Korean independence movement.</t>
  </si>
  <si>
    <t>Korean activists</t>
  </si>
  <si>
    <t>Establishment of the Provisional Government</t>
  </si>
  <si>
    <t>Exile Government Formation</t>
  </si>
  <si>
    <t>Shanghai, China</t>
  </si>
  <si>
    <t>Formed by Korean exiles, it acted as the de facto Korean governmentUnknowninUnknownexile opposing Japanese rule.</t>
  </si>
  <si>
    <t>Korean independence activists</t>
  </si>
  <si>
    <t>Korean Liberation</t>
  </si>
  <si>
    <t>End of Colonial Rule</t>
  </si>
  <si>
    <t>Marked the end of Japanese colonial rule in Korea following Japan's surrender in WWII.</t>
  </si>
  <si>
    <t>Allied Powers</t>
  </si>
  <si>
    <t>Division of Korea</t>
  </si>
  <si>
    <t>Geopolitical Division</t>
  </si>
  <si>
    <t>38th Parallel North</t>
  </si>
  <si>
    <t>Korea was divided into North and South along the 38th parallel, laying the groundwork for future conflict.</t>
  </si>
  <si>
    <t>United States, Soviet Union</t>
  </si>
  <si>
    <t>Establishment of the Republic of Korea</t>
  </si>
  <si>
    <t>South Korea</t>
  </si>
  <si>
    <t>State Establishment</t>
  </si>
  <si>
    <t>Official establishment of South Korea as an independent nation following the division.</t>
  </si>
  <si>
    <t>South Koreans</t>
  </si>
  <si>
    <t>Syngman Rhee</t>
  </si>
  <si>
    <t>Establishment of the Democratic People's Republic of Korea</t>
  </si>
  <si>
    <t>North Korea</t>
  </si>
  <si>
    <t>Pyongyang</t>
  </si>
  <si>
    <t>Official establishment of North Korea as a separate state, consolidating the division of Korea.</t>
  </si>
  <si>
    <t>North Koreans</t>
  </si>
  <si>
    <t>Kim IlUnknownsung</t>
  </si>
  <si>
    <t>Jeju Uprising</t>
  </si>
  <si>
    <t>Jeju Island</t>
  </si>
  <si>
    <t>A violent suppression of a rebellion, leading to significant loss of life and highlighting postUnknownliberation tensions.</t>
  </si>
  <si>
    <t>Jeju Island residents</t>
  </si>
  <si>
    <t>South Korean Government</t>
  </si>
  <si>
    <t>Korean War</t>
  </si>
  <si>
    <t>An armed conflict between North and South Korea, with significant international involvement, further solidifying the division.</t>
  </si>
  <si>
    <t>Korean people, international forces</t>
  </si>
  <si>
    <t>North Korea, South Korea, UN, China, US</t>
  </si>
  <si>
    <t>US Military Government in South Korea</t>
  </si>
  <si>
    <t>Military Occupation</t>
  </si>
  <si>
    <t>The US established a military government in South Korea postUnknownliberation, influencing its political development.</t>
  </si>
  <si>
    <t>Soviet Occupation of North Korea</t>
  </si>
  <si>
    <t>The Soviet Union established a military government in North Korea, shaping its socialist structure.</t>
  </si>
  <si>
    <t>Initiated the Korean War with the invasion of South Korea, leading to a prolonged conflict and division.</t>
  </si>
  <si>
    <t>Armistice Agreement</t>
  </si>
  <si>
    <t>Ceasefire</t>
  </si>
  <si>
    <t>Panmunjom</t>
  </si>
  <si>
    <t>Ended active hostilities in the Korean War without a formal peace treaty, creating the DMZ.</t>
  </si>
  <si>
    <t>Korean War belligerents</t>
  </si>
  <si>
    <t>Establishment of the Juche Ideology</t>
  </si>
  <si>
    <t>1955</t>
  </si>
  <si>
    <t>Political Ideology</t>
  </si>
  <si>
    <t>Formalized Kim IlUnknownsung’s Juche ideology, emphasizing selfUnknownreliance and independence in all state matters.</t>
  </si>
  <si>
    <t>North Korean citizens</t>
  </si>
  <si>
    <t>Pueblo Incident</t>
  </si>
  <si>
    <t>Military/Political Incident</t>
  </si>
  <si>
    <t>Sea of Japan</t>
  </si>
  <si>
    <t>The capture of the USS Pueblo, escalating tensions with the United States.</t>
  </si>
  <si>
    <t>US Navy crew, North Koreans</t>
  </si>
  <si>
    <t>Kim IlUnknownsung’s Death</t>
  </si>
  <si>
    <t>1994</t>
  </si>
  <si>
    <t>Marked the end of Kim IlUnknownsung’s era and the beginning of Kim JongUnknownil’s leadership.</t>
  </si>
  <si>
    <t>North Korea's First Nuclear Test</t>
  </si>
  <si>
    <t>Kilju County</t>
  </si>
  <si>
    <t>North Korea's first successful nuclear test, significantly impacting international relations and security dynamics.</t>
  </si>
  <si>
    <t>Kim JongUnknownil</t>
  </si>
  <si>
    <t>April Revolution</t>
  </si>
  <si>
    <t>Political Uprising</t>
  </si>
  <si>
    <t>Led to the resignation of President Syngman Rhee and the establishment of a more democratic government structure.</t>
  </si>
  <si>
    <t>South Korean citizens</t>
  </si>
  <si>
    <t>Student protesters, general public</t>
  </si>
  <si>
    <t>May 16 Coup</t>
  </si>
  <si>
    <t>1961</t>
  </si>
  <si>
    <t>Military Coup</t>
  </si>
  <si>
    <t>Military coup led by Park ChungUnknownhee, resulting in economic development but also authoritarian rule.</t>
  </si>
  <si>
    <t>Park ChungUnknownhee</t>
  </si>
  <si>
    <t>Gwangju Uprising</t>
  </si>
  <si>
    <t>Democratic Uprising</t>
  </si>
  <si>
    <t>Gwangju</t>
  </si>
  <si>
    <t>A mass uprising against the military government, leading to civilian massacres and a call for democratic reforms.</t>
  </si>
  <si>
    <t>Gwangju residents</t>
  </si>
  <si>
    <t>Chun DooUnknownhwan, democratic activists</t>
  </si>
  <si>
    <t>Seoul Olympics</t>
  </si>
  <si>
    <t>Showcased South Korea's emergence on the world stage and contributed to its global cultural and economic presence.</t>
  </si>
  <si>
    <t>International audience</t>
  </si>
  <si>
    <t>Roh TaeUnknownwoo</t>
  </si>
  <si>
    <t>Kim DaeUnknownjung’s Sunshine Policy</t>
  </si>
  <si>
    <t>Diplomatic Policy</t>
  </si>
  <si>
    <t>A policy of engagement with North Korea, leading to a brief period of improved interUnknownKorean relations.</t>
  </si>
  <si>
    <t>Koreans</t>
  </si>
  <si>
    <t>Kim DaeUnknownjung</t>
  </si>
  <si>
    <t>2002 FIFA World Cup</t>
  </si>
  <si>
    <t>South Korea, Japan</t>
  </si>
  <si>
    <t>CoUnknownhosted with Japan, this event marked South Korea's significant presence in international sports.</t>
  </si>
  <si>
    <t>FIFA, South Korea, Japan</t>
  </si>
  <si>
    <t>Impeachment of President Roh MooUnknownhyun</t>
  </si>
  <si>
    <t>Roh's impeachment for alleged election law violations, highlighting South Korea's political volatility.</t>
  </si>
  <si>
    <t>South Korean National Assembly</t>
  </si>
  <si>
    <t>THAAD Deployment Controversy</t>
  </si>
  <si>
    <t>Seongju County</t>
  </si>
  <si>
    <t>Deployment of the US THAAD missile defense system, sparking domestic protests and tensions with China.</t>
  </si>
  <si>
    <t>South Korean citizens, China</t>
  </si>
  <si>
    <t>Moon JaeUnknownin, US government</t>
  </si>
  <si>
    <t>2018 InterUnknownKorean Summit</t>
  </si>
  <si>
    <t>Diplomatic</t>
  </si>
  <si>
    <t>Leaders of North and South Korea met for talks, renewing hopes for peace and denuclearization on the peninsula.</t>
  </si>
  <si>
    <t>Moon JaeUnknownin, Kim JongUnknownun</t>
  </si>
  <si>
    <t>Second Nuclear Test</t>
  </si>
  <si>
    <t>Escalated tensions with the international community, underlining North Korea's commitment to its nuclear program.</t>
  </si>
  <si>
    <t>Death of Kim JongUnknownil</t>
  </si>
  <si>
    <t>Leadership Change</t>
  </si>
  <si>
    <t>Marked the end of Kim JongUnknownil's era and the beginning of Kim JongUnknownun's rule.</t>
  </si>
  <si>
    <t>Kim JongUnknownun Assumes Power</t>
  </si>
  <si>
    <t>Initiated a new leadership era, with a focus on nuclear development and economic improvement.</t>
  </si>
  <si>
    <t>Kim JongUnknownun</t>
  </si>
  <si>
    <t>Battle of Điện Biên Phủ</t>
  </si>
  <si>
    <t>1954</t>
  </si>
  <si>
    <t>Điện Biên Phủ</t>
  </si>
  <si>
    <t>Decisive victory against French forces, leading to the end of French Indochina and the Geneva Accords.</t>
  </si>
  <si>
    <t>Vietnamese, French forces</t>
  </si>
  <si>
    <t>Võ Nguyên Giáp</t>
  </si>
  <si>
    <t>Geneva Accords</t>
  </si>
  <si>
    <t>Temporarily divided Vietnam at the 17th parallel, setting the stage for conflict between North and South Vietnam.</t>
  </si>
  <si>
    <t>Vietnamese people</t>
  </si>
  <si>
    <t>Establishment of the National Liberation Front</t>
  </si>
  <si>
    <t>Political/Military Organization</t>
  </si>
  <si>
    <t>South Vietnam</t>
  </si>
  <si>
    <t>Formed to fight against the South Vietnamese government and the US, aiming for reunification.</t>
  </si>
  <si>
    <t>South Vietnamese, Viet Cong</t>
  </si>
  <si>
    <t>North Vietnam</t>
  </si>
  <si>
    <t>Gulf of Tonkin Incident</t>
  </si>
  <si>
    <t>Military Engagement</t>
  </si>
  <si>
    <t>Gulf of Tonkin</t>
  </si>
  <si>
    <t>Led to US Congress passing the Gulf of Tonkin Resolution, escalating American involvement in the Vietnam War.</t>
  </si>
  <si>
    <t>Vietnamese, US military</t>
  </si>
  <si>
    <t>US Government</t>
  </si>
  <si>
    <t>Tết Offensive</t>
  </si>
  <si>
    <t>Military Offensive</t>
  </si>
  <si>
    <t>A major campaign by North Vietnamese forces, marking a turning point in public perception of the Vietnam War.</t>
  </si>
  <si>
    <t>Vietnamese, US civilians</t>
  </si>
  <si>
    <t>North Vietnamese Army, Viet Cong</t>
  </si>
  <si>
    <t>Paris Peace Accords</t>
  </si>
  <si>
    <t>Paris</t>
  </si>
  <si>
    <t>Led to a ceasefire and the withdrawal of US troops from Vietnam, although fighting between North and South continued.</t>
  </si>
  <si>
    <t>US Government, North Vietnam</t>
  </si>
  <si>
    <t>Fall of Saigon</t>
  </si>
  <si>
    <t>Military/Political Event</t>
  </si>
  <si>
    <t>Saigon</t>
  </si>
  <si>
    <t>Marked the end of the Vietnam War and the beginning of reunification under the Socialist Republic of Vietnam.</t>
  </si>
  <si>
    <t>South Vietnamese, North Vietnamese</t>
  </si>
  <si>
    <t>North Vietnamese Army</t>
  </si>
  <si>
    <t>Reunification of Vietnam</t>
  </si>
  <si>
    <t>Officially reunified North and South Vietnam under a communist government, renaming Saigon to Ho Chi Minh City.</t>
  </si>
  <si>
    <t>Socialist Republic of Vietnam</t>
  </si>
  <si>
    <t>Normalization of USUnknownVietnam Relations</t>
  </si>
  <si>
    <t>Vietnam, US</t>
  </si>
  <si>
    <t>Marked the normalization of relations between Vietnam and the US, including the opening of diplomatic and economic ties.</t>
  </si>
  <si>
    <t>Vietnamese, Americans</t>
  </si>
  <si>
    <t>Bill Clinton, Vietnamese Government</t>
  </si>
  <si>
    <t>Vietnam Joins ASEAN</t>
  </si>
  <si>
    <t>International Integration</t>
  </si>
  <si>
    <t>Southeast Asia</t>
  </si>
  <si>
    <t>Vietnam's accession to ASEAN, enhancing regional cooperation and integration.</t>
  </si>
  <si>
    <t>ASEAN, Vietnamese Government</t>
  </si>
  <si>
    <t>Vietnam Joins the World Trade Organization</t>
  </si>
  <si>
    <t>International Trade Membership</t>
  </si>
  <si>
    <t>Marked Vietnam's deeper integration into the global economy, promoting trade and investment.</t>
  </si>
  <si>
    <t>Vietnamese economy</t>
  </si>
  <si>
    <t>WTO, Vietnamese Government</t>
  </si>
  <si>
    <t>1000th Anniversary of Hanoi</t>
  </si>
  <si>
    <t>Cultural Celebration</t>
  </si>
  <si>
    <t>Hanoi</t>
  </si>
  <si>
    <t>Celebrated the founding of the city, emphasizing Vietnam's rich history and cultural heritage.</t>
  </si>
  <si>
    <t>Government of Vietnam</t>
  </si>
  <si>
    <t>Vietnam Hosts APEC Summit</t>
  </si>
  <si>
    <t>International Summit</t>
  </si>
  <si>
    <t>Da Nang</t>
  </si>
  <si>
    <t>Hosted leaders from the AsiaUnknownPacific region, showcasing Vietnam's role on the international stage.</t>
  </si>
  <si>
    <t>Global leaders, Vietnamese people</t>
  </si>
  <si>
    <t>Resolution on "Vietnam's Marine Strategy to 2020"</t>
  </si>
  <si>
    <t>Aimed at sustainable development of marine resources, highlighting Vietnam's commitment to environmental preservation and economic growth.</t>
  </si>
  <si>
    <t>Communist Party of Vietnam</t>
  </si>
  <si>
    <t>Vietnam's First Communication Satellite</t>
  </si>
  <si>
    <t>Technological Advancement</t>
  </si>
  <si>
    <t>Space</t>
  </si>
  <si>
    <t>Launched VINASATUnknown1, marking Vietnam's entry into the space age and enhancing communication capabilities.</t>
  </si>
  <si>
    <t>Historic US Presidential Visit to Vietnam</t>
  </si>
  <si>
    <t>Hanoi, Ho Chi Minh City</t>
  </si>
  <si>
    <t>Barack Obama's visit underscored the continued improvement of USUnknownVietnam relations postUnknownnormalization.</t>
  </si>
  <si>
    <t>Barack Obama, Vietnamese Government</t>
  </si>
  <si>
    <t>COVIDUnknown19 Pandemic Response</t>
  </si>
  <si>
    <t>Vietnam's effective early response to the COVIDUnknown19 pandemic was internationally praised for its efficiency.</t>
  </si>
  <si>
    <t>Vietnamese Government</t>
  </si>
  <si>
    <t>Typhoon Damrey Strikes Vietnam</t>
  </si>
  <si>
    <t>One of the deadliest typhoons to hit Vietnam in decades, causing significant damage and loss of life.</t>
  </si>
  <si>
    <t>Residents of affected areas</t>
  </si>
  <si>
    <t>Establishment of Đại Việt</t>
  </si>
  <si>
    <t>968</t>
  </si>
  <si>
    <t>Northern Vietnam</t>
  </si>
  <si>
    <t>Unified the nation under a centralized monarchy, laying the groundwork for Vietnamese identity and sovereignty.</t>
  </si>
  <si>
    <t>Đinh Bộ Lĩnh</t>
  </si>
  <si>
    <t>Lý Dynasty Founded</t>
  </si>
  <si>
    <t>1009</t>
  </si>
  <si>
    <t>Marked the beginning of a stable and prosperous era, with significant developments in culture, education, and governance.</t>
  </si>
  <si>
    <t>Lý Thái Tổ</t>
  </si>
  <si>
    <t>Trần Dynasty Defeats Mongol Invasions</t>
  </si>
  <si>
    <t>1258</t>
  </si>
  <si>
    <t>Military Defense</t>
  </si>
  <si>
    <t>Successfully repelled three major Mongol invasions, preserving Vietnamese independence and cultural integrity.</t>
  </si>
  <si>
    <t>Trần Hưng Đạo</t>
  </si>
  <si>
    <t>Hồ Dynasty's Adoption of NeoUnknownConfucianism</t>
  </si>
  <si>
    <t>1400</t>
  </si>
  <si>
    <t>Cultural Shift</t>
  </si>
  <si>
    <t>Marked a shift towards NeoUnknownConfucianism, influencing Vietnamese society, politics, and education.</t>
  </si>
  <si>
    <t>Hồ Quý Ly</t>
  </si>
  <si>
    <t>Lê Dynasty Restoration</t>
  </si>
  <si>
    <t>1428</t>
  </si>
  <si>
    <t>Dynastic Restoration</t>
  </si>
  <si>
    <t>Restored national unity and promoted cultural and economic development after a period of division and conflict.</t>
  </si>
  <si>
    <t>Lê Lợi</t>
  </si>
  <si>
    <t>Nguyễn Dynasty's Expansion Southwards</t>
  </si>
  <si>
    <t>1650</t>
  </si>
  <si>
    <t>Southern Vietnam</t>
  </si>
  <si>
    <t>Completed the territorial unification of modern Vietnam, extending control over the Mekong Delta.</t>
  </si>
  <si>
    <t>Vietnamese people, Khmer people</t>
  </si>
  <si>
    <t>Nguyễn lords</t>
  </si>
  <si>
    <t>Tay Son Rebellion</t>
  </si>
  <si>
    <t>1771</t>
  </si>
  <si>
    <t>Central Vietnam</t>
  </si>
  <si>
    <t>A peasant uprising that temporarily overthrew the feudal lords, leading to significant social and political changes.</t>
  </si>
  <si>
    <t>Nguyễn Huệ</t>
  </si>
  <si>
    <t>Gia Long Becomes Emperor</t>
  </si>
  <si>
    <t>1802</t>
  </si>
  <si>
    <t>Political Consolidation</t>
  </si>
  <si>
    <t>Unified Vietnam under the Nguyễn Dynasty, establishing a centralized monarchy with Hue as the capital.</t>
  </si>
  <si>
    <t>Emperor Gia Long</t>
  </si>
  <si>
    <t>French Colonization Begins</t>
  </si>
  <si>
    <t>Colonial Occupation</t>
  </si>
  <si>
    <t>Marked the beginning of nearly a century of French colonial rule, significantly impacting Vietnamese society.</t>
  </si>
  <si>
    <t>Napoleon III</t>
  </si>
  <si>
    <t>Hanoi Poison Plot</t>
  </si>
  <si>
    <t>1908</t>
  </si>
  <si>
    <t>Assassination Attempt</t>
  </si>
  <si>
    <t>A failed attempt to poison the French colonial garrison in Hanoi, highlighting resistance to French rule.</t>
  </si>
  <si>
    <t>French officials, Vietnamese rebels</t>
  </si>
  <si>
    <t>Vietnamese revolutionaries</t>
  </si>
  <si>
    <t>Founding of the Vietnamese Nationalist Party</t>
  </si>
  <si>
    <t>1927</t>
  </si>
  <si>
    <t>Sought to achieve independence from French colonial rule through political means and armed resistance.</t>
  </si>
  <si>
    <t>Vietnamese nationalists</t>
  </si>
  <si>
    <t>Nguyễn Thái Học</t>
  </si>
  <si>
    <t>Yên Bái Mutiny</t>
  </si>
  <si>
    <t>Armed Rebellion</t>
  </si>
  <si>
    <t>Yên Bái</t>
  </si>
  <si>
    <t>An armed revolt against the French colonial authorities by Vietnamese soldiers and civilians.</t>
  </si>
  <si>
    <t>Vietnamese soldiers, civilians</t>
  </si>
  <si>
    <t>Vietnamese Nationalist Party</t>
  </si>
  <si>
    <t>Establishment of the Indochinese Communist Party</t>
  </si>
  <si>
    <t>Founded by Hồ Chí Minh to lead the struggle for independence, merging nationalist and communist ideologies.</t>
  </si>
  <si>
    <t>Hồ Chí Minh</t>
  </si>
  <si>
    <t>Japanese Occupation of Vietnam</t>
  </si>
  <si>
    <t>Japan occupied Vietnam during WWII, weakening French control and contributing to Vietnam's push for independence.</t>
  </si>
  <si>
    <t>August Revolution</t>
  </si>
  <si>
    <t>Led to the declaration of Vietnam's independence from France and the establishment of the Democratic Republic of Vietnam.</t>
  </si>
  <si>
    <t>Hồ Chí Minh, Việt Minh</t>
  </si>
  <si>
    <t>Declaration of Independence</t>
  </si>
  <si>
    <t>Ba Đình Square, Hanoi</t>
  </si>
  <si>
    <t>Hồ Chí Minh declared Vietnam's independence, founding the Democratic Republic of Vietnam.</t>
  </si>
  <si>
    <t>First Indochina War Begins</t>
  </si>
  <si>
    <t>1946</t>
  </si>
  <si>
    <t>A conflict between the Việt Minh forces and the French aiming to reclaim colonial control, leading to widespread resistance.</t>
  </si>
  <si>
    <t>Việt Minh, French Colonial Forces</t>
  </si>
  <si>
    <t>A decisive battle that ended French colonial rule in Vietnam (Note: Culmination beyond the 1950 cutoff).</t>
  </si>
  <si>
    <t>Vietnamese, French soldiers</t>
  </si>
  <si>
    <t>Võ Nguyên Giáp, French Army</t>
  </si>
  <si>
    <t>Formation of the Viet Minh</t>
  </si>
  <si>
    <t>Resistance Movement</t>
  </si>
  <si>
    <t>Organized to resist both French colonial rule and Japanese occupation, playing a pivotal role in the independence movement.</t>
  </si>
  <si>
    <t>First Saudi State Established</t>
  </si>
  <si>
    <t>1744</t>
  </si>
  <si>
    <t>Saudi Arabia</t>
  </si>
  <si>
    <t>Diriyah</t>
  </si>
  <si>
    <t>Marked the beginning of Saudi rule in the Arabian Peninsula, establishing a political entity based on Wahhabism.</t>
  </si>
  <si>
    <t>Arabian Peninsula</t>
  </si>
  <si>
    <t>Muhammad ibn Saud, Muhammad ibn Abd alUnknownWahhab</t>
  </si>
  <si>
    <t>Destruction of the First Saudi State</t>
  </si>
  <si>
    <t>1818</t>
  </si>
  <si>
    <t>Military Defeat</t>
  </si>
  <si>
    <t>The First Saudi State was destroyed by the Ottoman Empire, leading to a temporary loss of power for the Saud family.</t>
  </si>
  <si>
    <t>Ottoman Empire</t>
  </si>
  <si>
    <t>Establishment of the Second Saudi State</t>
  </si>
  <si>
    <t>1824</t>
  </si>
  <si>
    <t>Najd</t>
  </si>
  <si>
    <t>Following the fall of the First Saudi State, the Saud family regained power, leading to the establishment of the Second Saudi State.</t>
  </si>
  <si>
    <t>Turki ibn Abdullah ibn Muhammad</t>
  </si>
  <si>
    <t>Annexation of Hejaz</t>
  </si>
  <si>
    <t>1925</t>
  </si>
  <si>
    <t>Hejaz</t>
  </si>
  <si>
    <t>The conquest of Hejaz was a significant territorial expansion that included the holy cities of Mecca and Medina.</t>
  </si>
  <si>
    <t>Abdulaziz Ibn Saud</t>
  </si>
  <si>
    <t>Ikhwan Revolt</t>
  </si>
  <si>
    <t>Najd, Hejaz</t>
  </si>
  <si>
    <t>The Ikhwan, initially allies of Ibn Saud, revolted against his rule due to disagreements over modernization and control.</t>
  </si>
  <si>
    <t>Ikhwan, Abdulaziz Ibn Saud</t>
  </si>
  <si>
    <t>Treaty of Jeddah</t>
  </si>
  <si>
    <t>Jeddah</t>
  </si>
  <si>
    <t>This treaty between Ibn Saud and the United Kingdom recognized the sovereignty of the Kingdom of Hejaz and Najd.</t>
  </si>
  <si>
    <t>Arabian Peninsula, UK</t>
  </si>
  <si>
    <t>Abdulaziz Ibn Saud, United Kingdom</t>
  </si>
  <si>
    <t>Discovery of Oil</t>
  </si>
  <si>
    <t>Economic Development</t>
  </si>
  <si>
    <t>Dammam</t>
  </si>
  <si>
    <t>The discovery of oil transformed the economy of Saudi Arabia and its role in international affairs.</t>
  </si>
  <si>
    <t>Saudi Aramco</t>
  </si>
  <si>
    <t>Founding of Saudi Aramco</t>
  </si>
  <si>
    <t>1933</t>
  </si>
  <si>
    <t>Dhahran</t>
  </si>
  <si>
    <t>The creation of the Arabian American Oil Company (Aramco) marked the beginning of oil exploration and production.</t>
  </si>
  <si>
    <t>Saudi Government, American oil companies</t>
  </si>
  <si>
    <t>Establishment of the Kingdom of Saudi Arabia</t>
  </si>
  <si>
    <t>Political Unification</t>
  </si>
  <si>
    <t>Abdulaziz Ibn Saud unified the regions into a single kingdom, solidifying his rule over the modern state of Saudi Arabia.</t>
  </si>
  <si>
    <t>SaudiUnknownYemeni War</t>
  </si>
  <si>
    <t>Yemen border</t>
  </si>
  <si>
    <t>Conflict with Yemen resulted in the Treaty of Taif, which defined the SaudiUnknownYemeni border and expanded Saudi territory.</t>
  </si>
  <si>
    <t>Saudi Arabia, Yemen</t>
  </si>
  <si>
    <t>Introduction of Modern Education</t>
  </si>
  <si>
    <t>1926</t>
  </si>
  <si>
    <t>Mecca</t>
  </si>
  <si>
    <t>Establishment of the first formal school in Mecca signified the beginning of modern public education in Saudi Arabia.</t>
  </si>
  <si>
    <t>Saudi Arabian citizens</t>
  </si>
  <si>
    <t>Establishment of Sharia Law</t>
  </si>
  <si>
    <t>Legal System Implementation</t>
  </si>
  <si>
    <t>Formalized the legal system based on Islamic law, shaping the judicial and societal norms of the country.</t>
  </si>
  <si>
    <t>Creation of the Saudi Riyal</t>
  </si>
  <si>
    <t>The introduction of the Saudi Riyal as the country's currency facilitated economic stability and trade.</t>
  </si>
  <si>
    <t>Formation of the Saudi Arabian National Guard</t>
  </si>
  <si>
    <t>Military Organization</t>
  </si>
  <si>
    <t>Riyadh</t>
  </si>
  <si>
    <t>Created to protect the dynasty and maintain internal security, playing a key role in the kingdom's stability.</t>
  </si>
  <si>
    <t>Treaty of Taif</t>
  </si>
  <si>
    <t>Taif</t>
  </si>
  <si>
    <t>The treaty with Yemen following the SaudiUnknownYemeni War confirmed Saudi territorial gains and defined borders.</t>
  </si>
  <si>
    <t>Participation in the ArabUnknownIsraeli War</t>
  </si>
  <si>
    <t>Middle East</t>
  </si>
  <si>
    <t>Saudi Arabia's involvement highlighted its role in regional Arab politics and the Palestinian issue.</t>
  </si>
  <si>
    <t>Construction of the TransUnknownArabian Pipeline</t>
  </si>
  <si>
    <t>Eastern Province</t>
  </si>
  <si>
    <t>Facilitated the transport of Saudi oil to the Mediterranean, significantly boosting the kingdom's oil exports.</t>
  </si>
  <si>
    <t>Founding Member of the Arab League</t>
  </si>
  <si>
    <t>Cairo</t>
  </si>
  <si>
    <t>Saudi Arabia's participation in the Arab League emphasized its commitment to Arab solidarity and regional issues.</t>
  </si>
  <si>
    <t>Arab states</t>
  </si>
  <si>
    <t>Establishment of King Abdulaziz University</t>
  </si>
  <si>
    <t>Educational Development</t>
  </si>
  <si>
    <t>Signified a commitment to higher education and the development of a skilled workforce in the kingdom.</t>
  </si>
  <si>
    <t>Saudi Recognition of Pakistan</t>
  </si>
  <si>
    <t>Diplomatic Recognition</t>
  </si>
  <si>
    <t>Early recognition of Pakistan fostered strong bilateral relations based on shared Islamic heritage and mutual interests.</t>
  </si>
  <si>
    <t>Saudi Arabia, Pakistan</t>
  </si>
  <si>
    <t>Saudi Arabia Becomes a Member of the UN</t>
  </si>
  <si>
    <t>Marked Saudi Arabia's entry into the international community, fostering global diplomatic ties.</t>
  </si>
  <si>
    <t>Oil Revenue Boom</t>
  </si>
  <si>
    <t>The surge in oil prices dramatically increased national wealth and funded extensive modernization projects.</t>
  </si>
  <si>
    <t>Juhayman alUnknownOtaybi's Seizure of the Grand Mosque</t>
  </si>
  <si>
    <t>Security Incident</t>
  </si>
  <si>
    <t>A twoUnknownweek siege that challenged the Saudi royal family's legitimacy and led to stricter religious policies.</t>
  </si>
  <si>
    <t>Saudi Arabian citizens, pilgrims</t>
  </si>
  <si>
    <t>Juhayman alUnknownOtaybi</t>
  </si>
  <si>
    <t>IranUnknownIraq War and Saudi Involvement</t>
  </si>
  <si>
    <t>Regional Conflict</t>
  </si>
  <si>
    <t>Persian Gulf</t>
  </si>
  <si>
    <t>Saudi Arabia supported Iraq, fearing the spread of Iran's revolutionary Shia Islam within the kingdom.</t>
  </si>
  <si>
    <t>Regional stability</t>
  </si>
  <si>
    <t>Saudi Government</t>
  </si>
  <si>
    <t>First Gulf War</t>
  </si>
  <si>
    <t>Kuwait, Saudi Arabia</t>
  </si>
  <si>
    <t>Iraq's invasion of Kuwait led to Saudi Arabia hosting coalition forces and participating in military operations.</t>
  </si>
  <si>
    <t>Saudi Government, Coalition Forces</t>
  </si>
  <si>
    <t>Introduction of the Basic Law of Governance</t>
  </si>
  <si>
    <t>Formalized the Saudi political and administrative structure, reinforcing the monarchy's Islamic governance model.</t>
  </si>
  <si>
    <t>King Fahd</t>
  </si>
  <si>
    <t>Saudi Arabia Joins the WTO</t>
  </si>
  <si>
    <t>Economic Integration</t>
  </si>
  <si>
    <t>Enhanced Saudi Arabia's global trade relations and required significant economic reforms for compliance.</t>
  </si>
  <si>
    <t>Saudi Arabian economy</t>
  </si>
  <si>
    <t>Riyadh Compound Bombings</t>
  </si>
  <si>
    <t>2003</t>
  </si>
  <si>
    <t>AlUnknownQaeda attacks targeting expatriates underscored the internal threat of extremism, leading to security reforms.</t>
  </si>
  <si>
    <t>Expatriates, Saudi citizens</t>
  </si>
  <si>
    <t>AlUnknownQaeda</t>
  </si>
  <si>
    <t>King Abdullah's Ascension</t>
  </si>
  <si>
    <t>Began a period marked by cautious reforms in education, economy, and increased openness to the world.</t>
  </si>
  <si>
    <t>King Abdullah</t>
  </si>
  <si>
    <t>Vision 2030 Announced</t>
  </si>
  <si>
    <t>Economic/Social Reform Plan</t>
  </si>
  <si>
    <t>A strategic framework to reduce Saudi Arabia's dependence on oil, diversify its economy, and develop public service sectors.</t>
  </si>
  <si>
    <t>Mohammed bin Salman</t>
  </si>
  <si>
    <t>Women Allowed to Drive</t>
  </si>
  <si>
    <t>Ended the world's only ban on female drivers, part of broader social reforms to improve women's rights.</t>
  </si>
  <si>
    <t>Saudi women</t>
  </si>
  <si>
    <t>AntiUnknownCorruption Campaign</t>
  </si>
  <si>
    <t>Political Action</t>
  </si>
  <si>
    <t>HighUnknownprofile arrests for corruption, signaling power consolidation by Crown Prince Mohammed bin Salman.</t>
  </si>
  <si>
    <t>Saudi elites</t>
  </si>
  <si>
    <t>Saudi Intervention in Yemen</t>
  </si>
  <si>
    <t>Yemen</t>
  </si>
  <si>
    <t>Led a coalition intervening in Yemen's civil war, aiming to restore the internationally recognized government.</t>
  </si>
  <si>
    <t>Yemeni civilians, regional stability</t>
  </si>
  <si>
    <t>Khashoggi Assassination</t>
  </si>
  <si>
    <t>Diplomatic Incident</t>
  </si>
  <si>
    <t>Istanbul, Turkey</t>
  </si>
  <si>
    <t>The murder of journalist Jamal Khashoggi in the Saudi consulate led to international outcry and strained relations.</t>
  </si>
  <si>
    <t>RitzUnknownCarlton Riyadh Detentions</t>
  </si>
  <si>
    <t>AntiUnknownCorruption Effort</t>
  </si>
  <si>
    <t>Prominent figures were detained in an antiUnknowncorruption crackdown, seen as consolidating power around the Crown Prince.</t>
  </si>
  <si>
    <t>G20 Summit Hosted in Riyadh</t>
  </si>
  <si>
    <t>Hosting the G20 marked Saudi Arabia's prominence on the global stage, despite controversies and criticisms.</t>
  </si>
  <si>
    <t>Global leaders, Saudi citizens</t>
  </si>
  <si>
    <t>Founding of Modern Singapore</t>
  </si>
  <si>
    <t>1819</t>
  </si>
  <si>
    <t>Singapore</t>
  </si>
  <si>
    <t>Establishment as a British trading post</t>
  </si>
  <si>
    <t>Local and immigrant populations</t>
  </si>
  <si>
    <t>Sir Stamford Raffles</t>
  </si>
  <si>
    <t>Treaty of Friendship and Alliance</t>
  </si>
  <si>
    <t>Secured Singapore for the British Empire</t>
  </si>
  <si>
    <t>British East India Company</t>
  </si>
  <si>
    <t>Straits Settlements Establishment</t>
  </si>
  <si>
    <t>1826</t>
  </si>
  <si>
    <t>Administrative Change</t>
  </si>
  <si>
    <t>Malaya</t>
  </si>
  <si>
    <t>Integration into British Malaya</t>
  </si>
  <si>
    <t>British Crown</t>
  </si>
  <si>
    <t>Japanese Occupation</t>
  </si>
  <si>
    <t>Occupation and ensuing hardships during WWII</t>
  </si>
  <si>
    <t>Singaporean citizens</t>
  </si>
  <si>
    <t>Japanese Empire</t>
  </si>
  <si>
    <t>Battle of Singapore</t>
  </si>
  <si>
    <t>British surrender to Japanese forces</t>
  </si>
  <si>
    <t>British and Allied forces</t>
  </si>
  <si>
    <t>Sook Ching Massacre</t>
  </si>
  <si>
    <t>Systematic purge of antiUnknownJapanese elements</t>
  </si>
  <si>
    <t>Chinese Singaporeans</t>
  </si>
  <si>
    <t>Japanese military</t>
  </si>
  <si>
    <t>Return of the British</t>
  </si>
  <si>
    <t>Military Administration</t>
  </si>
  <si>
    <t>Restoration of British colonial rule</t>
  </si>
  <si>
    <t>British Military Administration</t>
  </si>
  <si>
    <t>PostUnknownwar Recovery</t>
  </si>
  <si>
    <t>Reconstruction</t>
  </si>
  <si>
    <t>Economic and infrastructural rehabilitation efforts</t>
  </si>
  <si>
    <t>British Administration</t>
  </si>
  <si>
    <t>University of Malaya Formation</t>
  </si>
  <si>
    <t>Start of higher education</t>
  </si>
  <si>
    <t>Students and academics</t>
  </si>
  <si>
    <t>Maria Hertogh Riots</t>
  </si>
  <si>
    <t>Exposed ethnic and religious tensions</t>
  </si>
  <si>
    <t>SelfUnknowngovernance Achieved</t>
  </si>
  <si>
    <t>1959</t>
  </si>
  <si>
    <t>Singapore gained selfUnknowngovernance from the British</t>
  </si>
  <si>
    <t>Lee Kuan Yew</t>
  </si>
  <si>
    <t>Merger with Malaysia</t>
  </si>
  <si>
    <t>1963</t>
  </si>
  <si>
    <t>Political Union</t>
  </si>
  <si>
    <t>Malaysia</t>
  </si>
  <si>
    <t>Temporary integration with Malaysia</t>
  </si>
  <si>
    <t>Malaysian and Singaporean Governments</t>
  </si>
  <si>
    <t>Separation and Independence</t>
  </si>
  <si>
    <t>1965</t>
  </si>
  <si>
    <t>Independence Declaration</t>
  </si>
  <si>
    <t>Singapore became an independent and sovereign nation</t>
  </si>
  <si>
    <t>National Service Introduced</t>
  </si>
  <si>
    <t>Mandatory military service for male citizens</t>
  </si>
  <si>
    <t>Male citizens</t>
  </si>
  <si>
    <t>Singaporean Government</t>
  </si>
  <si>
    <t>Rapid industrialization and transformation into a global financial hub</t>
  </si>
  <si>
    <t>Singaporean economy</t>
  </si>
  <si>
    <t>Speak Mandarin Campaign Launched</t>
  </si>
  <si>
    <t>Cultural Policy</t>
  </si>
  <si>
    <t>Promotion of Mandarin over other Chinese dialects to strengthen national identity</t>
  </si>
  <si>
    <t>Elected Presidency Introduced</t>
  </si>
  <si>
    <t>Political Reform</t>
  </si>
  <si>
    <t>Introduction of a directly elected President with custodial powers over national reserves</t>
  </si>
  <si>
    <t>Signing of the AngloUnknownDutch Treaty</t>
  </si>
  <si>
    <t>Formalized British control over Singapore and Dutch control over the Indonesian archipelago.</t>
  </si>
  <si>
    <t>British and Dutch empires</t>
  </si>
  <si>
    <t>United Kingdom and Netherlands</t>
  </si>
  <si>
    <t>Surrender of Singapore to Japan</t>
  </si>
  <si>
    <t>Military Surrender</t>
  </si>
  <si>
    <t>Marked the beginning of the Japanese occupation, leading to widespread suffering.</t>
  </si>
  <si>
    <t>Allied forces, Singaporean citizens</t>
  </si>
  <si>
    <t>Singapore Joins the United Nations</t>
  </si>
  <si>
    <t>Affirmed Singapore's sovereignty and global standing following independence.</t>
  </si>
  <si>
    <t>Laju Ferry Hijacking</t>
  </si>
  <si>
    <t>A pivotal event that highlighted Singapore's vulnerability to international terrorism.</t>
  </si>
  <si>
    <t>Japanese Red Army, Popular Front for the Liberation of Palestine</t>
  </si>
  <si>
    <t>Cable Car Disaster</t>
  </si>
  <si>
    <t>Accident</t>
  </si>
  <si>
    <t>Sentosa</t>
  </si>
  <si>
    <t>The cable car line between Mount Faber and Sentosa was severed, resulting in deaths and highlighting the need for stringent safety measures.</t>
  </si>
  <si>
    <t>Tourists and locals</t>
  </si>
  <si>
    <t>Hotel New World Collapse</t>
  </si>
  <si>
    <t>Structural Failure</t>
  </si>
  <si>
    <t>The collapse of the Hotel New World due to structural failure marked one of the worst disasters in Singapore, leading to improvements in building safety regulations.</t>
  </si>
  <si>
    <t>Victims and their families</t>
  </si>
  <si>
    <t>Execution of Barlow and Chambers</t>
  </si>
  <si>
    <t>Judicial Execution</t>
  </si>
  <si>
    <t>The execution of two Australians for drug trafficking underscored Singapore's strict antiUnknowndrug laws.</t>
  </si>
  <si>
    <t>Australian nationals</t>
  </si>
  <si>
    <t>Singapore Government</t>
  </si>
  <si>
    <t>AngloUnknownPersian Oil Company Agreement</t>
  </si>
  <si>
    <t>Iran</t>
  </si>
  <si>
    <t>Discovery and development of oil, fundamentally changing Iran's economy and strategic importance.</t>
  </si>
  <si>
    <t>Iranian people</t>
  </si>
  <si>
    <t>William Knox D'Arcy</t>
  </si>
  <si>
    <t>British Mandate of Mesopotamia</t>
  </si>
  <si>
    <t>Iraq</t>
  </si>
  <si>
    <t>Colonial Rule</t>
  </si>
  <si>
    <t>Mesopotamia</t>
  </si>
  <si>
    <t>Establishment of British control postUnknownOttoman Empire, setting the stage for modern Iraqi statehood.</t>
  </si>
  <si>
    <t>Mesopotamian people</t>
  </si>
  <si>
    <t>League of Nations</t>
  </si>
  <si>
    <t>Alash Autonomy Declaration</t>
  </si>
  <si>
    <t>Almaty</t>
  </si>
  <si>
    <t>Kazakhstan</t>
  </si>
  <si>
    <t>Attempt to establish autonomy amidst the Russian Revolution, highlighting national consciousness.</t>
  </si>
  <si>
    <t>Kazakh intellectuals</t>
  </si>
  <si>
    <t>Alash Orda</t>
  </si>
  <si>
    <t>Bukhara Emirate Overthrown by Bolsheviks</t>
  </si>
  <si>
    <t>Bukhara</t>
  </si>
  <si>
    <t>Introduction of Soviet rule, significant social and political transformations.</t>
  </si>
  <si>
    <t>Uzbek people</t>
  </si>
  <si>
    <t>Bolsheviks</t>
  </si>
  <si>
    <t>Treaty of Punakha</t>
  </si>
  <si>
    <t>Bhutan</t>
  </si>
  <si>
    <t>Punakha</t>
  </si>
  <si>
    <t>British India's recognition of Bhutan's independence in exchange for control over foreign relations.</t>
  </si>
  <si>
    <t>Bhutanese people</t>
  </si>
  <si>
    <t>British India, Bhutan</t>
  </si>
  <si>
    <t>Introduction of Islam officially</t>
  </si>
  <si>
    <t>1153</t>
  </si>
  <si>
    <t>Maldives</t>
  </si>
  <si>
    <t>Religious Conversion</t>
  </si>
  <si>
    <t>Conversion to Islam, shaping Maldivian culture, governance, and judicial system.</t>
  </si>
  <si>
    <t>Maldivian inhabitants</t>
  </si>
  <si>
    <t>Abu alUnknownBarakat Yusuf alUnknownBarbari</t>
  </si>
  <si>
    <t>Japanese Occupation of Malaya</t>
  </si>
  <si>
    <t>Occupation led to hardship but also galvanized movements towards independence.</t>
  </si>
  <si>
    <t>Malay people</t>
  </si>
  <si>
    <t>Constitutional Revolution</t>
  </si>
  <si>
    <t>1906</t>
  </si>
  <si>
    <t>Tehran</t>
  </si>
  <si>
    <t>Establishment of a parliament, marking the start of constitutional monarchy in Iran.</t>
  </si>
  <si>
    <t>Iranian citizens</t>
  </si>
  <si>
    <t>Revolutionaries</t>
  </si>
  <si>
    <t>Foundation of Modern Iraq</t>
  </si>
  <si>
    <t>Independence from British mandate, leading to the founding of the Kingdom of Iraq.</t>
  </si>
  <si>
    <t>Iraqi people</t>
  </si>
  <si>
    <t>Kingdom of Iraq</t>
  </si>
  <si>
    <t>Forced Collectivization by Soviets</t>
  </si>
  <si>
    <t>Collectivization led to widespread famine and suffering among the Kazakh population.</t>
  </si>
  <si>
    <t>Kazakh nomads</t>
  </si>
  <si>
    <t>Soviet Government</t>
  </si>
  <si>
    <t>Samarkand becomes part of the Uzbek SSR</t>
  </si>
  <si>
    <t>1924</t>
  </si>
  <si>
    <t>Samarkand</t>
  </si>
  <si>
    <t>Administrative Reorganization</t>
  </si>
  <si>
    <t>Establishment of Uzbek Soviet Socialist Republic, influencing Uzbek national identity.</t>
  </si>
  <si>
    <t>Establishment of Simtokha Dzong</t>
  </si>
  <si>
    <t>1629</t>
  </si>
  <si>
    <t>Thimphu</t>
  </si>
  <si>
    <t>Cultural Development</t>
  </si>
  <si>
    <t>The first dzong, combining monastic and military functions, foundational for Bhutanese architecture.</t>
  </si>
  <si>
    <t>Zhabdrung Ngawang Namgyal</t>
  </si>
  <si>
    <t>Sultanate Becomes a British Protectorate</t>
  </si>
  <si>
    <t>1887</t>
  </si>
  <si>
    <t>Colonial Subjugation</t>
  </si>
  <si>
    <t>British protection in exchange for defense and nonUnknowninterference in internal affairs.</t>
  </si>
  <si>
    <t>Maldivian people</t>
  </si>
  <si>
    <t>British Empire</t>
  </si>
  <si>
    <t>Formation of the United Malays National Organisation</t>
  </si>
  <si>
    <t>Political mobilization of Malays for rights and independence.</t>
  </si>
  <si>
    <t>Onn Jaafar</t>
  </si>
  <si>
    <t>Hammurabi's Code of Laws</t>
  </si>
  <si>
    <t xml:space="preserve"> 1754 BC </t>
  </si>
  <si>
    <t>Babylon</t>
  </si>
  <si>
    <t>Legal Code Introduction</t>
  </si>
  <si>
    <t>Introduction of one of the earliest written legal codes</t>
  </si>
  <si>
    <t>Babylonian citizens</t>
  </si>
  <si>
    <t>Hammurabi</t>
  </si>
  <si>
    <t>Golden Horde Rule</t>
  </si>
  <si>
    <t>1200</t>
  </si>
  <si>
    <t>Political Dominion</t>
  </si>
  <si>
    <t>Strengthened trade routes across Central Asia, impacting the Silk Road economy</t>
  </si>
  <si>
    <t>Central Asian populations</t>
  </si>
  <si>
    <t>Introduction of Buddhism</t>
  </si>
  <si>
    <t>746</t>
  </si>
  <si>
    <t>Religious Spread</t>
  </si>
  <si>
    <t>Establishment of Buddhism as the state religion, shaping Bhutanese culture and governance</t>
  </si>
  <si>
    <t>Padmasambhava (Guru Rinpoche)</t>
  </si>
  <si>
    <t>Conversion to Islam</t>
  </si>
  <si>
    <t>Transition to Islam, influencing Maldivian culture, trade, and politics</t>
  </si>
  <si>
    <t>Malacca Sultanate Established</t>
  </si>
  <si>
    <t>1402</t>
  </si>
  <si>
    <t>Malacca</t>
  </si>
  <si>
    <t>Sultanate Formation</t>
  </si>
  <si>
    <t>Foundation of a powerful maritime trading state in Southeast Asia</t>
  </si>
  <si>
    <t>Parameswara</t>
  </si>
  <si>
    <t>Islamic Conquest of Persia</t>
  </si>
  <si>
    <t>651</t>
  </si>
  <si>
    <t>Persia</t>
  </si>
  <si>
    <t>Military Conquest</t>
  </si>
  <si>
    <t>Introduction of Islam, leading to significant cultural and religious changes</t>
  </si>
  <si>
    <t>Persian people</t>
  </si>
  <si>
    <t>Arab Conquerors</t>
  </si>
  <si>
    <t>Foundation of Baghdad</t>
  </si>
  <si>
    <t>762</t>
  </si>
  <si>
    <t>City Foundation</t>
  </si>
  <si>
    <t>Baghdad</t>
  </si>
  <si>
    <t>Establishment of Baghdad as a major cultural and scholarly center</t>
  </si>
  <si>
    <t>Caliph AlUnknownMansur</t>
  </si>
  <si>
    <t>Arrival of the Russians</t>
  </si>
  <si>
    <t>1731</t>
  </si>
  <si>
    <t>Political Annexation</t>
  </si>
  <si>
    <t>Beginning of Russian influence and eventual control over Kazakh lands</t>
  </si>
  <si>
    <t>Kazakh Khanate</t>
  </si>
  <si>
    <t>Timurid Empire Peaks</t>
  </si>
  <si>
    <t>1405</t>
  </si>
  <si>
    <t>Empire Peak</t>
  </si>
  <si>
    <t>Uzbekistan</t>
  </si>
  <si>
    <t>Samarkand becomes a leading center of Islamic culture and arts</t>
  </si>
  <si>
    <t>Timur</t>
  </si>
  <si>
    <t>Unification of Bhutan</t>
  </si>
  <si>
    <t>1634</t>
  </si>
  <si>
    <t>Country Unification</t>
  </si>
  <si>
    <t>Establishment of Bhutan as a unified kingdom under a dual system of government</t>
  </si>
  <si>
    <t>Ngawang Namgyal (Zhabdrung Rinpoche)</t>
  </si>
  <si>
    <t>Sultanate ReUnknownestablished</t>
  </si>
  <si>
    <t>1558</t>
  </si>
  <si>
    <t>Political Restoration</t>
  </si>
  <si>
    <t>Restoration of the Sultanate, reaffirming Maldivian independence and sovereignty</t>
  </si>
  <si>
    <t>Muhammad Thakurufaanu AlUnknownA'uẓam</t>
  </si>
  <si>
    <t>British Colonization Begins</t>
  </si>
  <si>
    <t>Start of British colonial rule, affecting political and social structures</t>
  </si>
  <si>
    <t>Malaysian inhabitants</t>
  </si>
  <si>
    <t>AngloUnknownRussian Agreement</t>
  </si>
  <si>
    <t>1907</t>
  </si>
  <si>
    <t>Divided Iran into spheres of British and Russian influence, compromising its sovereignty.</t>
  </si>
  <si>
    <t>United Kingdom, Russia</t>
  </si>
  <si>
    <t>Creation of Iraq by the League of Nations</t>
  </si>
  <si>
    <t>Formalized the creation of the modern state of Iraq under British mandate.</t>
  </si>
  <si>
    <t>League of Nations, United Kingdom</t>
  </si>
  <si>
    <t>Virgin Lands Campaign</t>
  </si>
  <si>
    <t>Agricultural Development</t>
  </si>
  <si>
    <t>Northern Kazakhstan</t>
  </si>
  <si>
    <t>Aimed to boost Soviet agriculture; led to significant demographic changes.</t>
  </si>
  <si>
    <t>Kazakh SSR inhabitants</t>
  </si>
  <si>
    <t>Establishment of Uzbek SSR</t>
  </si>
  <si>
    <t>Political Reorganization</t>
  </si>
  <si>
    <t>Formation of Uzbek Soviet Socialist Republic within the USSR.</t>
  </si>
  <si>
    <t>Treaty of Sinchula</t>
  </si>
  <si>
    <t>1865</t>
  </si>
  <si>
    <t>Ceded border lands to British India in exchange for an annual subsidy, defining borders.</t>
  </si>
  <si>
    <t>British India, Bhutanese Government</t>
  </si>
  <si>
    <t>Introduction of English as a Medium of Education</t>
  </si>
  <si>
    <t>Educational Reform</t>
  </si>
  <si>
    <t>Marked the beginning of modern education in the Maldives.</t>
  </si>
  <si>
    <t>Maldivian students</t>
  </si>
  <si>
    <t>Maldivian Government</t>
  </si>
  <si>
    <t>Japanese control during WWII, leading to significant hardship and resistance movements.</t>
  </si>
  <si>
    <t>Malayan people</t>
  </si>
  <si>
    <t>Nationalization of Oil Industry</t>
  </si>
  <si>
    <t>Economic Nationalism</t>
  </si>
  <si>
    <t>Marked a pivotal moment in Iran's struggle for sovereignty over its oil resources.</t>
  </si>
  <si>
    <t>Mohammad Mossadegh</t>
  </si>
  <si>
    <t>Baghdad Pact</t>
  </si>
  <si>
    <t>Military Alliance</t>
  </si>
  <si>
    <t>Aimed to counter Soviet influence in the Middle East, involving Iraq and Western powers.</t>
  </si>
  <si>
    <t>Iraq, United Kingdom, others</t>
  </si>
  <si>
    <t>Kengir Uprising</t>
  </si>
  <si>
    <t>Political Rebellion</t>
  </si>
  <si>
    <t>Kengir</t>
  </si>
  <si>
    <t>A major uprising by Gulag prisoners, highlighting resistance to Soviet repression.</t>
  </si>
  <si>
    <t>Prisoners</t>
  </si>
  <si>
    <t>Gulag prisoners, Soviet Government</t>
  </si>
  <si>
    <t>Collectivization in Uzbekistan</t>
  </si>
  <si>
    <t>Agricultural Policy</t>
  </si>
  <si>
    <t>Forced collectivization under Soviet rule, leading to economic and social upheaval.</t>
  </si>
  <si>
    <t>Uzbek peasants</t>
  </si>
  <si>
    <t>Establishment of the National Assembly</t>
  </si>
  <si>
    <t>Introduced a new legislative body, marking a step towards modern governance.</t>
  </si>
  <si>
    <t>Jigme Dorji Wangchuck</t>
  </si>
  <si>
    <t>First Constitution of Maldives</t>
  </si>
  <si>
    <t>Constitutional Development</t>
  </si>
  <si>
    <t>Introduction of the first constitution, laying the foundation for legal and political reform.</t>
  </si>
  <si>
    <t>Sultan Muhammad Shamsuddeen III</t>
  </si>
  <si>
    <t>Malayan Emergency</t>
  </si>
  <si>
    <t>CounterUnknownInsurgency</t>
  </si>
  <si>
    <t>A guerrilla war between Commonwealth armed forces and the Malayan National Liberation Army.</t>
  </si>
  <si>
    <t>British Empire, MNLA</t>
  </si>
  <si>
    <t>Reza Shah's Modernization Efforts</t>
  </si>
  <si>
    <t>Modernization Policy</t>
  </si>
  <si>
    <t>Initiatives for modernization and secularization, impacting various aspects of Iranian society.</t>
  </si>
  <si>
    <t>Reza Shah Pahlavi</t>
  </si>
  <si>
    <t>Faisal I Becomes King of Iraq</t>
  </si>
  <si>
    <t>Monarchy Establishment</t>
  </si>
  <si>
    <t>Establishment of the Hashemite monarchy in Iraq, under British influence.</t>
  </si>
  <si>
    <t>Faisal I</t>
  </si>
  <si>
    <t>Silk Road Decline</t>
  </si>
  <si>
    <t>1500</t>
  </si>
  <si>
    <t>Central Asia</t>
  </si>
  <si>
    <t>Economic Shift</t>
  </si>
  <si>
    <t>Central asia</t>
  </si>
  <si>
    <t>Decline of the Silk Road trade routes, impacting Central Asian economies and cities like Samarkand.</t>
  </si>
  <si>
    <t>Central Asian traders</t>
  </si>
  <si>
    <t>Duar War (BritishUnknownBhutan War)</t>
  </si>
  <si>
    <t>1864</t>
  </si>
  <si>
    <t>Conflict with British India leading to ceding of Bhutanese territories in the Treaty of Sinchula.</t>
  </si>
  <si>
    <t>British India</t>
  </si>
  <si>
    <t>Sultanate Abolished and Restored</t>
  </si>
  <si>
    <t>Brief abolition of the sultanate, showing political instability and change.</t>
  </si>
  <si>
    <t>Federated Malay States Formed</t>
  </si>
  <si>
    <t>Colonial Administration</t>
  </si>
  <si>
    <t>Peninsular</t>
  </si>
  <si>
    <t>British establishment of federated administrative structure to streamline colonial governance.</t>
  </si>
  <si>
    <t>Malay states people</t>
  </si>
  <si>
    <t>AngloUnknownIranian Oil Company Nationalized</t>
  </si>
  <si>
    <t>Nationalization</t>
  </si>
  <si>
    <t>Nationalization of Iran's oil industry, leading to a significant political and economic standoff.</t>
  </si>
  <si>
    <t>Kingdom of Iraq Independence</t>
  </si>
  <si>
    <t>Independence</t>
  </si>
  <si>
    <t>Iraq's independence from British mandate, marking the establishment of a sovereign state.</t>
  </si>
  <si>
    <t>Famine of 1932Unknown1933</t>
  </si>
  <si>
    <t>Devastating famine caused by Soviet collectivization policies, greatly affecting the Kazakh populace.</t>
  </si>
  <si>
    <t>Kazakh people</t>
  </si>
  <si>
    <t>Bukharan People's Soviet Republic Formed</t>
  </si>
  <si>
    <t>Establishment of a Soviet republic, incorporating Bukhara into the Soviet Union.</t>
  </si>
  <si>
    <t>Bukharan people</t>
  </si>
  <si>
    <t>Establishment of Monarchy</t>
  </si>
  <si>
    <t>Establishment of the Wangchuck dynasty, bringing stability and central governance.</t>
  </si>
  <si>
    <t>Ugyen Wangchuck</t>
  </si>
  <si>
    <t>Introduction of First Constitution</t>
  </si>
  <si>
    <t>Adoption of the first constitution, initiating legal and governmental reforms.</t>
  </si>
  <si>
    <t>Establishment of a constitution and a parliament, aiming for modernization and reduction of monarchic power.</t>
  </si>
  <si>
    <t>Constitutional Revolutionaries</t>
  </si>
  <si>
    <t>British Occupation of Basra</t>
  </si>
  <si>
    <t>Basra</t>
  </si>
  <si>
    <t>Start of British involvement in Iraq during WWI, leading to eventual British mandate.</t>
  </si>
  <si>
    <t>British Forces</t>
  </si>
  <si>
    <t>Forced Sedentarization of Nomads</t>
  </si>
  <si>
    <t>Soviet policies aimed to settle nomadic populations, significantly altering traditional lifestyles.</t>
  </si>
  <si>
    <t>Russian Conquest of Tashkent</t>
  </si>
  <si>
    <t>Tashkent</t>
  </si>
  <si>
    <t>Incorporation into the Russian Empire, impacting local governance and development.</t>
  </si>
  <si>
    <t>Tashkent residents</t>
  </si>
  <si>
    <t>Treaty of Punakha with British India</t>
  </si>
  <si>
    <t>Affirmed British protection in exchange for internal autonomy, securing Bhutan's sovereignty.</t>
  </si>
  <si>
    <t>Formal British Protectorate Status</t>
  </si>
  <si>
    <t>Protectorate Establishment</t>
  </si>
  <si>
    <t>Established a formal protectorate under British Empire, influencing foreign policy and defense.</t>
  </si>
  <si>
    <t>Japanese control disrupted British colonial rule, contributing to the rise of independence movements.</t>
  </si>
  <si>
    <t>Mossadegh's Premiership and Oil Nationalization</t>
  </si>
  <si>
    <t>Marked a pivotal point in Iranian nationalism and conflict with Western powers over oil resources.</t>
  </si>
  <si>
    <t>14 July Revolution</t>
  </si>
  <si>
    <t>Overthrow of the Hashemite monarchy, leading to the establishment of a republic.</t>
  </si>
  <si>
    <t>Iraqi Army and Revolutionaries</t>
  </si>
  <si>
    <t>Accession to the Soviet Union</t>
  </si>
  <si>
    <t>Integration into the Soviet Union, significantly impacting political and social structures.</t>
  </si>
  <si>
    <t>Establishment of the Uzbek Soviet Socialist Republic</t>
  </si>
  <si>
    <t>Uzbek SSR</t>
  </si>
  <si>
    <t>Formation as a constituent republic of the Soviet Union, altering national identity and governance.</t>
  </si>
  <si>
    <t>Uzbek SSR inhabitants</t>
  </si>
  <si>
    <t>First FiveUnknownYear Plan</t>
  </si>
  <si>
    <t>Initiation of planned economic development, focusing on modernization and infrastructure.</t>
  </si>
  <si>
    <t>Third King of Bhutan, Jigme Dorji Wangchuck</t>
  </si>
  <si>
    <t>Suvadive Rebellion</t>
  </si>
  <si>
    <t>Addu Atoll</t>
  </si>
  <si>
    <t>Secession Attempt</t>
  </si>
  <si>
    <t>Attempted secession highlighting regional discontent and desire for greater autonomy within Maldives.</t>
  </si>
  <si>
    <t>Southern Maldivians</t>
  </si>
  <si>
    <t>Abdullah Afeef</t>
  </si>
  <si>
    <t>Formation of Federation of Malaya</t>
  </si>
  <si>
    <t>British response to increasing nationalist movements, setting the stage for eventual independence.</t>
  </si>
  <si>
    <t>1953 Iranian Coup d'état</t>
  </si>
  <si>
    <t>Political Coup</t>
  </si>
  <si>
    <t>Overthrow of Prime Minister Mohammad Mossadegh, consolidation of Shah's power.</t>
  </si>
  <si>
    <t>CIA, MI6</t>
  </si>
  <si>
    <t>1979 Iranian Revolution</t>
  </si>
  <si>
    <t>Revolution</t>
  </si>
  <si>
    <t>Establishment of the Islamic Republic of Iran, fall of the Pahlavi dynasty.</t>
  </si>
  <si>
    <t>Ayatollah Khomeini</t>
  </si>
  <si>
    <t>1958 Iraqi Revolution</t>
  </si>
  <si>
    <t>Overthrow of the Hashemite monarchy, establishment of a republic.</t>
  </si>
  <si>
    <t>Iraqi citizens</t>
  </si>
  <si>
    <t>Abdul Karim Qasim</t>
  </si>
  <si>
    <t>IranUnknownIraq War</t>
  </si>
  <si>
    <t>Iraq/Iran border</t>
  </si>
  <si>
    <t>Attempted to dominate the Persian Gulf region, resulted in stalemate and devastation.</t>
  </si>
  <si>
    <t>Iraqi, Iranian citizens</t>
  </si>
  <si>
    <t>Saddam Hussein</t>
  </si>
  <si>
    <t>Gulf War</t>
  </si>
  <si>
    <t>Kuwait, Iraq</t>
  </si>
  <si>
    <t>Iraq's invasion of Kuwait leads to conflict and subsequent economic sanctions.</t>
  </si>
  <si>
    <t>Saddam Hussein, Coalition Forces</t>
  </si>
  <si>
    <t>Independence from the Soviet Union</t>
  </si>
  <si>
    <t>From Almaty to Astana</t>
  </si>
  <si>
    <t>Kazakhstan declares sovereignty as the Soviet Union collapses.</t>
  </si>
  <si>
    <t>Kazakh citizens</t>
  </si>
  <si>
    <t>Nursultan Nazarbayev</t>
  </si>
  <si>
    <t>Capital Moved to Astana</t>
  </si>
  <si>
    <t>Astana</t>
  </si>
  <si>
    <t>Moving the capital was aimed at political and economic development.</t>
  </si>
  <si>
    <t>Uzbekistan declares independence following the dissolution of the Soviet Union.</t>
  </si>
  <si>
    <t>Uzbek citizens</t>
  </si>
  <si>
    <t>Death of Islam Karimov</t>
  </si>
  <si>
    <t>Transition of power after the death of longUnknowntime leader Islam Karimov.</t>
  </si>
  <si>
    <t>Introduction of Television</t>
  </si>
  <si>
    <t>Cultural Change</t>
  </si>
  <si>
    <t>Marking the end of Bhutan's isolation, introduction of television and the internet.</t>
  </si>
  <si>
    <t>Bhutanese citizens</t>
  </si>
  <si>
    <t>Jigme Singye Wangchuck</t>
  </si>
  <si>
    <t>First Democratic Elections</t>
  </si>
  <si>
    <t>Transition to a constitutional monarchy with the first democratic elections.</t>
  </si>
  <si>
    <t>Jigme Khesar Namgyel Wangchuck</t>
  </si>
  <si>
    <t>Introduction of a Multiparty System</t>
  </si>
  <si>
    <t>Reformation towards a more democratic political system.</t>
  </si>
  <si>
    <t>Maldivian citizens</t>
  </si>
  <si>
    <t>Maumoon Abdul Gayoom</t>
  </si>
  <si>
    <t>2004 Tsunami Impact</t>
  </si>
  <si>
    <t>Devastation and subsequent reconstruction efforts highlighting vulnerability to climate change.</t>
  </si>
  <si>
    <t>Independence from the United Kingdom</t>
  </si>
  <si>
    <t>End of British colonial rule, establishment of the Federation of Malaya.</t>
  </si>
  <si>
    <t>Malaysian citizens</t>
  </si>
  <si>
    <t>Tunku Abdul Rahman</t>
  </si>
  <si>
    <t>Formation of Malaysia</t>
  </si>
  <si>
    <t>Merger of Malaya, Sabah, Sarawak, and Singapore into Malaysia; Singapore later exits in 1965.</t>
  </si>
  <si>
    <t>Malaysian, Singaporean citizens</t>
  </si>
  <si>
    <t>1969 Race Riots</t>
  </si>
  <si>
    <t>Civil Unrest</t>
  </si>
  <si>
    <t>Kuala Lumpur</t>
  </si>
  <si>
    <t>Ethnic tensions leading to significant violence and the establishment of the New Economic Policy.</t>
  </si>
  <si>
    <t>New Economic Policy Introduced</t>
  </si>
  <si>
    <t>Aimed at eradicating poverty and restructuring societal economic imbalance.</t>
  </si>
  <si>
    <t>Abdul Razak Hussein</t>
  </si>
  <si>
    <t>Green Movement</t>
  </si>
  <si>
    <t>Protests over the disputed presidential election results, calling for political reform.</t>
  </si>
  <si>
    <t>Opposition supporters</t>
  </si>
  <si>
    <t>ISIS Captures Mosul</t>
  </si>
  <si>
    <t>Mosul</t>
  </si>
  <si>
    <t>ISIS's rapid territorial gains in Iraq, leading to international military interventions.</t>
  </si>
  <si>
    <t>ISIS</t>
  </si>
  <si>
    <t>Zhanaozen Massacre</t>
  </si>
  <si>
    <t>Zhanaozen</t>
  </si>
  <si>
    <t>Violent crackdown on striking oil workers, leading to numerous deaths and injuries.</t>
  </si>
  <si>
    <t>Kazakh workers</t>
  </si>
  <si>
    <t>Kazakhstan Government</t>
  </si>
  <si>
    <t>Currency Convertibility Introduced</t>
  </si>
  <si>
    <t>Introduction of currency convertibility to boost investment and economic liberalization.</t>
  </si>
  <si>
    <t>Shavkat Mirziyoyev</t>
  </si>
  <si>
    <t>Gross National Happiness Introduced</t>
  </si>
  <si>
    <t>Concept of measuring and promoting happiness as a goal of governance.</t>
  </si>
  <si>
    <t>King Jigme Singye Wangchuck</t>
  </si>
  <si>
    <t>Political Crisis and State of Emergency</t>
  </si>
  <si>
    <t>Malé</t>
  </si>
  <si>
    <t>Political tensions leading to a state of emergency and concerns over democracy.</t>
  </si>
  <si>
    <t>Abdulla Yameen</t>
  </si>
  <si>
    <t>1MDB Scandal</t>
  </si>
  <si>
    <t>Corruption Scandal</t>
  </si>
  <si>
    <t>A major corruption scandal involving the state fund 1MDB and leading political figures.</t>
  </si>
  <si>
    <t>Najib Razak</t>
  </si>
  <si>
    <t>US Withdrawal from the JCPOA</t>
  </si>
  <si>
    <t>Diplomatic Event</t>
  </si>
  <si>
    <t>US withdrawal from the nuclear deal, leading to heightened tensions and economic sanctions.</t>
  </si>
  <si>
    <t>Donald Trump</t>
  </si>
  <si>
    <t>Protests Against Corruption and Unemployment</t>
  </si>
  <si>
    <t>Nationwide protests demanding political reform and action against corruption.</t>
  </si>
  <si>
    <t>Presidential Transition</t>
  </si>
  <si>
    <t>NurUnknownSultan</t>
  </si>
  <si>
    <t>Nursultan Nazarbayev resigns after decades in power, KassymUnknownJomart Tokayev becomes president.</t>
  </si>
  <si>
    <t>Nursultan Nazarbayev, KassymUnknownJomart Tokayev</t>
  </si>
  <si>
    <t>Release of Political Prisoners</t>
  </si>
  <si>
    <t>Human Rights Improvement</t>
  </si>
  <si>
    <t>Following Karimov's death, numerous political prisoners were released as part of reforms.</t>
  </si>
  <si>
    <t>Uzbek political prisoners</t>
  </si>
  <si>
    <t>Legal Reform</t>
  </si>
  <si>
    <t>Amendment of the penal code to decriminalize sameUnknownsex relationships.</t>
  </si>
  <si>
    <t>Bhutanese Parliament</t>
  </si>
  <si>
    <t>Presidential Election Victory of Ibrahim Solih</t>
  </si>
  <si>
    <t>Electoral Victory</t>
  </si>
  <si>
    <t>Marked a significant shift in the political landscape towards democratic reform.</t>
  </si>
  <si>
    <t>Ibrahim Mohamed Solih</t>
  </si>
  <si>
    <t>Pakatan Harapan Electoral Victory</t>
  </si>
  <si>
    <t>General Election</t>
  </si>
  <si>
    <t>The opposition coalition's victory, ending six decades of UMNOUnknownled government rule.</t>
  </si>
  <si>
    <t>Mahathir Mohamad</t>
  </si>
  <si>
    <t>Malaysia Airlines Flight MH370 Disappearance</t>
  </si>
  <si>
    <t>Aviation</t>
  </si>
  <si>
    <t>Southern Indian Ocean</t>
  </si>
  <si>
    <t>Disappeared en route from Kuala Lumpur to Beijing with 239 people on board, remains missing.</t>
  </si>
  <si>
    <t>239 passengers &amp; crew</t>
  </si>
  <si>
    <t>Boeing 777Unknown200ER</t>
  </si>
  <si>
    <t>Japan Airlines Flight 123</t>
  </si>
  <si>
    <t>1985</t>
  </si>
  <si>
    <t>Mount Takamagahara</t>
  </si>
  <si>
    <t>The world's deadliest singleUnknownaircraft accident with 520 fatalities.</t>
  </si>
  <si>
    <t>520 passengers &amp; crew</t>
  </si>
  <si>
    <t>Boeing 747SR</t>
  </si>
  <si>
    <t>China Airlines Flight 611</t>
  </si>
  <si>
    <t>Taiwan</t>
  </si>
  <si>
    <t>Taiwan Strait</t>
  </si>
  <si>
    <t>Disintegration in midUnknownflight due to structural failure, killing all 225 aboard.</t>
  </si>
  <si>
    <t>225 passengers &amp; crew</t>
  </si>
  <si>
    <t>Boeing 747Unknown209B</t>
  </si>
  <si>
    <t>Korean Air Flight 801</t>
  </si>
  <si>
    <t>Guam</t>
  </si>
  <si>
    <t>Crashed on approach to Guam due to pilot error and adverse conditions, 228 fatalities.</t>
  </si>
  <si>
    <t>254 passengers &amp; crew</t>
  </si>
  <si>
    <t>Boeing 747Unknown300</t>
  </si>
  <si>
    <t>AirAsia Flight QZ8501</t>
  </si>
  <si>
    <t>Indonesia</t>
  </si>
  <si>
    <t>Java Sea</t>
  </si>
  <si>
    <t>Crashed into the Java Sea during bad weather, killing all 162 people on board.</t>
  </si>
  <si>
    <t>162 passengers &amp; crew</t>
  </si>
  <si>
    <t>Airbus A320Unknown216</t>
  </si>
  <si>
    <t>Pakistan International Airlines Flight 268</t>
  </si>
  <si>
    <t>Kathmandu</t>
  </si>
  <si>
    <t>Crashed into a hillside on approach to Kathmandu, 167 fatalities.</t>
  </si>
  <si>
    <t>167 passengers &amp; crew</t>
  </si>
  <si>
    <t>Airbus A300B4Unknown203</t>
  </si>
  <si>
    <t>Philippine Airlines Flight 434</t>
  </si>
  <si>
    <t>Philippines</t>
  </si>
  <si>
    <t>Okinawa</t>
  </si>
  <si>
    <t>A bomb exploded on board, killing one and injuring several; part of a terrorist plot.</t>
  </si>
  <si>
    <t>1 fatality, several injured</t>
  </si>
  <si>
    <t>Boeing 747Unknown283B</t>
  </si>
  <si>
    <t>SilkAir Flight 185</t>
  </si>
  <si>
    <t>Musi River</t>
  </si>
  <si>
    <t>Crashed into the Musi River, all 104 aboard died, cause of the crash was controversial.</t>
  </si>
  <si>
    <t>104 passengers &amp; crew</t>
  </si>
  <si>
    <t>Boeing 737Unknown36N</t>
  </si>
  <si>
    <t>OneUnknownTwoUnknownGO Airlines Flight 269</t>
  </si>
  <si>
    <t>Thailand</t>
  </si>
  <si>
    <t>Phuket</t>
  </si>
  <si>
    <t>Crashed on landing in poor weather conditions at Phuket, 90 fatalities.</t>
  </si>
  <si>
    <t>130 passengers &amp; crew</t>
  </si>
  <si>
    <t>McDonnell Douglas MDUnknown82</t>
  </si>
  <si>
    <t>MV Sewol Ferry Sinking</t>
  </si>
  <si>
    <t>Maritime</t>
  </si>
  <si>
    <t>Yellow Sea</t>
  </si>
  <si>
    <t>Ferry capsized and sank during a voyage to Jeju, over 300 dead, mostly high school students.</t>
  </si>
  <si>
    <t>476 passengers &amp; crew</t>
  </si>
  <si>
    <t>MV Sewol</t>
  </si>
  <si>
    <t>Fukushima Prefecture</t>
  </si>
  <si>
    <t>Earthquake and tsunami led to nuclear meltdowns, releasing significant amounts of radioactive material.</t>
  </si>
  <si>
    <t>Residents of Fukushima</t>
  </si>
  <si>
    <t>Fukushima Daiichi Nuclear Power Plant</t>
  </si>
  <si>
    <t>Wenzhou Train Collision</t>
  </si>
  <si>
    <t>Rail</t>
  </si>
  <si>
    <t>Wenzhou</t>
  </si>
  <si>
    <t>HighUnknownspeed train collision due to signal failure, causing 40 deaths and over 190 injuries.</t>
  </si>
  <si>
    <t>Passengers</t>
  </si>
  <si>
    <t>HighUnknownspeed Trains</t>
  </si>
  <si>
    <t>MV Doña Paz Collision</t>
  </si>
  <si>
    <t>Tablas Strait</t>
  </si>
  <si>
    <t>Collided with a tanker, resulting in the world's deadliest peacetime maritime disaster with over 4,300 deaths.</t>
  </si>
  <si>
    <t>Over 4,300 passengers &amp; crew</t>
  </si>
  <si>
    <t>MV Doña Paz, MT Vector</t>
  </si>
  <si>
    <t>Nedelin Catastrophe</t>
  </si>
  <si>
    <t>Spacecraft Accident</t>
  </si>
  <si>
    <t>Explosion during missile test, killing over 100 people, including top missile program personnel.</t>
  </si>
  <si>
    <t>Military and technical staff</t>
  </si>
  <si>
    <t>RUnknown16 ballistic missile</t>
  </si>
  <si>
    <t>Sidoarjo Mud Flow</t>
  </si>
  <si>
    <t>Industrial Accident</t>
  </si>
  <si>
    <t>Sidoarjo</t>
  </si>
  <si>
    <t>Gas exploration drilling mishap causing a mud volcano, displacing thousands and submerging villages.</t>
  </si>
  <si>
    <t>Thousands displaced</t>
  </si>
  <si>
    <t>Lapindo Brantas drilling rig</t>
  </si>
  <si>
    <t>Tham Luang Cave Rescue</t>
  </si>
  <si>
    <t>Rescue Operation</t>
  </si>
  <si>
    <t>Tham Luang Cave</t>
  </si>
  <si>
    <t>A youth football team and their coach were trapped in a cave for 18 days, global rescue effort.</t>
  </si>
  <si>
    <t>12 boys and their coach</t>
  </si>
  <si>
    <t>Divers, pumps, and rescue equipment</t>
  </si>
  <si>
    <t>1776</t>
  </si>
  <si>
    <t>USA</t>
  </si>
  <si>
    <t>Philadelphia</t>
  </si>
  <si>
    <t>Marked the USA's declaration of independence from British rule.</t>
  </si>
  <si>
    <t>American colonies</t>
  </si>
  <si>
    <t>Continental Congress</t>
  </si>
  <si>
    <t>Louisiana Purchase</t>
  </si>
  <si>
    <t>Territorial Acquisition</t>
  </si>
  <si>
    <t>Midwest</t>
  </si>
  <si>
    <t>Doubled the size of the USA, acquiring territory from France.</t>
  </si>
  <si>
    <t>American settlers</t>
  </si>
  <si>
    <t>Thomas Jefferson</t>
  </si>
  <si>
    <t>Southern USA</t>
  </si>
  <si>
    <t>Resolved the issues of slavery and secession, preserving the Union.</t>
  </si>
  <si>
    <t>American citizens</t>
  </si>
  <si>
    <t>Abraham Lincoln, Jefferson Davis</t>
  </si>
  <si>
    <t>Women's Suffrage (19th Amendment)</t>
  </si>
  <si>
    <t>Legislative</t>
  </si>
  <si>
    <t>Granted women the right to vote.</t>
  </si>
  <si>
    <t>Women across the USA</t>
  </si>
  <si>
    <t>Suffragists</t>
  </si>
  <si>
    <t>Stock Market Crash of 1929</t>
  </si>
  <si>
    <t>Wall Street, NY</t>
  </si>
  <si>
    <t>Led to the Great Depression, impacting global economy.</t>
  </si>
  <si>
    <t>Moon Landing (Apollo 11)</t>
  </si>
  <si>
    <t>First successful manned mission to the Moon.</t>
  </si>
  <si>
    <t>NASA, Neil Armstrong, Buzz Aldrin</t>
  </si>
  <si>
    <t>Civil Rights Act of 1964</t>
  </si>
  <si>
    <t>Prohibited discrimination based on race, color, religion, sex, or national origin.</t>
  </si>
  <si>
    <t>Lyndon B. Johnson</t>
  </si>
  <si>
    <t>September 11 Attacks</t>
  </si>
  <si>
    <t>NY, VA, PA</t>
  </si>
  <si>
    <t>Led to global War on Terror and significant changes in US policies.</t>
  </si>
  <si>
    <t>American citizens, global citizens</t>
  </si>
  <si>
    <t>First Mars Helicopter Flight</t>
  </si>
  <si>
    <t>2021</t>
  </si>
  <si>
    <t>Ingenuity helicopter made the first powered flight on another planet.</t>
  </si>
  <si>
    <t>NASA</t>
  </si>
  <si>
    <t>Brown v. Board of Education</t>
  </si>
  <si>
    <t>Judicial</t>
  </si>
  <si>
    <t>Topeka, Kansas</t>
  </si>
  <si>
    <t>Landmark Supreme Court ruling that declared segregation in public schools unconstitutional.</t>
  </si>
  <si>
    <t>African American students</t>
  </si>
  <si>
    <t>Supreme Court, Thurgood Marshall</t>
  </si>
  <si>
    <t>Vietnam War</t>
  </si>
  <si>
    <t xml:space="preserve">             </t>
  </si>
  <si>
    <t>Controversial conflict that sparked widespread protests and led to significant casualties.</t>
  </si>
  <si>
    <t>American and Vietnamese</t>
  </si>
  <si>
    <t>Multiple US Administrations</t>
  </si>
  <si>
    <t>Watergate Scandal</t>
  </si>
  <si>
    <t>Political Scandal</t>
  </si>
  <si>
    <t>Led to the resignation of President Richard Nixon.</t>
  </si>
  <si>
    <t>American public</t>
  </si>
  <si>
    <t>Richard Nixon, Democratic Party</t>
  </si>
  <si>
    <t>Challenger Space Shuttle Disaster</t>
  </si>
  <si>
    <t>Space Exploration Disaster</t>
  </si>
  <si>
    <t>Cape Canaveral, FL</t>
  </si>
  <si>
    <t>Space Shuttle Challenger broke apart shortly after launch, killing all seven crew members.</t>
  </si>
  <si>
    <t>Astronauts, general public</t>
  </si>
  <si>
    <t>International</t>
  </si>
  <si>
    <t>Symbolized the end of the Cold War and led to German reunification; significant US involvement.</t>
  </si>
  <si>
    <t>Ronald Reagan, Mikhail Gorbachev</t>
  </si>
  <si>
    <t>Oklahoma City Bombing</t>
  </si>
  <si>
    <t>Domestic Terrorism</t>
  </si>
  <si>
    <t>Oklahoma City, OK</t>
  </si>
  <si>
    <t>Deadliest act of domestic terrorism in the US until 9/11, leading to 168 deaths.</t>
  </si>
  <si>
    <t>Timothy McVeigh, Terry Nichols</t>
  </si>
  <si>
    <t>Hurricane Katrina</t>
  </si>
  <si>
    <t>Gulf Coast</t>
  </si>
  <si>
    <t>One of the deadliest hurricanes in US history, causing widespread destruction and loss of life.</t>
  </si>
  <si>
    <t>Gulf Coast residents</t>
  </si>
  <si>
    <t>Black Lives Matter Movement</t>
  </si>
  <si>
    <t>Social Movement</t>
  </si>
  <si>
    <t>Movement against violence and systemic racism towards black people.</t>
  </si>
  <si>
    <t>African American community</t>
  </si>
  <si>
    <t>Activists, general public</t>
  </si>
  <si>
    <t>Supreme Court Upholds Obamacare</t>
  </si>
  <si>
    <t>Affirmed the constitutionality of the Affordable Care Act, ensuring continued health coverage.</t>
  </si>
  <si>
    <t>Supreme Court</t>
  </si>
  <si>
    <t>USUnknownMexico Border Wall Expansion</t>
  </si>
  <si>
    <t>Political/Infrastructure</t>
  </si>
  <si>
    <t>USUnknownMexico Border</t>
  </si>
  <si>
    <t>Controversial project aimed at curbing illegal immigration and trafficking.</t>
  </si>
  <si>
    <t>Migrants, American citizens</t>
  </si>
  <si>
    <t>Supreme Court legalized sameUnknownsex marriage, a landmark decision.</t>
  </si>
  <si>
    <t>LGBTQ+ community, citizens</t>
  </si>
  <si>
    <t>Supreme Court, LGBTQ+ activists</t>
  </si>
  <si>
    <t>#MeToo Movement</t>
  </si>
  <si>
    <t>Movement against sexual harassment and assault, sparking global conversations.</t>
  </si>
  <si>
    <t>Survivors, general public</t>
  </si>
  <si>
    <t>Tarana Burke, Alyssa Milano</t>
  </si>
  <si>
    <t>Capitol Riot</t>
  </si>
  <si>
    <t>Violent attack on the US Capitol, leading to concerns about democracy.</t>
  </si>
  <si>
    <t>Proponents of false claims, law enforcement</t>
  </si>
  <si>
    <t>George Floyd Protests and Derek Chauvin Trial</t>
  </si>
  <si>
    <t>Social Movement/Legal</t>
  </si>
  <si>
    <t>Nationwide protests against racial injustice; Derek Chauvin's trial and conviction.</t>
  </si>
  <si>
    <t>Black community, citizens</t>
  </si>
  <si>
    <t>Activists, legal system</t>
  </si>
  <si>
    <t>Paris Agreement Rejoining</t>
  </si>
  <si>
    <t>Environmental</t>
  </si>
  <si>
    <t>Rejoined the Paris Agreement, signaling renewed commitment to climate action.</t>
  </si>
  <si>
    <t>Joe Biden, International leaders</t>
  </si>
  <si>
    <t>Hurricane Sandy</t>
  </si>
  <si>
    <t>East Coast</t>
  </si>
  <si>
    <t>Devastating hurricane causing extensive damage and highlighting climate risks.</t>
  </si>
  <si>
    <t>East Coast residents</t>
  </si>
  <si>
    <t>Local governments, relief efforts</t>
  </si>
  <si>
    <t>Affordable Care Act (Obamacare) Implementation</t>
  </si>
  <si>
    <t>Healthcare</t>
  </si>
  <si>
    <t>Implementation of the Affordable Care Act aimed at improving healthcare access.</t>
  </si>
  <si>
    <t>Barack Obama, Healthcare professionals</t>
  </si>
  <si>
    <t>March on Washington for Jobs and Freedom</t>
  </si>
  <si>
    <t>Iconic civil rights march, culminating in Martin Luther King Jr.'s "I Have a Dream" speech.</t>
  </si>
  <si>
    <t>Civil rights activists, citizens</t>
  </si>
  <si>
    <t>Martin Luther King Jr., Activists</t>
  </si>
  <si>
    <t>Assassination of President John F. Kennedy</t>
  </si>
  <si>
    <t>Dallas, Texas</t>
  </si>
  <si>
    <t>Shocked the nation, leading to significant political consequences.</t>
  </si>
  <si>
    <t>Lee Harvey Oswald (alleged)</t>
  </si>
  <si>
    <t>Stonewall Riots</t>
  </si>
  <si>
    <t>New York, NY</t>
  </si>
  <si>
    <t>Marked the beginning of the modern LGBTQ+ rights movement.</t>
  </si>
  <si>
    <t>LGBTQ+ activists, police</t>
  </si>
  <si>
    <t>Roe v. Wade Supreme Court Decision</t>
  </si>
  <si>
    <t>Legalized abortion nationwide, sparking ongoing debates.</t>
  </si>
  <si>
    <t>Women nationwide</t>
  </si>
  <si>
    <t>Tech Boom and DotUnknowncom Bubble</t>
  </si>
  <si>
    <t>Silicon Valley, CA</t>
  </si>
  <si>
    <t>Rapid growth in tech industry, followed by a market crash in 2000.</t>
  </si>
  <si>
    <t>Tech companies, investors</t>
  </si>
  <si>
    <t>Tech entrepreneurs, investors</t>
  </si>
  <si>
    <t>Enactment of the Patriot Act</t>
  </si>
  <si>
    <t>Expanded surveillance powers postUnknown9/11, raising privacy concerns.</t>
  </si>
  <si>
    <t>George W. Bush, Congress</t>
  </si>
  <si>
    <t>Housing Market Crash and Great Recession</t>
  </si>
  <si>
    <t>Triggered global financial crisis, leading to widespread economic hardship.</t>
  </si>
  <si>
    <t>Homeowners, global economy</t>
  </si>
  <si>
    <t>Financial institutions, government</t>
  </si>
  <si>
    <t>Charlottesville Rally and Violence</t>
  </si>
  <si>
    <t>Charlottesville, VA</t>
  </si>
  <si>
    <t>Highlighted racial tensions and sparked national debate on hate groups.</t>
  </si>
  <si>
    <t>General public, activists</t>
  </si>
  <si>
    <t>White supremacists, counterprotesters</t>
  </si>
  <si>
    <t>US Recognition of Jerusalem as Israel's Capital</t>
  </si>
  <si>
    <t>International Policy</t>
  </si>
  <si>
    <t>Shifted US foreign policy, leading to global reactions and tensions.</t>
  </si>
  <si>
    <t>Donald Trump, Israeli government</t>
  </si>
  <si>
    <t>January 6 Capitol Attack</t>
  </si>
  <si>
    <t>Attempt to overturn the 2020 presidential election results, challenging democratic norms.</t>
  </si>
  <si>
    <t>ProUnknownTrump rioters, U.S. Congress</t>
  </si>
  <si>
    <t>Withdrawal from Afghanistan</t>
  </si>
  <si>
    <t>Ended America's longest war, resulting in rapid Taliban takeover.</t>
  </si>
  <si>
    <t>Afghan citizens, U.S. military</t>
  </si>
  <si>
    <t>U.S. Government, Taliban</t>
  </si>
  <si>
    <t>First Woman Vice President Elected</t>
  </si>
  <si>
    <t>Kamala Harris becomes the first female, first Black, and first Asian American vice president.</t>
  </si>
  <si>
    <t>Kamala Harris, American voters</t>
  </si>
  <si>
    <t>Supreme Court Overturns Roe v. Wade</t>
  </si>
  <si>
    <t>Ended federal protection for abortion rights, leaving regulation to states.</t>
  </si>
  <si>
    <t>U.S. Supreme Court</t>
  </si>
  <si>
    <t>Launch of James Webb Space Telescope</t>
  </si>
  <si>
    <t>Advanced space observatory to study the universe, successor to Hubble.</t>
  </si>
  <si>
    <t>NASA, ESA, CSA</t>
  </si>
  <si>
    <t>Boston Tea Party</t>
  </si>
  <si>
    <t>1773</t>
  </si>
  <si>
    <t>Political Protest</t>
  </si>
  <si>
    <t>Boston, MA</t>
  </si>
  <si>
    <t>Protest against British taxes on tea; pivotal event leading to the American Revolution.</t>
  </si>
  <si>
    <t>Colonists</t>
  </si>
  <si>
    <t>American Patriots</t>
  </si>
  <si>
    <t>Lewis and Clark Expedition</t>
  </si>
  <si>
    <t>1804</t>
  </si>
  <si>
    <t>Western USA</t>
  </si>
  <si>
    <t>Expedition to explore the newly acquired western territory of the United States.</t>
  </si>
  <si>
    <t>American explorers</t>
  </si>
  <si>
    <t>Meriwether Lewis, William Clark</t>
  </si>
  <si>
    <t>California Gold Rush</t>
  </si>
  <si>
    <t>1848</t>
  </si>
  <si>
    <t>California</t>
  </si>
  <si>
    <t>Led to a massive influx of settlers and rapid economic growth.</t>
  </si>
  <si>
    <t>Prospective miners</t>
  </si>
  <si>
    <t>James W. Marshall</t>
  </si>
  <si>
    <t>Seneca Falls Convention</t>
  </si>
  <si>
    <t>Seneca Falls, NY</t>
  </si>
  <si>
    <t>First women's rights convention in the U.S., sparking the suffrage movement.</t>
  </si>
  <si>
    <t>Women, activists</t>
  </si>
  <si>
    <t>Elizabeth Cady Stanton, Lucretia Mott</t>
  </si>
  <si>
    <t>Emancipation Proclamation</t>
  </si>
  <si>
    <t>1863</t>
  </si>
  <si>
    <t>Confederate States</t>
  </si>
  <si>
    <t>Declared the freedom of all slaves in ConfederateUnknownheld territory.</t>
  </si>
  <si>
    <t>Enslaved African Americans</t>
  </si>
  <si>
    <t>Abraham Lincoln</t>
  </si>
  <si>
    <t>Transcontinental Railroad Completed</t>
  </si>
  <si>
    <t>1869</t>
  </si>
  <si>
    <t>Promontory, Utah</t>
  </si>
  <si>
    <t>Connected the East and West coasts, facilitating travel and commerce.</t>
  </si>
  <si>
    <t>Union Pacific, Central Pacific Railroads</t>
  </si>
  <si>
    <t>SpanishUnknownAmerican War</t>
  </si>
  <si>
    <t>1898</t>
  </si>
  <si>
    <t>Cuba, Philippines</t>
  </si>
  <si>
    <t>Resulted in U.S. acquiring territories and emerging as a world power.</t>
  </si>
  <si>
    <t>Cubans, Filipinos, Americans</t>
  </si>
  <si>
    <t>William McKinley</t>
  </si>
  <si>
    <t>Wright Brothers' First Flight</t>
  </si>
  <si>
    <t>1903</t>
  </si>
  <si>
    <t>Kitty Hawk, NC</t>
  </si>
  <si>
    <t>Marked the beginning of powered flight and the aviation era.</t>
  </si>
  <si>
    <t>Orville and Wilbur Wright</t>
  </si>
  <si>
    <t>MexicanUnknownAmerican War</t>
  </si>
  <si>
    <t>1846</t>
  </si>
  <si>
    <t>Southwestern USA</t>
  </si>
  <si>
    <t>Resulted in U.S. acquiring territories including California and New Mexico.</t>
  </si>
  <si>
    <t>Mexican, American citizens</t>
  </si>
  <si>
    <t>James K. Polk</t>
  </si>
  <si>
    <t>Dred Scott Decision</t>
  </si>
  <si>
    <t>Ruled African Americans could not be American citizens and negated Missouri Compromise.</t>
  </si>
  <si>
    <t>African Americans</t>
  </si>
  <si>
    <t>Homestead Act</t>
  </si>
  <si>
    <t>1862</t>
  </si>
  <si>
    <t>Western Territories</t>
  </si>
  <si>
    <t>Provided land to settlers for development, leading to westward expansion.</t>
  </si>
  <si>
    <t>Completion of the Panama Canal</t>
  </si>
  <si>
    <t>Engineering Achievement</t>
  </si>
  <si>
    <t>Panama</t>
  </si>
  <si>
    <t>Facilitated maritime trade between Atlantic and Pacific oceans.</t>
  </si>
  <si>
    <t>Global shipping industry</t>
  </si>
  <si>
    <t>Theodore Roosevelt, Engineers</t>
  </si>
  <si>
    <t>Entry into World War I</t>
  </si>
  <si>
    <t>Europe</t>
  </si>
  <si>
    <t>Marked U.S. entry into WWI, significant impact on the war's outcome.</t>
  </si>
  <si>
    <t>European, American forces</t>
  </si>
  <si>
    <t>Woodrow Wilson</t>
  </si>
  <si>
    <t>Prohibition Era Begins</t>
  </si>
  <si>
    <t>Nationwide ban on alcohol production, sale, and transport.</t>
  </si>
  <si>
    <t>US Government, Temperance movements</t>
  </si>
  <si>
    <t>Social Security Act</t>
  </si>
  <si>
    <t>Social Welfare Legislation</t>
  </si>
  <si>
    <t>Established a system of oldUnknownage benefits and unemployment insurance.</t>
  </si>
  <si>
    <t>American workers, elderly</t>
  </si>
  <si>
    <t>Franklin D. Roosevelt</t>
  </si>
  <si>
    <t>Attack on Pearl Harbor</t>
  </si>
  <si>
    <t>Pearl Harbor, HI</t>
  </si>
  <si>
    <t>Prompted U.S. entry into World War II.</t>
  </si>
  <si>
    <t>American military, civilians</t>
  </si>
  <si>
    <t>Manhattan Project and Atomic Bombing of Hiroshima and Nagasaki</t>
  </si>
  <si>
    <t>Military/Science</t>
  </si>
  <si>
    <t>Led to the end of World War II, significant ethical and geopolitical implications.</t>
  </si>
  <si>
    <t>Japanese civilians, global community</t>
  </si>
  <si>
    <t>U.S. Government, Scientists</t>
  </si>
  <si>
    <t>Marshall Plan Implementation</t>
  </si>
  <si>
    <t>Economic Aid</t>
  </si>
  <si>
    <t>Western Europe</t>
  </si>
  <si>
    <t>U.S. program to aid Europe's recovery postUnknownWWII, strengthened Western alliances.</t>
  </si>
  <si>
    <t>European nations</t>
  </si>
  <si>
    <t>George Marshall</t>
  </si>
  <si>
    <t>United Nations Charter Ratification</t>
  </si>
  <si>
    <t>San Francisco, CA</t>
  </si>
  <si>
    <t>Founding of the United Nations, promoting international cooperation and peace.</t>
  </si>
  <si>
    <t>Franklin D. Roosevelt, International Leaders</t>
  </si>
  <si>
    <t>Founding of Jamestown</t>
  </si>
  <si>
    <t>1607</t>
  </si>
  <si>
    <t>Jamestown, VA</t>
  </si>
  <si>
    <t>First permanent English settlement in the Americas, economic and cultural development.</t>
  </si>
  <si>
    <t>English settlers, Native Americans</t>
  </si>
  <si>
    <t>John Smith, Virginia Company of London</t>
  </si>
  <si>
    <t>Salem Witch Trials</t>
  </si>
  <si>
    <t>1692</t>
  </si>
  <si>
    <t>Salem, MA</t>
  </si>
  <si>
    <t>Series of hearings and prosecutions of people accused of witchcraft.</t>
  </si>
  <si>
    <t>Residents of Salem</t>
  </si>
  <si>
    <t>Local magistrates</t>
  </si>
  <si>
    <t>French and Indian War</t>
  </si>
  <si>
    <t>1754</t>
  </si>
  <si>
    <t>Eastern North America</t>
  </si>
  <si>
    <t>Conflict between British America and New France, part of a larger imperial war.</t>
  </si>
  <si>
    <t>British, French colonies, Native Americans</t>
  </si>
  <si>
    <t>British and French Empires</t>
  </si>
  <si>
    <t>Boston Massacre</t>
  </si>
  <si>
    <t>1770</t>
  </si>
  <si>
    <t>PreUnknownRevolutionary Conflict</t>
  </si>
  <si>
    <t>British soldiers killed five civilian men, fueling tensions leading to the revolution.</t>
  </si>
  <si>
    <t>American colonists</t>
  </si>
  <si>
    <t>British Army</t>
  </si>
  <si>
    <t>Writing of the Federalist Papers</t>
  </si>
  <si>
    <t>1787</t>
  </si>
  <si>
    <t>Essays promoting the ratification of the U.S. Constitution.</t>
  </si>
  <si>
    <t>Alexander Hamilton, James Madison, John Jay</t>
  </si>
  <si>
    <t>War of 1812</t>
  </si>
  <si>
    <t>1812</t>
  </si>
  <si>
    <t>USA, Canada</t>
  </si>
  <si>
    <t>Conflict with Britain over maritime rights, territorial expansion, and trade.</t>
  </si>
  <si>
    <t>American, British citizens</t>
  </si>
  <si>
    <t>James Madison</t>
  </si>
  <si>
    <t>Missouri Compromise</t>
  </si>
  <si>
    <t>1820</t>
  </si>
  <si>
    <t>Missouri</t>
  </si>
  <si>
    <t>Attempted to balance power between slave and free states entering the Union.</t>
  </si>
  <si>
    <t>American settlers, slaves</t>
  </si>
  <si>
    <t>Henry Clay</t>
  </si>
  <si>
    <t>Trail of Tears</t>
  </si>
  <si>
    <t>Forced Relocation</t>
  </si>
  <si>
    <t>Southeastern USA</t>
  </si>
  <si>
    <t>Forced removal of Cherokee and other tribes from their lands, many deaths.</t>
  </si>
  <si>
    <t>Native American tribes</t>
  </si>
  <si>
    <t>Andrew Jackson</t>
  </si>
  <si>
    <t>Compromise of 1850</t>
  </si>
  <si>
    <t>Series of laws attempting to address slavery and territorial expansion.</t>
  </si>
  <si>
    <t>American public, slaves</t>
  </si>
  <si>
    <t>Henry Clay, Stephen A. Douglas</t>
  </si>
  <si>
    <t>KansasUnknownNebraska Act</t>
  </si>
  <si>
    <t>Kansas, Nebraska</t>
  </si>
  <si>
    <t>Allowed states to decide on slavery, leading to "Bleeding Kansas" and heightened sectional tensions.</t>
  </si>
  <si>
    <t>Stephen A. Douglas</t>
  </si>
  <si>
    <t>Alaska Purchase</t>
  </si>
  <si>
    <t>Alaska</t>
  </si>
  <si>
    <t>Acquisition of Alaska from Russia, significantly expanding U.S. territory.</t>
  </si>
  <si>
    <t>William H. Seward</t>
  </si>
  <si>
    <t>Reconstruction Era</t>
  </si>
  <si>
    <t>PostUnknownCivil War Reconstruction</t>
  </si>
  <si>
    <t>Attempt to rebuild and reform the Southern states postUnknownCivil War, mixed success.</t>
  </si>
  <si>
    <t>Southern Americans, freed slaves</t>
  </si>
  <si>
    <t>U.S. Government</t>
  </si>
  <si>
    <t>Gilded Age</t>
  </si>
  <si>
    <t>1870</t>
  </si>
  <si>
    <t>Economic/Social</t>
  </si>
  <si>
    <t>Period of rapid economic growth, industrialization, and political corruption.</t>
  </si>
  <si>
    <t>Industrialists, politicians</t>
  </si>
  <si>
    <t>Confederation of Canada</t>
  </si>
  <si>
    <t>Canada</t>
  </si>
  <si>
    <t>Ottawa</t>
  </si>
  <si>
    <t>Unification of provinces into a single dominion within the British Empire.</t>
  </si>
  <si>
    <t>Canadians</t>
  </si>
  <si>
    <t>John A. Macdonald, GeorgeUnknownÉtienne Cartier</t>
  </si>
  <si>
    <t>Completion of the Canadian Pacific Railway</t>
  </si>
  <si>
    <t>Connected Eastern Canada to the West, facilitating settlement and trade.</t>
  </si>
  <si>
    <t>Canadian settlers</t>
  </si>
  <si>
    <t>Sir John A. Macdonald</t>
  </si>
  <si>
    <t>Battle of Vimy Ridge</t>
  </si>
  <si>
    <t>Vimy Ridge, France</t>
  </si>
  <si>
    <t>Marked a turning point in Canadian national pride and military achievement.</t>
  </si>
  <si>
    <t>Canadian soldiers</t>
  </si>
  <si>
    <t>Canadian Corps</t>
  </si>
  <si>
    <t>Discovery of Insulin</t>
  </si>
  <si>
    <t>Medical</t>
  </si>
  <si>
    <t>Toronto</t>
  </si>
  <si>
    <t>Revolutionized the treatment of diabetes, saving countless lives.</t>
  </si>
  <si>
    <t>Diabetics worldwide</t>
  </si>
  <si>
    <t>Frederick Banting, Charles Best</t>
  </si>
  <si>
    <t>Newfoundland Joins Canada</t>
  </si>
  <si>
    <t>Newfoundland</t>
  </si>
  <si>
    <t>Newfoundland became the tenth province of Canada.</t>
  </si>
  <si>
    <t>Newfoundlanders</t>
  </si>
  <si>
    <t>Joey Smallwood</t>
  </si>
  <si>
    <t>Adoption of the Maple Leaf Flag</t>
  </si>
  <si>
    <t>The maple leaf became the national symbol on Canada's flag.</t>
  </si>
  <si>
    <t>Lester B. Pearson</t>
  </si>
  <si>
    <t>Official Languages Act</t>
  </si>
  <si>
    <t>Recognized English and French as the official languages of Canada.</t>
  </si>
  <si>
    <t>Canadian citizens</t>
  </si>
  <si>
    <t>Pierre Elliott Trudeau</t>
  </si>
  <si>
    <t>Canada Act 1982 (Patriation of the Constitution)</t>
  </si>
  <si>
    <t>Gave Canada full sovereignty, including the ability to amend its constitution.</t>
  </si>
  <si>
    <t>Pierre Elliott Trudeau, Queen Elizabeth II</t>
  </si>
  <si>
    <t>Oka Crisis</t>
  </si>
  <si>
    <t>Oka, Quebec</t>
  </si>
  <si>
    <t>Standoff between Mohawk protesters, Quebec police, and the Canadian army.</t>
  </si>
  <si>
    <t>Mohawk community, Canadians</t>
  </si>
  <si>
    <t>Mohawk protestors, Canadian government</t>
  </si>
  <si>
    <t>NAFTA Agreement Signed</t>
  </si>
  <si>
    <t>North American Free Trade Agreement altered trade relations with the U.S. and Mexico.</t>
  </si>
  <si>
    <t>Canadian businesses</t>
  </si>
  <si>
    <t>Brian Mulroney</t>
  </si>
  <si>
    <t>Apology to Residential School Survivors</t>
  </si>
  <si>
    <t>Social Justice</t>
  </si>
  <si>
    <t>Official apology to Indigenous peoples for the residential school system.</t>
  </si>
  <si>
    <t>Indigenous communities</t>
  </si>
  <si>
    <t>Stephen Harper</t>
  </si>
  <si>
    <t>Vancouver Winter Olympics</t>
  </si>
  <si>
    <t>Vancouver</t>
  </si>
  <si>
    <t>Hosted the Winter Olympics, showcasing Canada on the world stage.</t>
  </si>
  <si>
    <t>Athletes, global audience</t>
  </si>
  <si>
    <t>VANOC</t>
  </si>
  <si>
    <t>Legalization of SameUnknownSex Marriage</t>
  </si>
  <si>
    <t>Made Canada the fourth country worldwide to legalize sameUnknownsex marriage.</t>
  </si>
  <si>
    <t>Paul Martin</t>
  </si>
  <si>
    <t>Cannabis Legalization</t>
  </si>
  <si>
    <t>Canada became the second country to legalize the recreational use of cannabis.</t>
  </si>
  <si>
    <t>Canadian adults</t>
  </si>
  <si>
    <t>Justin Trudeau</t>
  </si>
  <si>
    <t>Murdered and Missing Indigenous Women Inquiry</t>
  </si>
  <si>
    <t>National inquiry into the systemic causes of violence against Indigenous women.</t>
  </si>
  <si>
    <t>Ongoing</t>
  </si>
  <si>
    <t>Fort McMurray Wildfire</t>
  </si>
  <si>
    <t>Fort McMurray, AB</t>
  </si>
  <si>
    <t>One of Canada's costliest disasters, leading to massive evacuations.</t>
  </si>
  <si>
    <t>Residents of Fort McMurray</t>
  </si>
  <si>
    <t>Establishment of Nunavut</t>
  </si>
  <si>
    <t>Northern Canada</t>
  </si>
  <si>
    <t>Creation of Nunavut as a territory, acknowledging Inuit selfUnknowngovernance.</t>
  </si>
  <si>
    <t>Inuit population</t>
  </si>
  <si>
    <t>Canadian Government, Inuit leaders</t>
  </si>
  <si>
    <t>Quebec Referendum on Sovereignty</t>
  </si>
  <si>
    <t>Quebec</t>
  </si>
  <si>
    <t>Referendum on Quebec's independence from Canada, narrowly defeated.</t>
  </si>
  <si>
    <t>Quebecers</t>
  </si>
  <si>
    <t>Jacques Parizeau, Lucien Bouchard</t>
  </si>
  <si>
    <t>Charlottetown Accord Referendum</t>
  </si>
  <si>
    <t>Proposed constitutional changes defeated in a national referendum.</t>
  </si>
  <si>
    <t>Brian Mulroney, Provincial Premiers</t>
  </si>
  <si>
    <t>Red River Resistance</t>
  </si>
  <si>
    <t>Red River Colony</t>
  </si>
  <si>
    <t>Led by Métis leader Louis Riel, resisting Canadian authority to maintain Métis rights and culture.</t>
  </si>
  <si>
    <t>Métis, settlers</t>
  </si>
  <si>
    <t>Louis Riel</t>
  </si>
  <si>
    <t>Klondike Gold Rush</t>
  </si>
  <si>
    <t>1896</t>
  </si>
  <si>
    <t>Yukon</t>
  </si>
  <si>
    <t>Attracted thousands of prospectors to the Yukon, significant economic impact.</t>
  </si>
  <si>
    <t>Prospectors, Indigenous peoples</t>
  </si>
  <si>
    <t>Halifax Explosion</t>
  </si>
  <si>
    <t>Disaster</t>
  </si>
  <si>
    <t>Halifax, NS</t>
  </si>
  <si>
    <t>One of the world's largest nonUnknownnuclear explosions, devastating Halifax.</t>
  </si>
  <si>
    <t>Residents of Halifax</t>
  </si>
  <si>
    <t>Internment of Japanese Canadians</t>
  </si>
  <si>
    <t>Civil Rights Violation</t>
  </si>
  <si>
    <t>British Columbia</t>
  </si>
  <si>
    <t>Internment of Japanese Canadians during WWII, violation of civil liberties.</t>
  </si>
  <si>
    <t>Japanese Canadian community</t>
  </si>
  <si>
    <t>Canadian Government</t>
  </si>
  <si>
    <t>Discovery of Oil in Alberta</t>
  </si>
  <si>
    <t>Leduc, Alberta</t>
  </si>
  <si>
    <t>Led to Alberta's oil boom, transforming Canada's energy sector.</t>
  </si>
  <si>
    <t>Canadian economy</t>
  </si>
  <si>
    <t>Imperial Oil</t>
  </si>
  <si>
    <t>Balfour Declaration of 1926</t>
  </si>
  <si>
    <t>London, UK</t>
  </si>
  <si>
    <t>Recognized Canada and other dominions as autonomous within the British Empire.</t>
  </si>
  <si>
    <t>Imperial Conference of 1926</t>
  </si>
  <si>
    <t>Statute of Westminster</t>
  </si>
  <si>
    <t>Gave Canada legislative independence from the UK.</t>
  </si>
  <si>
    <t>Conscription Crisis of 1944</t>
  </si>
  <si>
    <t>1944</t>
  </si>
  <si>
    <t>Deepened the divide between English and French Canadians over WWII conscription.</t>
  </si>
  <si>
    <t>William Lyon Mackenzie King</t>
  </si>
  <si>
    <t>Revolutionized the treatment of diabetes globally.</t>
  </si>
  <si>
    <t>Joining of Newfoundland</t>
  </si>
  <si>
    <t>Newfoundland became Canada's tenth province.</t>
  </si>
  <si>
    <t>Creation of the Canadian Flag</t>
  </si>
  <si>
    <t>Adoption of the red maple leaf flag as the national flag of Canada.</t>
  </si>
  <si>
    <t>Made English and French the official languages of Canada.</t>
  </si>
  <si>
    <t>Patriation of the Canadian Constitution</t>
  </si>
  <si>
    <t>Canada gained full sovereignty with the ability to amend its own constitution.</t>
  </si>
  <si>
    <t>Creation of Nunavut provided a separate territory for the Inuit people.</t>
  </si>
  <si>
    <t>Signing of the Magna Carta</t>
  </si>
  <si>
    <t>1215</t>
  </si>
  <si>
    <t>Runnymede</t>
  </si>
  <si>
    <t>Foundation of constitutional law</t>
  </si>
  <si>
    <t>English society</t>
  </si>
  <si>
    <t>King John of England</t>
  </si>
  <si>
    <t>Establishment of the Church of England</t>
  </si>
  <si>
    <t>1534</t>
  </si>
  <si>
    <t>Religious Reformation</t>
  </si>
  <si>
    <t>Established a national church separate from the Catholic Church</t>
  </si>
  <si>
    <t>English population</t>
  </si>
  <si>
    <t>King Henry VIII</t>
  </si>
  <si>
    <t>Defeat of the Spanish Armada</t>
  </si>
  <si>
    <t>1588</t>
  </si>
  <si>
    <t>English Channel</t>
  </si>
  <si>
    <t>Ensured English naval dominance</t>
  </si>
  <si>
    <t>Queen Elizabeth I</t>
  </si>
  <si>
    <t>Union of the Crowns</t>
  </si>
  <si>
    <t>James VI of Scotland also became James I of England</t>
  </si>
  <si>
    <t xml:space="preserve"> uniting the crowns</t>
  </si>
  <si>
    <t>Scottish and English populations, James VI and I</t>
  </si>
  <si>
    <t>English Civil War Begins</t>
  </si>
  <si>
    <t>1642</t>
  </si>
  <si>
    <t>England</t>
  </si>
  <si>
    <t>Establishment of Parliamentary supremacy over the monarchy</t>
  </si>
  <si>
    <t>King Charles I,  Oliver Cromwell</t>
  </si>
  <si>
    <t>The Restoration of the Monarchy</t>
  </si>
  <si>
    <t>1660</t>
  </si>
  <si>
    <t>Restored the monarchy under Charles II</t>
  </si>
  <si>
    <t>Charles II</t>
  </si>
  <si>
    <t>Act of Union with Scotland</t>
  </si>
  <si>
    <t>1707</t>
  </si>
  <si>
    <t>Union</t>
  </si>
  <si>
    <t>Scotland and England</t>
  </si>
  <si>
    <t>Formed the Kingdom of Great Britain</t>
  </si>
  <si>
    <t>Scottish and English populations</t>
  </si>
  <si>
    <t>Queen Anne</t>
  </si>
  <si>
    <t>Industrial Revolution Begins</t>
  </si>
  <si>
    <t>1760</t>
  </si>
  <si>
    <t>Industrial</t>
  </si>
  <si>
    <t>Initiated industrialization and economic growth</t>
  </si>
  <si>
    <t>British inventors and entrepreneurs</t>
  </si>
  <si>
    <t>Act of Union with Ireland</t>
  </si>
  <si>
    <t>1801</t>
  </si>
  <si>
    <t>United Great Britain and Ireland</t>
  </si>
  <si>
    <t>Creating the United Kingdom</t>
  </si>
  <si>
    <t>Irish and British populations, Parliament of Great Britain and Ireland</t>
  </si>
  <si>
    <t>Battle of Trafalgar</t>
  </si>
  <si>
    <t>1805</t>
  </si>
  <si>
    <t>Trafalgar</t>
  </si>
  <si>
    <t>Ensured British naval supremacy</t>
  </si>
  <si>
    <t>Napoleonic France</t>
  </si>
  <si>
    <t>Admiral Nelson</t>
  </si>
  <si>
    <t>Reform Act 1832</t>
  </si>
  <si>
    <t>1832</t>
  </si>
  <si>
    <t>Parliament</t>
  </si>
  <si>
    <t>Expanded electoral franchise and reformed Parliament</t>
  </si>
  <si>
    <t>British electorate</t>
  </si>
  <si>
    <t>Parliament of the United Kingdom</t>
  </si>
  <si>
    <t>Queen Victoria's Reign Begins</t>
  </si>
  <si>
    <t>1837</t>
  </si>
  <si>
    <t>Monarchical</t>
  </si>
  <si>
    <t>Marked the beginning of the Victorian Era</t>
  </si>
  <si>
    <t>Queen Victoria</t>
  </si>
  <si>
    <t>Publication of Darwin's "On the Origin of Species"</t>
  </si>
  <si>
    <t>1859</t>
  </si>
  <si>
    <t>Laid the foundation of evolutionary biology</t>
  </si>
  <si>
    <t>Charles Darwin</t>
  </si>
  <si>
    <t>Establishment of the Welfare State</t>
  </si>
  <si>
    <t>Introduced the National Health Service and social welfare programs</t>
  </si>
  <si>
    <t>British population</t>
  </si>
  <si>
    <t>UK Government</t>
  </si>
  <si>
    <t>Decolonization Begins</t>
  </si>
  <si>
    <t>Began the process of decolonizing the British Empire</t>
  </si>
  <si>
    <t>Colonial territories</t>
  </si>
  <si>
    <t>Suez Crisis</t>
  </si>
  <si>
    <t>Suez Canal</t>
  </si>
  <si>
    <t>Marked the decline of Britain's imperial power</t>
  </si>
  <si>
    <t>UK and Egypt</t>
  </si>
  <si>
    <t>The Beatles' Rise to Fame</t>
  </si>
  <si>
    <t>Liverpool</t>
  </si>
  <si>
    <t>Global cultural impact through music</t>
  </si>
  <si>
    <t>Worldwide</t>
  </si>
  <si>
    <t>The Beatles</t>
  </si>
  <si>
    <t>Falklands War</t>
  </si>
  <si>
    <t>Falkland Islands</t>
  </si>
  <si>
    <t>Reasserted British control over the Falklands</t>
  </si>
  <si>
    <t>UK and Argentina</t>
  </si>
  <si>
    <t>Good Friday Agreement</t>
  </si>
  <si>
    <t>Northern Ireland</t>
  </si>
  <si>
    <t>Ended most of the violence of the Troubles</t>
  </si>
  <si>
    <t>Northern Irish population</t>
  </si>
  <si>
    <t>UK and Irish Governments</t>
  </si>
  <si>
    <t>Brexit Referendum</t>
  </si>
  <si>
    <t>UK voted to leave the European Union</t>
  </si>
  <si>
    <t>Great Fire of London</t>
  </si>
  <si>
    <t>1666</t>
  </si>
  <si>
    <t>Destruction of much of medieval London</t>
  </si>
  <si>
    <t>London's population</t>
  </si>
  <si>
    <t>Unspecified</t>
  </si>
  <si>
    <t>Abolition of the Slave Trade Act</t>
  </si>
  <si>
    <t>1807</t>
  </si>
  <si>
    <t>Ended British trade in enslaved Africans</t>
  </si>
  <si>
    <t>William Wilberforce</t>
  </si>
  <si>
    <t>First Railway Line Opens</t>
  </si>
  <si>
    <t>1825</t>
  </si>
  <si>
    <t>Transportation</t>
  </si>
  <si>
    <t>Stockton to Darlington</t>
  </si>
  <si>
    <t>Inauguration of the modern railway system</t>
  </si>
  <si>
    <t>George Stephenson</t>
  </si>
  <si>
    <t>Granted voting rights to women over 30</t>
  </si>
  <si>
    <t>British women</t>
  </si>
  <si>
    <t>Battle of Britain</t>
  </si>
  <si>
    <t>Skies over Britain</t>
  </si>
  <si>
    <t>Key WWII air battle ensuring UK's defense</t>
  </si>
  <si>
    <t>Winston Churchill</t>
  </si>
  <si>
    <t>National Health Service Established</t>
  </si>
  <si>
    <t>Creation of publicly funded healthcare system</t>
  </si>
  <si>
    <t>Clement Attlee</t>
  </si>
  <si>
    <t>First Human DNA Sequencing</t>
  </si>
  <si>
    <t>Aldermaston</t>
  </si>
  <si>
    <t>Significant advancement in genetics and medicine</t>
  </si>
  <si>
    <t>Frederick Sanger</t>
  </si>
  <si>
    <t>Scottish Devolution Referendum</t>
  </si>
  <si>
    <t>Scotland</t>
  </si>
  <si>
    <t>Established a devolved Scottish Parliament</t>
  </si>
  <si>
    <t>Scottish population</t>
  </si>
  <si>
    <t>London Underground Bombings</t>
  </si>
  <si>
    <t>Major terrorist attack on public transport</t>
  </si>
  <si>
    <t>Islamist terrorists</t>
  </si>
  <si>
    <t>2012 London Olympics</t>
  </si>
  <si>
    <t>Sporting Event</t>
  </si>
  <si>
    <t>Showcased UK on global stage and boosted economy</t>
  </si>
  <si>
    <t>UK and global visitors</t>
  </si>
  <si>
    <t>International Olympic Committee</t>
  </si>
  <si>
    <t>SameUnknownSex Marriage Legalized</t>
  </si>
  <si>
    <t>Legalization of sameUnknownsex marriage in England and Wales</t>
  </si>
  <si>
    <t>British LGBTQ+ community</t>
  </si>
  <si>
    <t>Scottish Independence Referendum</t>
  </si>
  <si>
    <t>Scotland voted to remain in the UK</t>
  </si>
  <si>
    <t>Scottish Government</t>
  </si>
  <si>
    <t>Grenfell Tower Fire</t>
  </si>
  <si>
    <t>Deadly fire causing significant loss of life and raising safety concerns</t>
  </si>
  <si>
    <t>Local authorities</t>
  </si>
  <si>
    <t>COVIDUnknown19 Pandemic in the UK</t>
  </si>
  <si>
    <t>Health</t>
  </si>
  <si>
    <t>London and nationwide</t>
  </si>
  <si>
    <t>Significant impact on public health and economy</t>
  </si>
  <si>
    <t>Prince Philip's Death</t>
  </si>
  <si>
    <t>Royal Event</t>
  </si>
  <si>
    <t>Windsor</t>
  </si>
  <si>
    <t>Marked the end of an era in the British monarchy</t>
  </si>
  <si>
    <t>Royal Family</t>
  </si>
  <si>
    <t>Introduction of the Penny Post</t>
  </si>
  <si>
    <t>Innovation</t>
  </si>
  <si>
    <t>Revolutionized the postal system</t>
  </si>
  <si>
    <t>Sir Rowland Hill</t>
  </si>
  <si>
    <t>First Television Broadcast by BBC</t>
  </si>
  <si>
    <t>Media</t>
  </si>
  <si>
    <t>Beginning of television broadcasting</t>
  </si>
  <si>
    <t>BBC</t>
  </si>
  <si>
    <t>Signing of the AngloUnknownIrish Treaty</t>
  </si>
  <si>
    <t>Political Agreement</t>
  </si>
  <si>
    <t>Established the Irish Free State and ended the Irish War of Independence</t>
  </si>
  <si>
    <t>Irish population</t>
  </si>
  <si>
    <t>Creation of the Commonwealth of Nations</t>
  </si>
  <si>
    <t>Formation of an intergovernmental organization of former British colonies</t>
  </si>
  <si>
    <t>Start of the Hundred Years' War</t>
  </si>
  <si>
    <t>1337</t>
  </si>
  <si>
    <t>France</t>
  </si>
  <si>
    <t>Long conflict between England and France</t>
  </si>
  <si>
    <t>English and French populations</t>
  </si>
  <si>
    <t>English and French monarchies</t>
  </si>
  <si>
    <t>The Glorious Revolution</t>
  </si>
  <si>
    <t>1688</t>
  </si>
  <si>
    <t>Established constitutional monarchy in England</t>
  </si>
  <si>
    <t>William of Orange</t>
  </si>
  <si>
    <t>Battle of Waterloo</t>
  </si>
  <si>
    <t>1815</t>
  </si>
  <si>
    <t>Waterloo</t>
  </si>
  <si>
    <t>Defeat of Napoleon and end of the Napoleonic Wars</t>
  </si>
  <si>
    <t>British and allied armies</t>
  </si>
  <si>
    <t>Duke of Wellington</t>
  </si>
  <si>
    <t>Chartist Movement</t>
  </si>
  <si>
    <t>Demand for political reforms and workers' rights</t>
  </si>
  <si>
    <t>WorkingUnknownclass population</t>
  </si>
  <si>
    <t>Chartist leaders</t>
  </si>
  <si>
    <t>Discovery of Penicillin</t>
  </si>
  <si>
    <t>St Mary's Hospital</t>
  </si>
  <si>
    <t>Revolutionized medicine and treatment of bacterial infections</t>
  </si>
  <si>
    <t>British Exit from the European Exchange Rate Mechanism</t>
  </si>
  <si>
    <t>'Black Wednesday' financial crisis</t>
  </si>
  <si>
    <t>British economy</t>
  </si>
  <si>
    <t>Queen Elizabeth II's Coronation</t>
  </si>
  <si>
    <t>Westminster Abbey</t>
  </si>
  <si>
    <t>Beginning of the second Elizabethan era</t>
  </si>
  <si>
    <t>Queen Elizabeth II</t>
  </si>
  <si>
    <t>First Cloned Mammal Unknown Dolly the Sheep</t>
  </si>
  <si>
    <t>Roslin Institute</t>
  </si>
  <si>
    <t>Advancement in cloning technology</t>
  </si>
  <si>
    <t>Ian Wilmut and team</t>
  </si>
  <si>
    <t>UK Hosts the G8 Summit</t>
  </si>
  <si>
    <t>International Politics</t>
  </si>
  <si>
    <t>Gleneagles</t>
  </si>
  <si>
    <t>Focus on climate change and Africa's development</t>
  </si>
  <si>
    <t>Global leaders</t>
  </si>
  <si>
    <t>Theresa May becomes Prime Minister</t>
  </si>
  <si>
    <t>Second female Prime Minister in UK history</t>
  </si>
  <si>
    <t>Conservative Party</t>
  </si>
  <si>
    <t>UK Authorizes COVIDUnknown19 Vaccine</t>
  </si>
  <si>
    <t>First country to authorize a COVIDUnknown19 vaccine for emergency use</t>
  </si>
  <si>
    <t>British and global populations</t>
  </si>
  <si>
    <t>Stonehenge Completion</t>
  </si>
  <si>
    <t>2500 BC</t>
  </si>
  <si>
    <t>Prehistoric Monument</t>
  </si>
  <si>
    <t>Salisbury Plain</t>
  </si>
  <si>
    <t>Creation of iconic Neolithic monument</t>
  </si>
  <si>
    <t>Ancient Britons</t>
  </si>
  <si>
    <t>Neolithic builders</t>
  </si>
  <si>
    <t>First English Parliament</t>
  </si>
  <si>
    <t>1265</t>
  </si>
  <si>
    <t>Oxford</t>
  </si>
  <si>
    <t>Formation of the first English Parliament</t>
  </si>
  <si>
    <t>English nobility</t>
  </si>
  <si>
    <t>Simon de Montfort</t>
  </si>
  <si>
    <t>Battle of Agincourt</t>
  </si>
  <si>
    <t>1415</t>
  </si>
  <si>
    <t>Agincourt</t>
  </si>
  <si>
    <t>Decisive English victory in the Hundred Years' War</t>
  </si>
  <si>
    <t>English and French armies</t>
  </si>
  <si>
    <t>Henry V</t>
  </si>
  <si>
    <t>The Plague (Black Death) Arrives in England</t>
  </si>
  <si>
    <t>1348</t>
  </si>
  <si>
    <t>Devastating epidemic that significantly reduced the population</t>
  </si>
  <si>
    <t>The Armada Portrait of Elizabeth I</t>
  </si>
  <si>
    <t>Symbolized English victory over the Spanish Armada</t>
  </si>
  <si>
    <t>Elizabeth I</t>
  </si>
  <si>
    <t>Act of Supremacy</t>
  </si>
  <si>
    <t>Confirmed the King's status as head of the Church of England</t>
  </si>
  <si>
    <t>English Church</t>
  </si>
  <si>
    <t>Henry VIII</t>
  </si>
  <si>
    <t>Bloody Sunday in Northern Ireland</t>
  </si>
  <si>
    <t>Derry</t>
  </si>
  <si>
    <t>Civil rights protest turned deadly</t>
  </si>
  <si>
    <t>Northern Irish civilians</t>
  </si>
  <si>
    <t>The Big Freeze of 1963</t>
  </si>
  <si>
    <t>Natural Event</t>
  </si>
  <si>
    <t>One of the coldest winters on record</t>
  </si>
  <si>
    <t>Weather conditions</t>
  </si>
  <si>
    <t>UK Hosts the First Rugby World Cup</t>
  </si>
  <si>
    <t>Inaugural Rugby World Cup</t>
  </si>
  <si>
    <t>International rugby fans</t>
  </si>
  <si>
    <t>Rugby Football Union</t>
  </si>
  <si>
    <t>Battle of Tours</t>
  </si>
  <si>
    <t>732</t>
  </si>
  <si>
    <t>Tours</t>
  </si>
  <si>
    <t>Christian Franks defeat Muslim forces  halting the advance of Islam into Western Europe</t>
  </si>
  <si>
    <t>European Christians</t>
  </si>
  <si>
    <t>Charles Martel</t>
  </si>
  <si>
    <t>Signing of the Treaty of Verdun</t>
  </si>
  <si>
    <t>843</t>
  </si>
  <si>
    <t>Treaty</t>
  </si>
  <si>
    <t>Verdun</t>
  </si>
  <si>
    <t>Division of the Carolingian Empire among Charlemagne's grandsons  leading to the formation of modern European states</t>
  </si>
  <si>
    <t>Carolingian heirs</t>
  </si>
  <si>
    <t>Louis the Pious' sons</t>
  </si>
  <si>
    <t>Coronation of Charlemagne as Holy Roman Emperor</t>
  </si>
  <si>
    <t>800</t>
  </si>
  <si>
    <t>Coronation</t>
  </si>
  <si>
    <t>Rome</t>
  </si>
  <si>
    <t>Establishment of the Holy Roman Empire</t>
  </si>
  <si>
    <t>Charlemagne</t>
  </si>
  <si>
    <t>Launch of the First Crusade</t>
  </si>
  <si>
    <t>1095</t>
  </si>
  <si>
    <t>Crusade</t>
  </si>
  <si>
    <t>Clermont</t>
  </si>
  <si>
    <t>Initiation of the Crusades to the Holy Land</t>
  </si>
  <si>
    <t>Pope Urban II</t>
  </si>
  <si>
    <t>Establishment of the University of Paris</t>
  </si>
  <si>
    <t>1150</t>
  </si>
  <si>
    <t>Foundation of one of the first universities in Europe</t>
  </si>
  <si>
    <t>European scholars</t>
  </si>
  <si>
    <t>King Louis VII</t>
  </si>
  <si>
    <t>Joan of Arc lifts the Siege of Orléans</t>
  </si>
  <si>
    <t>1429</t>
  </si>
  <si>
    <t>Orléans</t>
  </si>
  <si>
    <t>Major turning point in the Hundred Years' War</t>
  </si>
  <si>
    <t>French population</t>
  </si>
  <si>
    <t>Joan of Arc</t>
  </si>
  <si>
    <t>End of the Hundred Years' War</t>
  </si>
  <si>
    <t>1453</t>
  </si>
  <si>
    <t>France regains territories ending English territorial presence in France</t>
  </si>
  <si>
    <t>French monarchy</t>
  </si>
  <si>
    <t>Beginning of the French Renaissance</t>
  </si>
  <si>
    <t>1495</t>
  </si>
  <si>
    <t>Revival of arts, science  and culture inspired by Classical antiquity</t>
  </si>
  <si>
    <t>French society</t>
  </si>
  <si>
    <t>French monarchs</t>
  </si>
  <si>
    <t>Publication of the Edict of Nantes</t>
  </si>
  <si>
    <t>Nantes</t>
  </si>
  <si>
    <t>Grant of religious freedom to Huguenots reducing religious conflicts</t>
  </si>
  <si>
    <t>French Huguenots</t>
  </si>
  <si>
    <t>Henry IV</t>
  </si>
  <si>
    <t>Start of the French Revolution</t>
  </si>
  <si>
    <t>1789</t>
  </si>
  <si>
    <t>Beginning of the end of monarchy and rise of the Republic</t>
  </si>
  <si>
    <t>Execution of Louis XVI</t>
  </si>
  <si>
    <t>1793</t>
  </si>
  <si>
    <t>Execution</t>
  </si>
  <si>
    <t>Symbolic end of absolute monarchy and start of the Republic</t>
  </si>
  <si>
    <t>Revolutionary government</t>
  </si>
  <si>
    <t>Napoleon Bonaparte's Coup d'Etat</t>
  </si>
  <si>
    <t>1799</t>
  </si>
  <si>
    <t>Establishment of the Consulate  ending the French Revolution</t>
  </si>
  <si>
    <t>Napoleon Bonaparte</t>
  </si>
  <si>
    <t>Napoleonic Code Enacted</t>
  </si>
  <si>
    <t>Foundation of modern legal systems in many countries</t>
  </si>
  <si>
    <t>FrancoUnknownPrussian War</t>
  </si>
  <si>
    <t>Lead to the fall of the Second Empire and the establishment of the Third Republic</t>
  </si>
  <si>
    <t>Establishment of the Fifth Republic</t>
  </si>
  <si>
    <t>New constitution and government structure strengthening presidential power</t>
  </si>
  <si>
    <t>Charles de Gaulle</t>
  </si>
  <si>
    <t>May 1968 Protests</t>
  </si>
  <si>
    <t>Major social upheaval challenging traditional institutions</t>
  </si>
  <si>
    <t>French students and workers</t>
  </si>
  <si>
    <t>Student and worker unions</t>
  </si>
  <si>
    <t>Legalization of sameUnknownsex marriage in France</t>
  </si>
  <si>
    <t>French LGBTQ+ community</t>
  </si>
  <si>
    <t>French Government</t>
  </si>
  <si>
    <t>NotreUnknownDame de Paris Fire</t>
  </si>
  <si>
    <t>Destruction and damage to a historic landmark</t>
  </si>
  <si>
    <t>Global and French population</t>
  </si>
  <si>
    <t>Yellow Vest Protests</t>
  </si>
  <si>
    <t>Protests</t>
  </si>
  <si>
    <t>Nationwide protests against fuel taxes and economic inequality</t>
  </si>
  <si>
    <t>France Wins the 2018 FIFA World Cup</t>
  </si>
  <si>
    <t>Sport</t>
  </si>
  <si>
    <t>Second World Cup win boosting national pride</t>
  </si>
  <si>
    <t>French national football team</t>
  </si>
  <si>
    <t>Significant English victory in the Hundred Years' War</t>
  </si>
  <si>
    <t>French Revolution Begins</t>
  </si>
  <si>
    <t>Overthrow of the monarchy and rise of democratic ideals</t>
  </si>
  <si>
    <t>Louis XVI Executed</t>
  </si>
  <si>
    <t>End of the monarchy and start of the French Republic</t>
  </si>
  <si>
    <t>Reign of Terror Begins</t>
  </si>
  <si>
    <t>Period of extreme violence and political purges</t>
  </si>
  <si>
    <t>Committee of Public Safety</t>
  </si>
  <si>
    <t>Napoleon Crowned Emperor</t>
  </si>
  <si>
    <t>Establishment of the First French Empire</t>
  </si>
  <si>
    <t>End of Napoleonic Wars</t>
  </si>
  <si>
    <t>Defeat of Napoleon and restoration of European monarchies</t>
  </si>
  <si>
    <t>European population</t>
  </si>
  <si>
    <t>Allied forces</t>
  </si>
  <si>
    <t>Second French Empire Declared</t>
  </si>
  <si>
    <t>Establishment of the empire under Napoleon III</t>
  </si>
  <si>
    <t>Paris Commune</t>
  </si>
  <si>
    <t>Revolutionary government in Paris following FrancoUnknownPrussian War</t>
  </si>
  <si>
    <t>Parisians</t>
  </si>
  <si>
    <t>Communards</t>
  </si>
  <si>
    <t>Dreyfus Affair</t>
  </si>
  <si>
    <t>Wrongful conviction for treason exposing antiUnknownSemitism and political division</t>
  </si>
  <si>
    <t>Alfred Dreyfus</t>
  </si>
  <si>
    <t>Women Gain the Right to Vote</t>
  </si>
  <si>
    <t>Women's suffrage achieved</t>
  </si>
  <si>
    <t>French women</t>
  </si>
  <si>
    <t>Charles de Gaulle's provisional government</t>
  </si>
  <si>
    <t>Signing of the Treaty of Rome</t>
  </si>
  <si>
    <t>Foundation of the European Economic Community</t>
  </si>
  <si>
    <t>European populations</t>
  </si>
  <si>
    <t>EEC founding members</t>
  </si>
  <si>
    <t>May 1968 Student Protests</t>
  </si>
  <si>
    <t>Major social and political upheaval</t>
  </si>
  <si>
    <t>Student and labor unions</t>
  </si>
  <si>
    <t>Introduction of the Euro</t>
  </si>
  <si>
    <t>Adoption of the Euro as currency</t>
  </si>
  <si>
    <t>European Union members</t>
  </si>
  <si>
    <t>France Bans Smoking in Public Places</t>
  </si>
  <si>
    <t>Public health measure to reduce smoking</t>
  </si>
  <si>
    <t>Rise of the Roman Republic</t>
  </si>
  <si>
    <t>509</t>
  </si>
  <si>
    <t>Italy</t>
  </si>
  <si>
    <t>End of Roman Kingdom and establishment of the republic</t>
  </si>
  <si>
    <t>Roman population</t>
  </si>
  <si>
    <t>Republican leaders</t>
  </si>
  <si>
    <t>Punic Wars Begin</t>
  </si>
  <si>
    <t>264</t>
  </si>
  <si>
    <t>Conflict between Rome and Carthage for control of the Mediterranean</t>
  </si>
  <si>
    <t>Roman and Carthaginian populations</t>
  </si>
  <si>
    <t>Roman and Carthaginian states</t>
  </si>
  <si>
    <t>Fall of the Western Roman Empire</t>
  </si>
  <si>
    <t>476</t>
  </si>
  <si>
    <t>Empire Fall</t>
  </si>
  <si>
    <t>End of the Western Roman Empire and beginning of the Middle Ages</t>
  </si>
  <si>
    <t>Odoacer</t>
  </si>
  <si>
    <t>Crowning of Charlemagne</t>
  </si>
  <si>
    <t>First Crusade Announced</t>
  </si>
  <si>
    <t>Religious War</t>
  </si>
  <si>
    <t>Clermont (announced)</t>
  </si>
  <si>
    <t>Signing of the Treaty of Lodi</t>
  </si>
  <si>
    <t>1454</t>
  </si>
  <si>
    <t>Lodi</t>
  </si>
  <si>
    <t>Established a balance of power among Italian cityUnknownstates</t>
  </si>
  <si>
    <t>Italian cityUnknownstates</t>
  </si>
  <si>
    <t>Italian rulers</t>
  </si>
  <si>
    <t>Fall of Constantinople</t>
  </si>
  <si>
    <t>Conquest</t>
  </si>
  <si>
    <t>Constantinople (Impact on Italy)</t>
  </si>
  <si>
    <t>Sparked the Renaissance through the migration of Greek scholars to Italy</t>
  </si>
  <si>
    <t>Leonardo da Vinci Completes the Mona Lisa</t>
  </si>
  <si>
    <t>1503</t>
  </si>
  <si>
    <t>Artistic Achievement</t>
  </si>
  <si>
    <t>Florence</t>
  </si>
  <si>
    <t>Creation of one of the most famous paintings in history</t>
  </si>
  <si>
    <t>Leonardo da Vinci</t>
  </si>
  <si>
    <t>Sack of Rome</t>
  </si>
  <si>
    <t>1527</t>
  </si>
  <si>
    <t>Military Sack</t>
  </si>
  <si>
    <t>End of the Renaissance in Rome</t>
  </si>
  <si>
    <t>Charles V's troops</t>
  </si>
  <si>
    <t>Galileo Galilei's Telescope Presentation</t>
  </si>
  <si>
    <t>1609</t>
  </si>
  <si>
    <t>Scientific Achievement</t>
  </si>
  <si>
    <t>Venice</t>
  </si>
  <si>
    <t>Revolution in astronomical observations</t>
  </si>
  <si>
    <t>Galileo Galilei</t>
  </si>
  <si>
    <t>Treaty of Utrecht Ends the War of Spanish Succession</t>
  </si>
  <si>
    <t>1713</t>
  </si>
  <si>
    <t>Utrecht (Impact on Italy)</t>
  </si>
  <si>
    <t>Redefined European power balance</t>
  </si>
  <si>
    <t>Italian states among others</t>
  </si>
  <si>
    <t>European powers</t>
  </si>
  <si>
    <t>Unification of Italy Proclaimed</t>
  </si>
  <si>
    <t>Unification</t>
  </si>
  <si>
    <t>Turin</t>
  </si>
  <si>
    <t>Establishment of the Kingdom of Italy</t>
  </si>
  <si>
    <t>Italian population</t>
  </si>
  <si>
    <t>Victor Emmanuel II</t>
  </si>
  <si>
    <t>Mussolini's March on Rome</t>
  </si>
  <si>
    <t>Coup</t>
  </si>
  <si>
    <t>Fascist takeover of Italy</t>
  </si>
  <si>
    <t>Benito Mussolini</t>
  </si>
  <si>
    <t>Signing of the Lateran Treaty</t>
  </si>
  <si>
    <t>Establishment of Vatican City as an independent state</t>
  </si>
  <si>
    <t>Italian population and the Catholic Church</t>
  </si>
  <si>
    <t>Benito Mussolini and Pope Pius XI</t>
  </si>
  <si>
    <t>Italy Enters World War II</t>
  </si>
  <si>
    <t>War Declaration</t>
  </si>
  <si>
    <t>Alliance with Germany and Japan</t>
  </si>
  <si>
    <t>Fall of Mussolini</t>
  </si>
  <si>
    <t>Ouster of Benito Mussolini from power</t>
  </si>
  <si>
    <t>King Victor Emmanuel III</t>
  </si>
  <si>
    <t>Italian Republic Established</t>
  </si>
  <si>
    <t>Referendum</t>
  </si>
  <si>
    <t>End of the monarchy and establishment of a republic</t>
  </si>
  <si>
    <t>Italian voters</t>
  </si>
  <si>
    <t>Founding of the European Economic Community</t>
  </si>
  <si>
    <t>Italy and other founding members</t>
  </si>
  <si>
    <t>Flooding of the Arno River</t>
  </si>
  <si>
    <t>Severe damage to art and cultural heritage</t>
  </si>
  <si>
    <t>Florence population</t>
  </si>
  <si>
    <t>Nature</t>
  </si>
  <si>
    <t>Aldo Moro Kidnapping and Murder</t>
  </si>
  <si>
    <t>Political turmoil and violence</t>
  </si>
  <si>
    <t>Red Brigades</t>
  </si>
  <si>
    <t>Mani Pulite (Clean Hands) Investigation Begins</t>
  </si>
  <si>
    <t>Corruption Investigation</t>
  </si>
  <si>
    <t>Milan</t>
  </si>
  <si>
    <t>Exposure of widespread political corruption</t>
  </si>
  <si>
    <t>Italian political class</t>
  </si>
  <si>
    <t>Italian judiciary</t>
  </si>
  <si>
    <t>Berlusconi Elected Prime Minister</t>
  </si>
  <si>
    <t>Shift in Italian politics and media landscape</t>
  </si>
  <si>
    <t>Silvio Berlusconi</t>
  </si>
  <si>
    <t>2006 Winter Olympics in Turin</t>
  </si>
  <si>
    <t>Showcased Italy on a global stage</t>
  </si>
  <si>
    <t>Global and Italian populations</t>
  </si>
  <si>
    <t>L'Aquila Earthquake</t>
  </si>
  <si>
    <t>L'Aquila</t>
  </si>
  <si>
    <t>Significant loss of life and damage to heritage sites</t>
  </si>
  <si>
    <t>L'Aquila population</t>
  </si>
  <si>
    <t>Costa Concordia Shipwreck</t>
  </si>
  <si>
    <t>Maritime Disaster</t>
  </si>
  <si>
    <t>Giglio Island</t>
  </si>
  <si>
    <t>Loss of lives and environmental impact</t>
  </si>
  <si>
    <t>Cruise passengers and crew</t>
  </si>
  <si>
    <t>Captain Francesco Schettino</t>
  </si>
  <si>
    <t>Expo 2015 in Milan</t>
  </si>
  <si>
    <t>World Expo</t>
  </si>
  <si>
    <t>Global cultural and technological exhibition</t>
  </si>
  <si>
    <t>International Exhibitions Bureau</t>
  </si>
  <si>
    <t>Funding of Christopher Columbus' Voyage</t>
  </si>
  <si>
    <t>1492</t>
  </si>
  <si>
    <t>Spain</t>
  </si>
  <si>
    <t>Discovery</t>
  </si>
  <si>
    <t>Atlantic Ocean</t>
  </si>
  <si>
    <t>Discovery of the New World</t>
  </si>
  <si>
    <t>Indigenous peoples of the Americas</t>
  </si>
  <si>
    <t>Spanish Monarchy (Isabella I and Ferdinand II)</t>
  </si>
  <si>
    <t>Reconquista Completion</t>
  </si>
  <si>
    <t>Military/Religious Campaign</t>
  </si>
  <si>
    <t>Granada</t>
  </si>
  <si>
    <t>End of Muslim rule in the Iberian Peninsula</t>
  </si>
  <si>
    <t>Muslims and Christians in Iberian Peninsula</t>
  </si>
  <si>
    <t>Catholic Monarchs (Isabella I and Ferdinand II)</t>
  </si>
  <si>
    <t>Spanish Armada</t>
  </si>
  <si>
    <t>Naval Engagement</t>
  </si>
  <si>
    <t>Failed attempt to invade England</t>
  </si>
  <si>
    <t>Spanish and English navies</t>
  </si>
  <si>
    <t>Philip II of Spain</t>
  </si>
  <si>
    <t>Treaty of the Pyrenees</t>
  </si>
  <si>
    <t>1659</t>
  </si>
  <si>
    <t>Peace Treaty</t>
  </si>
  <si>
    <t>Pyrenees</t>
  </si>
  <si>
    <t>Marked the end of the FrancoUnknownSpanish War (1635–1659)</t>
  </si>
  <si>
    <t>France and Spain</t>
  </si>
  <si>
    <t>Philip IV of Spain and Louis XIV of France</t>
  </si>
  <si>
    <t>War of Spanish Succession</t>
  </si>
  <si>
    <t>1701</t>
  </si>
  <si>
    <t>Established the Bourbon dynasty in Spain</t>
  </si>
  <si>
    <t>European Powers</t>
  </si>
  <si>
    <t>Charles II of Spain</t>
  </si>
  <si>
    <t>Establishment of the Spanish Inquisition</t>
  </si>
  <si>
    <t>1478</t>
  </si>
  <si>
    <t>Religious/Court</t>
  </si>
  <si>
    <t>Enforcement of Catholic orthodoxy; persecution of Jews, Muslims, and heretics</t>
  </si>
  <si>
    <t>Religious minorities</t>
  </si>
  <si>
    <t>Fall of the Spanish Empire</t>
  </si>
  <si>
    <t>Caribbean, Pacific</t>
  </si>
  <si>
    <t>Loss of last major overseas colonies; end of Spanish imperial era</t>
  </si>
  <si>
    <t>Spanish Empire, colonies</t>
  </si>
  <si>
    <t>Spanish Government</t>
  </si>
  <si>
    <t>Spanish Civil War</t>
  </si>
  <si>
    <t>Establishment of Francoist dictatorship</t>
  </si>
  <si>
    <t>Spanish population</t>
  </si>
  <si>
    <t>Francisco Franco, Republican Government</t>
  </si>
  <si>
    <t>Transition to Democracy</t>
  </si>
  <si>
    <t>Political Transition</t>
  </si>
  <si>
    <t>Transition from dictatorship to democracy</t>
  </si>
  <si>
    <t>Juan Carlos I of Spain</t>
  </si>
  <si>
    <t>2004 Madrid Train Bombings</t>
  </si>
  <si>
    <t>Madrid</t>
  </si>
  <si>
    <t>Citizens of Madrid</t>
  </si>
  <si>
    <t>Terrorist groups</t>
  </si>
  <si>
    <t>Spain/USA</t>
  </si>
  <si>
    <t>Cuba, Philippines, Puerto Rico, Guam</t>
  </si>
  <si>
    <t>Spain loses its last colonies in the Americas and Asia</t>
  </si>
  <si>
    <t>Spanish and American populations</t>
  </si>
  <si>
    <t>Spanish Government, US Government</t>
  </si>
  <si>
    <t>Entry into the European Union</t>
  </si>
  <si>
    <t>Political/Economic Integration</t>
  </si>
  <si>
    <t>Boosted economic growth and integration into European community</t>
  </si>
  <si>
    <t>Discovery of the Americas</t>
  </si>
  <si>
    <t>Americas</t>
  </si>
  <si>
    <t>Opened the New World to European colonization</t>
  </si>
  <si>
    <t>Indigenous peoples of the Americas, Europeans</t>
  </si>
  <si>
    <t>Christopher Columbus, Spanish Monarchy</t>
  </si>
  <si>
    <t>Expulsion of the Jews</t>
  </si>
  <si>
    <t>Religious/Political</t>
  </si>
  <si>
    <t>Forced conversion, departure, or death of thousands of Jews</t>
  </si>
  <si>
    <t>Jewish population</t>
  </si>
  <si>
    <t>Naval Battle</t>
  </si>
  <si>
    <t>Atlantic Ocean near Cape Trafalgar</t>
  </si>
  <si>
    <t>Decisive British victory that ended Napoleon's plans to invade Britain</t>
  </si>
  <si>
    <t>Spanish and French Navies</t>
  </si>
  <si>
    <t>FrancoUnknownSpanish fleet, British Navy</t>
  </si>
  <si>
    <t>Union of Castile and Aragon</t>
  </si>
  <si>
    <t>1469</t>
  </si>
  <si>
    <t>Dynastic Union</t>
  </si>
  <si>
    <t>Unified the crowns of Castile and Aragon</t>
  </si>
  <si>
    <t>Spanish Kingdoms</t>
  </si>
  <si>
    <t>Isabella I of Castile and Ferdinand II of Aragon</t>
  </si>
  <si>
    <t>The Spanish Golden Age</t>
  </si>
  <si>
    <t>Cultural Flourishing</t>
  </si>
  <si>
    <t>Flourishing of arts and literature</t>
  </si>
  <si>
    <t>Spanish Monarchy</t>
  </si>
  <si>
    <t>War of the Spanish Succession</t>
  </si>
  <si>
    <t>Charles II, Philip V of Spain</t>
  </si>
  <si>
    <t>Signing of the Treaty of Utrecht</t>
  </si>
  <si>
    <t>Utrecht</t>
  </si>
  <si>
    <t>Ended the War of the Spanish Succession</t>
  </si>
  <si>
    <t>Philip V of Spain, European powers</t>
  </si>
  <si>
    <t>Peninsular War</t>
  </si>
  <si>
    <t>1808</t>
  </si>
  <si>
    <t>Iberian Peninsula</t>
  </si>
  <si>
    <t>Weakened Spanish control, rise of national sentiment</t>
  </si>
  <si>
    <t>Napoleon Bonaparte, Spanish guerrillas</t>
  </si>
  <si>
    <t>Spanish Constitution of 1812</t>
  </si>
  <si>
    <t>Cadiz</t>
  </si>
  <si>
    <t>Liberal constitution, shortUnknownlived reforms</t>
  </si>
  <si>
    <t>Spanish Cortes of Cádiz</t>
  </si>
  <si>
    <t>Colonial War</t>
  </si>
  <si>
    <t>Loss of last major overseas colonies</t>
  </si>
  <si>
    <t>Spanish Empire, local populations</t>
  </si>
  <si>
    <t>Francoist Spain</t>
  </si>
  <si>
    <t>Dictatorship</t>
  </si>
  <si>
    <t>Establishment of a dictatorship</t>
  </si>
  <si>
    <t>Francisco Franco</t>
  </si>
  <si>
    <t>Spanish Transition to Democracy</t>
  </si>
  <si>
    <t>Adolfo Suárez, Juan Carlos I</t>
  </si>
  <si>
    <t>Barcelona Olympics</t>
  </si>
  <si>
    <t>International Event</t>
  </si>
  <si>
    <t>Barcelona</t>
  </si>
  <si>
    <t>Showcased Spain on the global stage</t>
  </si>
  <si>
    <t>International, Spanish population</t>
  </si>
  <si>
    <t>International Olympic Committee, Spanish Government</t>
  </si>
  <si>
    <t>AntiUnknownterrorism Pact</t>
  </si>
  <si>
    <t>Bipartisan effort against ETA terrorism</t>
  </si>
  <si>
    <t>Spanish political parties</t>
  </si>
  <si>
    <t>Financial Crisis Impact</t>
  </si>
  <si>
    <t>Severe economic downturn, unemployment rise</t>
  </si>
  <si>
    <t>Global Financial Crisis</t>
  </si>
  <si>
    <t>Catalan Independence Referendum</t>
  </si>
  <si>
    <t>Political/Secession</t>
  </si>
  <si>
    <t>Catalonia</t>
  </si>
  <si>
    <t>Intensified national debate on regional independence</t>
  </si>
  <si>
    <t>Catalan population, Spanish population</t>
  </si>
  <si>
    <t>Catalan Government, Spanish Government</t>
  </si>
  <si>
    <t>Women's Rights March</t>
  </si>
  <si>
    <t>Largest feminist demonstration in Spanish history</t>
  </si>
  <si>
    <t>Spanish population, especially women</t>
  </si>
  <si>
    <t>Women's rights organizations</t>
  </si>
  <si>
    <t>Exhumation of Francisco Franco</t>
  </si>
  <si>
    <t>Historical Reconciliation</t>
  </si>
  <si>
    <t>Valle de los Caídos</t>
  </si>
  <si>
    <t>Addressed historical memory issues</t>
  </si>
  <si>
    <t>Madrid's Bid for 2020 Olympics</t>
  </si>
  <si>
    <t>Boosted city's infrastructure and global image, despite not winning the bid</t>
  </si>
  <si>
    <t>Madrid's population, International</t>
  </si>
  <si>
    <t>Spanish Government, IOC</t>
  </si>
  <si>
    <t>Approval of SameUnknownSex Marriage</t>
  </si>
  <si>
    <t>Made Spain one of the first countries to legalize sameUnknownsex marriage</t>
  </si>
  <si>
    <t>LGBTQ+ community, Spanish population</t>
  </si>
  <si>
    <t>ETA's Permanent Ceasefire</t>
  </si>
  <si>
    <t>Peace/Security</t>
  </si>
  <si>
    <t>Basque Country</t>
  </si>
  <si>
    <t>End of ETA's armed campaign for Basque independence</t>
  </si>
  <si>
    <t>Basque population, Spanish population</t>
  </si>
  <si>
    <t>ETA, Spanish Government</t>
  </si>
  <si>
    <t>Austerity Measures During Crisis</t>
  </si>
  <si>
    <t>Addressed economic crisis, led to social unrest</t>
  </si>
  <si>
    <t>Spanish Government, EU</t>
  </si>
  <si>
    <t>NoUnknownConfidence Vote Against Rajoy</t>
  </si>
  <si>
    <t>Led to the fall of Rajoy's government, Pedro Sánchez becomes Prime Minister</t>
  </si>
  <si>
    <t>Spanish Parliament</t>
  </si>
  <si>
    <t>Discovery of Altamira Cave Paintings</t>
  </si>
  <si>
    <t>1879</t>
  </si>
  <si>
    <t>Archaeological Discovery</t>
  </si>
  <si>
    <t>Altamira</t>
  </si>
  <si>
    <t>Revealed prehistoric human presence in Europe</t>
  </si>
  <si>
    <t>Academic community, worldwide</t>
  </si>
  <si>
    <t>Marcelino Sanz de Sautuola</t>
  </si>
  <si>
    <t>Spanish Flu Pandemic</t>
  </si>
  <si>
    <t>One of the deadliest pandemics in human history</t>
  </si>
  <si>
    <t>H1N1 influenza virus</t>
  </si>
  <si>
    <t>Alhambra Decree</t>
  </si>
  <si>
    <t>Religious Policy</t>
  </si>
  <si>
    <t>Expulsion of the Jews from Spain</t>
  </si>
  <si>
    <t>Jewish population in Spain</t>
  </si>
  <si>
    <t>Catholic Monarchs</t>
  </si>
  <si>
    <t>Spanish Constitution of 1978</t>
  </si>
  <si>
    <t>Established modern democratic constitution</t>
  </si>
  <si>
    <t>Spanish Government, King Juan Carlos I</t>
  </si>
  <si>
    <t>2010 FIFA World Cup Victory</t>
  </si>
  <si>
    <t>Johannesburg</t>
  </si>
  <si>
    <t>First World Cup win, boosted national pride</t>
  </si>
  <si>
    <t>Spanish population, international</t>
  </si>
  <si>
    <t>Spanish National Football Team</t>
  </si>
  <si>
    <t>Launch of AVE HighUnknownSpeed Train</t>
  </si>
  <si>
    <t>Between MadridUnknownSeville</t>
  </si>
  <si>
    <t>Modernized Spain's transport system</t>
  </si>
  <si>
    <t>Spanish population, travelers</t>
  </si>
  <si>
    <t>Law of Historical Memory</t>
  </si>
  <si>
    <t>Addressed the legacy of Franco's regime, civil war victims</t>
  </si>
  <si>
    <t>Sinking of the Spanish Armada</t>
  </si>
  <si>
    <t>Marked decline of Spanish naval supremacy</t>
  </si>
  <si>
    <t>Spanish Navy, English Navy</t>
  </si>
  <si>
    <t>Philip II of Spain, Elizabeth I of England</t>
  </si>
  <si>
    <t>The Great Siege of Gibraltar</t>
  </si>
  <si>
    <t>1779</t>
  </si>
  <si>
    <t>Gibraltar</t>
  </si>
  <si>
    <t>Failed Spanish attempt to retake Gibraltar from Britain</t>
  </si>
  <si>
    <t>British and Spanish military, Gibraltar residents</t>
  </si>
  <si>
    <t>Spanish and French forces, British defenders</t>
  </si>
  <si>
    <t>Leyes de Indias</t>
  </si>
  <si>
    <t>1542</t>
  </si>
  <si>
    <t>Colonial Legislation</t>
  </si>
  <si>
    <t>Spanish America</t>
  </si>
  <si>
    <t>Regulated the treatment of indigenous peoples in the Spanish Empire</t>
  </si>
  <si>
    <t>Indigenous populations, Spanish colonists</t>
  </si>
  <si>
    <t>Spanish Crown</t>
  </si>
  <si>
    <t>Introduction of Phoenician Trade</t>
  </si>
  <si>
    <t>1100 BC</t>
  </si>
  <si>
    <t>Economic/Cultural</t>
  </si>
  <si>
    <t>Gadir (Cádiz)</t>
  </si>
  <si>
    <t>Early Phoenician traders establish contacts, leading to cultural and economic exchanges</t>
  </si>
  <si>
    <t>Local inhabitants, Phoenicians</t>
  </si>
  <si>
    <t>Phoenician traders</t>
  </si>
  <si>
    <t>Battle of Guadalete</t>
  </si>
  <si>
    <t>711</t>
  </si>
  <si>
    <t>Guadalete River</t>
  </si>
  <si>
    <t>Marked the beginning of Muslim rule in the Iberian Peninsula</t>
  </si>
  <si>
    <t>Visigothic Kingdom, Muslims</t>
  </si>
  <si>
    <t>Tariq ibn Ziyad, King Roderic</t>
  </si>
  <si>
    <t>Establishment of Gadir by Phoenicians</t>
  </si>
  <si>
    <t>One of the oldest continuously inhabited cities in Western Europe</t>
  </si>
  <si>
    <t>Gorm the Old Reign</t>
  </si>
  <si>
    <t>940</t>
  </si>
  <si>
    <t>Denmark</t>
  </si>
  <si>
    <t>Established the Danish monarchy, unified Denmark.</t>
  </si>
  <si>
    <t>Danish tribes</t>
  </si>
  <si>
    <t>Gorm the Old</t>
  </si>
  <si>
    <t>Christianization of Denmark</t>
  </si>
  <si>
    <t>Religious</t>
  </si>
  <si>
    <t>Introduction and establishment of Christianity.</t>
  </si>
  <si>
    <t>Danish population</t>
  </si>
  <si>
    <t>Harald Bluetooth</t>
  </si>
  <si>
    <t>Christianization of Norway</t>
  </si>
  <si>
    <t>1000</t>
  </si>
  <si>
    <t>Norway</t>
  </si>
  <si>
    <t>Norwegian tribes</t>
  </si>
  <si>
    <t>Olaf Tryggvason, St. Olaf</t>
  </si>
  <si>
    <t>Swedish Conquest of Finland</t>
  </si>
  <si>
    <t>Brought Finland under Swedish rule.</t>
  </si>
  <si>
    <t>Finnish tribes</t>
  </si>
  <si>
    <t>Swedish Kingdom</t>
  </si>
  <si>
    <t>Establishment of the Kalmar Union</t>
  </si>
  <si>
    <t>1397</t>
  </si>
  <si>
    <t>Kalmar, Sweden</t>
  </si>
  <si>
    <t>United the Nordic countries under a single monarch.</t>
  </si>
  <si>
    <t>Scandinavian kingdoms</t>
  </si>
  <si>
    <t>Margaret I</t>
  </si>
  <si>
    <t>Black Death in Norway</t>
  </si>
  <si>
    <t>1349</t>
  </si>
  <si>
    <t>Pandemic</t>
  </si>
  <si>
    <t>Decimated the population, leading to societal shifts.</t>
  </si>
  <si>
    <t>Norwegian population</t>
  </si>
  <si>
    <t>Establishment as Swedish Duchy</t>
  </si>
  <si>
    <t>1362</t>
  </si>
  <si>
    <t>Formalized Finnish inclusion in the Swedish Kingdom.</t>
  </si>
  <si>
    <t>Finns</t>
  </si>
  <si>
    <t>Swedish Crown</t>
  </si>
  <si>
    <t>Treaty of Roskilde</t>
  </si>
  <si>
    <t>1658</t>
  </si>
  <si>
    <t>Roskilde</t>
  </si>
  <si>
    <t>Denmark ceded significant territories to Sweden.</t>
  </si>
  <si>
    <t>DanishUnknownSwedish populations</t>
  </si>
  <si>
    <t>Frederick III of Denmark</t>
  </si>
  <si>
    <t>Dissolution of the Kalmar Union</t>
  </si>
  <si>
    <t>1814</t>
  </si>
  <si>
    <t>Political Separation</t>
  </si>
  <si>
    <t>Led to the establishment of a separate Norwegian kingdom.</t>
  </si>
  <si>
    <t>Norwegians</t>
  </si>
  <si>
    <t>Christian Frederick</t>
  </si>
  <si>
    <t>Finnish War and Cession to Russia</t>
  </si>
  <si>
    <t>1809</t>
  </si>
  <si>
    <t>Finland ceded from Sweden to Russia, becoming a Grand Duchy.</t>
  </si>
  <si>
    <t>Finns, Swedes, Russians</t>
  </si>
  <si>
    <t>Alexander I of Russia</t>
  </si>
  <si>
    <t>Winter War</t>
  </si>
  <si>
    <t>Resisted Soviet invasion</t>
  </si>
  <si>
    <t>Liberation of Denmark</t>
  </si>
  <si>
    <t>End of German occupation during WWII.</t>
  </si>
  <si>
    <t>Danes</t>
  </si>
  <si>
    <t>Allied Forces</t>
  </si>
  <si>
    <t>Liberation of Norway</t>
  </si>
  <si>
    <t>Continuation War</t>
  </si>
  <si>
    <t>Fought against the Soviet Union</t>
  </si>
  <si>
    <t>Nazi Germany</t>
  </si>
  <si>
    <t>Copenhagen Fire</t>
  </si>
  <si>
    <t>1728</t>
  </si>
  <si>
    <t>Copenhagen</t>
  </si>
  <si>
    <t>Devastated large parts of Copenhagen.</t>
  </si>
  <si>
    <t>Union with Sweden</t>
  </si>
  <si>
    <t>Entered a personal union with Sweden.</t>
  </si>
  <si>
    <t>Lapland War</t>
  </si>
  <si>
    <t>Lapland</t>
  </si>
  <si>
    <t>German soldiers</t>
  </si>
  <si>
    <t>Finnish Army</t>
  </si>
  <si>
    <t>First Schleswig War</t>
  </si>
  <si>
    <t>Schleswig</t>
  </si>
  <si>
    <t>Danish victory preserved control over the duchies.</t>
  </si>
  <si>
    <t>Germans</t>
  </si>
  <si>
    <t>Norwegian Independence</t>
  </si>
  <si>
    <t>Dissolution of the union with Sweden</t>
  </si>
  <si>
    <t>Finnish Civil War</t>
  </si>
  <si>
    <t>Conflict between Reds and Whites</t>
  </si>
  <si>
    <t>Second Schleswig War</t>
  </si>
  <si>
    <t>Danish loss of SchleswigUnknownHolstein to Prussia and Austria.</t>
  </si>
  <si>
    <t>Founding of Oslo</t>
  </si>
  <si>
    <t>1048</t>
  </si>
  <si>
    <t>Foundational</t>
  </si>
  <si>
    <t>Oslo</t>
  </si>
  <si>
    <t>Establishment of Oslo</t>
  </si>
  <si>
    <t>Harald Hardrada</t>
  </si>
  <si>
    <t>Signing of the Treaty of Fredrikshamn</t>
  </si>
  <si>
    <t>Fredrikshamn</t>
  </si>
  <si>
    <t>Finland ceded from Sweden to Russia</t>
  </si>
  <si>
    <t xml:space="preserve"> Swedes</t>
  </si>
  <si>
    <t>Discovery of Diamonds</t>
  </si>
  <si>
    <t>Kimberley</t>
  </si>
  <si>
    <t>Sparked the diamond rush, leading to economic boom.</t>
  </si>
  <si>
    <t>South Africans</t>
  </si>
  <si>
    <t>Erasmus Jacobs</t>
  </si>
  <si>
    <t>Amalgamation of Northern and Southern Protectorates</t>
  </si>
  <si>
    <t>Nigeria</t>
  </si>
  <si>
    <t>Formation of the modern Nigerian state.</t>
  </si>
  <si>
    <t>Nigerians</t>
  </si>
  <si>
    <t>Lord Lugard</t>
  </si>
  <si>
    <t>Mau Mau Uprising</t>
  </si>
  <si>
    <t>1952</t>
  </si>
  <si>
    <t>Kenya</t>
  </si>
  <si>
    <t>Led to Kenyan independence from British rule.</t>
  </si>
  <si>
    <t>Kenyans</t>
  </si>
  <si>
    <t>Mau Mau fighters, British colonial government</t>
  </si>
  <si>
    <t>Algerian War of Independence</t>
  </si>
  <si>
    <t>Algeria</t>
  </si>
  <si>
    <t>Led to Algerian independence from France.</t>
  </si>
  <si>
    <t>Algerians</t>
  </si>
  <si>
    <t>FLN, French Government</t>
  </si>
  <si>
    <t>Italian Invasion of Libya</t>
  </si>
  <si>
    <t>Libya</t>
  </si>
  <si>
    <t>Beginning of Italian colonial rule.</t>
  </si>
  <si>
    <t>Libyans</t>
  </si>
  <si>
    <t>Kingdom of Italy</t>
  </si>
  <si>
    <t>Independence from France</t>
  </si>
  <si>
    <t>Tunisia</t>
  </si>
  <si>
    <t>End of French colonial rule.</t>
  </si>
  <si>
    <t>Tunisians</t>
  </si>
  <si>
    <t>Habib Bourguiba, French Government</t>
  </si>
  <si>
    <t>Great Zimbabwe Era</t>
  </si>
  <si>
    <t>1450</t>
  </si>
  <si>
    <t>Zimbabwe</t>
  </si>
  <si>
    <t>Great Zimbabwe</t>
  </si>
  <si>
    <t>Development of a sophisticated urban and trading society.</t>
  </si>
  <si>
    <t>Zimbabweans</t>
  </si>
  <si>
    <t>Foundation of Marrakech</t>
  </si>
  <si>
    <t>1062</t>
  </si>
  <si>
    <t>Morocco</t>
  </si>
  <si>
    <t>Marrakech</t>
  </si>
  <si>
    <t>Establishment of Marrakech as a major economic center.</t>
  </si>
  <si>
    <t>Moroccans</t>
  </si>
  <si>
    <t>Almoravid dynasty</t>
  </si>
  <si>
    <t>Portuguese Colonialism Begins</t>
  </si>
  <si>
    <t>1482</t>
  </si>
  <si>
    <t>Angola</t>
  </si>
  <si>
    <t>Start of Portuguese exploration and later colonization.</t>
  </si>
  <si>
    <t>Angolans</t>
  </si>
  <si>
    <t>Portuguese explorers</t>
  </si>
  <si>
    <t>Suez Canal Opening</t>
  </si>
  <si>
    <t>Egypt</t>
  </si>
  <si>
    <t>Engineering Marvel</t>
  </si>
  <si>
    <t>Connected the Mediterranean Sea to the Red Sea, boosting trade.</t>
  </si>
  <si>
    <t>Ferdinand de Lesseps</t>
  </si>
  <si>
    <t>Rwandan Genocide</t>
  </si>
  <si>
    <t>Rwanda</t>
  </si>
  <si>
    <t>Genocide</t>
  </si>
  <si>
    <t>Mass slaughter of the Tutsi population.</t>
  </si>
  <si>
    <t>Rwandans</t>
  </si>
  <si>
    <t>Hutu government officials, militias</t>
  </si>
  <si>
    <t>Idi Amin's Regime</t>
  </si>
  <si>
    <t>Uganda</t>
  </si>
  <si>
    <t>Brutal dictatorship, human rights abuses.</t>
  </si>
  <si>
    <t>Ugandans</t>
  </si>
  <si>
    <t>Idi Amin</t>
  </si>
  <si>
    <t>Somali Civil War Begins</t>
  </si>
  <si>
    <t>Somalia</t>
  </si>
  <si>
    <t>Led to state collapse and ongoing conflict.</t>
  </si>
  <si>
    <t>Somalis</t>
  </si>
  <si>
    <t>Various warlords, clans</t>
  </si>
  <si>
    <t>Independence from Britain</t>
  </si>
  <si>
    <t>Botswana</t>
  </si>
  <si>
    <t>Transition from British protectorate to independence.</t>
  </si>
  <si>
    <t>Batswana</t>
  </si>
  <si>
    <t>Seretse Khama</t>
  </si>
  <si>
    <t>Independence from South Africa</t>
  </si>
  <si>
    <t>Namibia</t>
  </si>
  <si>
    <t>End of South African rule and apartheid in Namibia.</t>
  </si>
  <si>
    <t>Namibians</t>
  </si>
  <si>
    <t>SWAPO, United Nations</t>
  </si>
  <si>
    <t>Mahdist War</t>
  </si>
  <si>
    <t>1881</t>
  </si>
  <si>
    <t>Sudan</t>
  </si>
  <si>
    <t>Religious/Military War</t>
  </si>
  <si>
    <t>Establishment of the Mahdist state in Sudan.</t>
  </si>
  <si>
    <t>Sudanese</t>
  </si>
  <si>
    <t>Muhammad Ahmad</t>
  </si>
  <si>
    <t>Côte d'Ivoire</t>
  </si>
  <si>
    <t>End of French colonial rule, start of sovereignty.</t>
  </si>
  <si>
    <t>Ivorians</t>
  </si>
  <si>
    <t>Félix HouphouëtUnknownBoigny</t>
  </si>
  <si>
    <t>Ghana's Independence</t>
  </si>
  <si>
    <t>Ghana</t>
  </si>
  <si>
    <t>First SubUnknownSaharan African country to gain independence.</t>
  </si>
  <si>
    <t>Ghanaians</t>
  </si>
  <si>
    <t>Kwame Nkrumah</t>
  </si>
  <si>
    <t>Union of Tanganyika and Zanzibar</t>
  </si>
  <si>
    <t>Tanzania</t>
  </si>
  <si>
    <t>Formation of Tanzania through the union of two sovereign states.</t>
  </si>
  <si>
    <t>Tanzanians</t>
  </si>
  <si>
    <t>Julius Nyerere, Abeid Amani Karume</t>
  </si>
  <si>
    <t>Libyan Revolution (1969)</t>
  </si>
  <si>
    <t>Coup d'état</t>
  </si>
  <si>
    <t>Overthrow of the monarchy, Muammar Gaddafi came to power.</t>
  </si>
  <si>
    <t>Muammar Gaddafi</t>
  </si>
  <si>
    <t>Madagascar</t>
  </si>
  <si>
    <t>Malagasy</t>
  </si>
  <si>
    <t>Philibert Tsiranana</t>
  </si>
  <si>
    <t>Ethiopian Revolution</t>
  </si>
  <si>
    <t>Ethiopia</t>
  </si>
  <si>
    <t>Overthrow of Emperor Haile Selassie, start of Derg regime.</t>
  </si>
  <si>
    <t>Ethiopians</t>
  </si>
  <si>
    <t>Derg</t>
  </si>
  <si>
    <t>Nigerian Civil War</t>
  </si>
  <si>
    <t>Conflict over the secessionist state of Biafra, massive casualties.</t>
  </si>
  <si>
    <t>Yakubu Gowon, Odumegwu Ojukwu</t>
  </si>
  <si>
    <t>Sharpeville Massacre</t>
  </si>
  <si>
    <t>Sharpeville</t>
  </si>
  <si>
    <t>AntiUnknownapartheid protest met with police violence, significant deaths.</t>
  </si>
  <si>
    <t>South African Police</t>
  </si>
  <si>
    <t>Battle of Algiers</t>
  </si>
  <si>
    <t>Algiers</t>
  </si>
  <si>
    <t>Pivotal conflict in the Algerian War of Independence.</t>
  </si>
  <si>
    <t>FLN, French paratroopers</t>
  </si>
  <si>
    <t>Independence from Portugal</t>
  </si>
  <si>
    <t>Mozambique</t>
  </si>
  <si>
    <t>End of Portuguese colonial rule after a protracted liberation struggle.</t>
  </si>
  <si>
    <t>Mozambicans</t>
  </si>
  <si>
    <t>FRELIMO</t>
  </si>
  <si>
    <t>Zambia</t>
  </si>
  <si>
    <t>Gained sovereignty, ending British colonial rule.</t>
  </si>
  <si>
    <t>Zambians</t>
  </si>
  <si>
    <t>Kenneth Kaunda</t>
  </si>
  <si>
    <t>Senegal</t>
  </si>
  <si>
    <t>Gained independence along with the Mali Federation.</t>
  </si>
  <si>
    <t>Senegalese</t>
  </si>
  <si>
    <t>Léopold Sédar Senghor</t>
  </si>
  <si>
    <t>Independence from Belgium</t>
  </si>
  <si>
    <t>Congo (DRC)</t>
  </si>
  <si>
    <t>End of Belgian colonial rule, beginning of postUnknowncolonial challenges.</t>
  </si>
  <si>
    <t>Congolese</t>
  </si>
  <si>
    <t>Patrice Lumumba</t>
  </si>
  <si>
    <t>Sierra Leone</t>
  </si>
  <si>
    <t>Transition to sovereignty after British rule.</t>
  </si>
  <si>
    <t>Sierra Leoneans</t>
  </si>
  <si>
    <t>Milton Margai</t>
  </si>
  <si>
    <t>Mali</t>
  </si>
  <si>
    <t>Gained independence as part of the Mali Federation.</t>
  </si>
  <si>
    <t>Malians</t>
  </si>
  <si>
    <t>Modibo Keïta</t>
  </si>
  <si>
    <t>Burkina Faso</t>
  </si>
  <si>
    <t>Thomas Sankara came to power, initiating radical reforms.</t>
  </si>
  <si>
    <t>Burkinabè</t>
  </si>
  <si>
    <t>Thomas Sankara</t>
  </si>
  <si>
    <t>Marked the end of Rhodesian rule and the beginning of majority rule.</t>
  </si>
  <si>
    <t>Robert Mugabe</t>
  </si>
  <si>
    <t>Egyptian Revolution of 1952</t>
  </si>
  <si>
    <t>Overthrow of the monarchy, establishment of a republic.</t>
  </si>
  <si>
    <t>Egyptians</t>
  </si>
  <si>
    <t>Free Officers Movement</t>
  </si>
  <si>
    <t>End of British colonial rule, Jomo Kenyatta became president.</t>
  </si>
  <si>
    <t>Jomo Kenyatta</t>
  </si>
  <si>
    <t>Cameroon</t>
  </si>
  <si>
    <t>Gained independence from French administration.</t>
  </si>
  <si>
    <t>Cameroonians</t>
  </si>
  <si>
    <t>Ahmadou Ahidjo</t>
  </si>
  <si>
    <t>Independence from Ethiopia</t>
  </si>
  <si>
    <t>Eritrea</t>
  </si>
  <si>
    <t>Achieved de facto independence after a 30Unknownyear war, followed by a UNUnknownsupervised referendum.</t>
  </si>
  <si>
    <t>Eritreans</t>
  </si>
  <si>
    <t>EPLF, UN</t>
  </si>
  <si>
    <t>Nelson Mandela's Release from Prison</t>
  </si>
  <si>
    <t>Marked the beginning of the end of apartheid.</t>
  </si>
  <si>
    <t>F.W. de Klerk, ANC</t>
  </si>
  <si>
    <t>Signing of Arusha Accords</t>
  </si>
  <si>
    <t>Peace Agreement</t>
  </si>
  <si>
    <t>Arusha, Tanzania</t>
  </si>
  <si>
    <t>Attempted to end the Rwandan Civil War.</t>
  </si>
  <si>
    <t>Rwandan Government, RPF</t>
  </si>
  <si>
    <t>Comprehensive Peace Agreement</t>
  </si>
  <si>
    <t>Ended the Second Sudanese Civil War, led to South Sudan's independence.</t>
  </si>
  <si>
    <t>Sudanese, South Sudanese</t>
  </si>
  <si>
    <t>SPLM, Government of Sudan</t>
  </si>
  <si>
    <t>Libyan Civil War</t>
  </si>
  <si>
    <t>Overthrow of Muammar Gaddafi's regime.</t>
  </si>
  <si>
    <t>NTC, NATO, Gaddafi regime</t>
  </si>
  <si>
    <t>Gained independence, became a republic in 1963.</t>
  </si>
  <si>
    <t>Nigerian Independence Movement</t>
  </si>
  <si>
    <t>Dahomey (Benin) Independence</t>
  </si>
  <si>
    <t>Benin</t>
  </si>
  <si>
    <t>Benin (Dahomey)</t>
  </si>
  <si>
    <t>Transition from French colonial rule to sovereignty.</t>
  </si>
  <si>
    <t>Beninese</t>
  </si>
  <si>
    <t>Hubert Maga</t>
  </si>
  <si>
    <t>Tunisian Revolution</t>
  </si>
  <si>
    <t>Triggered the Arab Spring, leading to democratization.</t>
  </si>
  <si>
    <t>Mohamed Bouazizi, Civil Society</t>
  </si>
  <si>
    <t>Abolition of Slavery</t>
  </si>
  <si>
    <t>Mauritania</t>
  </si>
  <si>
    <t>First country in the world to abolish slavery by law, though enforcement issues remain.</t>
  </si>
  <si>
    <t>Mauritanians</t>
  </si>
  <si>
    <t>Mauritanian Government</t>
  </si>
  <si>
    <t>Gabon</t>
  </si>
  <si>
    <t>Gabonese</t>
  </si>
  <si>
    <t>Léon M'ba</t>
  </si>
  <si>
    <t>Lesotho</t>
  </si>
  <si>
    <t>Transition from British protectorate to independent kingdom.</t>
  </si>
  <si>
    <t>Basotho</t>
  </si>
  <si>
    <t>Moshoeshoe II</t>
  </si>
  <si>
    <t>Gambia</t>
  </si>
  <si>
    <t>Gained independence within the Commonwealth.</t>
  </si>
  <si>
    <t>Gambians</t>
  </si>
  <si>
    <t>Dawda Jawara</t>
  </si>
  <si>
    <t>Djibouti</t>
  </si>
  <si>
    <t>End of French colonial rule after referendum.</t>
  </si>
  <si>
    <t>Djiboutians</t>
  </si>
  <si>
    <t>Hassan Gouled Aptidon</t>
  </si>
  <si>
    <t>Independence from Spain</t>
  </si>
  <si>
    <t>Equatorial Guinea</t>
  </si>
  <si>
    <t>Transition from Spanish colony to independence.</t>
  </si>
  <si>
    <t>Equatoguineans</t>
  </si>
  <si>
    <t>Francisco Macías Nguema</t>
  </si>
  <si>
    <t>Seychelles</t>
  </si>
  <si>
    <t>Became a sovereign state after 162 years of British rule.</t>
  </si>
  <si>
    <t>Seychellois</t>
  </si>
  <si>
    <t>James Mancham, FranceUnknownAlbert René</t>
  </si>
  <si>
    <t>Independence and Unification</t>
  </si>
  <si>
    <t>Independence/Union</t>
  </si>
  <si>
    <t>Union of British Somaliland and Italian Somaliland.</t>
  </si>
  <si>
    <t>Somali Youth League</t>
  </si>
  <si>
    <t>Cape Verde</t>
  </si>
  <si>
    <t>Gained independence after the Carnation Revolution in Portugal.</t>
  </si>
  <si>
    <t>Cape Verdeans</t>
  </si>
  <si>
    <t>Amílcar Cabral, PAIGC</t>
  </si>
  <si>
    <t>GuineaUnknownBissau</t>
  </si>
  <si>
    <t>Declared independence, recognized in 1974 after the Carnation Revolution.</t>
  </si>
  <si>
    <t>BissauUnknownGuineans</t>
  </si>
  <si>
    <t>Comoros</t>
  </si>
  <si>
    <t>Gained independence following a referendum.</t>
  </si>
  <si>
    <t>Comorians</t>
  </si>
  <si>
    <t>Ahmed Abdallah</t>
  </si>
  <si>
    <t>Achieved independence following the Carnation Revolution and Alvor Agreement.</t>
  </si>
  <si>
    <t>MPLA, Agostinho Neto</t>
  </si>
  <si>
    <t>Central African Republic</t>
  </si>
  <si>
    <t>Transition from French colony to independence.</t>
  </si>
  <si>
    <t>Central Africans</t>
  </si>
  <si>
    <t>Barthélemy Boganda, David Dacko</t>
  </si>
  <si>
    <t>Chad</t>
  </si>
  <si>
    <t>Gained independence from French colonial rule.</t>
  </si>
  <si>
    <t>Chadians</t>
  </si>
  <si>
    <t>François Tombalbaye</t>
  </si>
  <si>
    <t>Malawi</t>
  </si>
  <si>
    <t>Transition from British protectorate to independent nation.</t>
  </si>
  <si>
    <t>Malawians</t>
  </si>
  <si>
    <t>Hastings Banda</t>
  </si>
  <si>
    <t>Burundi</t>
  </si>
  <si>
    <t>Gained independence alongside Rwanda from Belgian administration.</t>
  </si>
  <si>
    <t>Burundians</t>
  </si>
  <si>
    <t>Mwami Mwambutsa IV</t>
  </si>
  <si>
    <t>Congo (Brazzaville)</t>
  </si>
  <si>
    <t>Became independent from French colonial empire.</t>
  </si>
  <si>
    <t>Congolese (Brazzaville)</t>
  </si>
  <si>
    <t>Fulbert Youlou</t>
  </si>
  <si>
    <t>Togo</t>
  </si>
  <si>
    <t>Transition from French mandate to sovereign state.</t>
  </si>
  <si>
    <t>Togolese</t>
  </si>
  <si>
    <t>Sylvanus Olympio</t>
  </si>
  <si>
    <t>Ivory Coast (Côte d'Ivoire)</t>
  </si>
  <si>
    <t>Ivory Coast</t>
  </si>
  <si>
    <t>Marked the end of French colonial rule in Ivory Coast.</t>
  </si>
  <si>
    <t>Niger</t>
  </si>
  <si>
    <t>Gained independence from French colonial administration.</t>
  </si>
  <si>
    <t>Nigeriens</t>
  </si>
  <si>
    <t>Hamani Diori</t>
  </si>
  <si>
    <t>Swaziland (Eswatini)</t>
  </si>
  <si>
    <t>Swaziland</t>
  </si>
  <si>
    <t>Became independent from British rule.</t>
  </si>
  <si>
    <t>Swazi</t>
  </si>
  <si>
    <t>Sobhuza II</t>
  </si>
  <si>
    <t>Guinea</t>
  </si>
  <si>
    <t>First French African colony to gain independence, rejecting the French Community.</t>
  </si>
  <si>
    <t>Guineans</t>
  </si>
  <si>
    <t>Ahmed Sékou Touré</t>
  </si>
  <si>
    <t>Movement for Multiparty Democracy</t>
  </si>
  <si>
    <t>Transition from oneUnknownparty state to multiparty democracy.</t>
  </si>
  <si>
    <t>Frederick Chiluba</t>
  </si>
  <si>
    <t>Mozambique Civil War Ends</t>
  </si>
  <si>
    <t>Rome, Italy</t>
  </si>
  <si>
    <t>End of a devastating civil war, leading to peace and reconstruction.</t>
  </si>
  <si>
    <t>Joaquim Chissano, RENAMO</t>
  </si>
  <si>
    <t>End of Apartheid</t>
  </si>
  <si>
    <t>General Elections</t>
  </si>
  <si>
    <t>First democratic elections open to all races, Nelson Mandela elected.</t>
  </si>
  <si>
    <t>Nelson Mandela, ANC</t>
  </si>
  <si>
    <t>Eritrean Independence Referendum</t>
  </si>
  <si>
    <t>23Unknown25</t>
  </si>
  <si>
    <t>Eritreans vote for independence from Ethiopia.</t>
  </si>
  <si>
    <t>Namibian Independence</t>
  </si>
  <si>
    <t>Independence from South African rule.</t>
  </si>
  <si>
    <t>Sam Nujoma, UN</t>
  </si>
  <si>
    <t>Land Reform Program Begins</t>
  </si>
  <si>
    <t>Land Reform</t>
  </si>
  <si>
    <t>Controversial redistribution of land from white to black Zimbabweans.</t>
  </si>
  <si>
    <t>Algerian Civil War Ends</t>
  </si>
  <si>
    <t>End of a decadeUnknownlong civil war.</t>
  </si>
  <si>
    <t>Algerian Government</t>
  </si>
  <si>
    <t>End of Sierra Leone Civil War</t>
  </si>
  <si>
    <t>Marked the end of the civil war, beginning of peacebuilding efforts.</t>
  </si>
  <si>
    <t>Government of Sierra Leone, RUF, UN</t>
  </si>
  <si>
    <t>Gacaca Courts Initiated</t>
  </si>
  <si>
    <t>Justice System</t>
  </si>
  <si>
    <t>Community courts to address the genocide, promoting reconciliation and justice.</t>
  </si>
  <si>
    <t>Rwandan Government</t>
  </si>
  <si>
    <t>Joseph Kony Insurgency Declines</t>
  </si>
  <si>
    <t>Northern Uganda</t>
  </si>
  <si>
    <t>Significant decline in LRA activities, improvement in regional security.</t>
  </si>
  <si>
    <t>Ugandan Military, International Efforts</t>
  </si>
  <si>
    <t>Fall of Gaddafi</t>
  </si>
  <si>
    <t>Sirte, Libya</t>
  </si>
  <si>
    <t>Marked the end of Muammar Gaddafi's 42Unknownyear rule, leading to a period of instability.</t>
  </si>
  <si>
    <t>NATO, Libyan Rebels</t>
  </si>
  <si>
    <t>Egyptian Revolution of 2011</t>
  </si>
  <si>
    <t>Cairo, Egypt</t>
  </si>
  <si>
    <t>Led to the overthrow of President Hosni Mubarak.</t>
  </si>
  <si>
    <t>Egyptian protestors, military</t>
  </si>
  <si>
    <t>Bamako, Mali</t>
  </si>
  <si>
    <t>Military coup overthrew the government, leading to political instability and conflict.</t>
  </si>
  <si>
    <t>Malian soldiers, Amadou Sanogo</t>
  </si>
  <si>
    <t>Seleka Rebellion Begins</t>
  </si>
  <si>
    <t>Sparked a civil war, leading to ongoing conflict and humanitarian crisis.</t>
  </si>
  <si>
    <t>Seleka coalition</t>
  </si>
  <si>
    <t>Boko Haram Insurgency Intensifies</t>
  </si>
  <si>
    <t>Insurgency</t>
  </si>
  <si>
    <t>Northeast Nigeria</t>
  </si>
  <si>
    <t>Led to thousands of deaths and displacement, challenging national security.</t>
  </si>
  <si>
    <t>Boko Haram</t>
  </si>
  <si>
    <t>Independence from Sudan</t>
  </si>
  <si>
    <t>South Sudan</t>
  </si>
  <si>
    <t>Became the newest country in the world, following a referendum.</t>
  </si>
  <si>
    <t>South Sudanese</t>
  </si>
  <si>
    <t>SPLM, International Community</t>
  </si>
  <si>
    <t>Fall of Blaise Compaoré</t>
  </si>
  <si>
    <t>Ouagadougou, Burkina Faso</t>
  </si>
  <si>
    <t>Ended Blaise Compaoré's 27Unknownyear rule, sparked by mass protests.</t>
  </si>
  <si>
    <t>Burkinabè protestors</t>
  </si>
  <si>
    <t>Coup d'état Leads to Mugabe's Resignation</t>
  </si>
  <si>
    <t>Harare, Zimbabwe</t>
  </si>
  <si>
    <t>Ended Robert Mugabe's 37Unknownyear rule, Emmerson Mnangagwa became president.</t>
  </si>
  <si>
    <t>Zimbabwean Military, Emmerson Mnangagwa</t>
  </si>
  <si>
    <t>Appointment of Abiy Ahmed</t>
  </si>
  <si>
    <t>Led to significant political reforms and a peace agreement with Eritrea.</t>
  </si>
  <si>
    <t>Abiy Ahmed</t>
  </si>
  <si>
    <t>Sudanese Revolution</t>
  </si>
  <si>
    <t>Overthrow of President Omar alUnknownBashir, leading to transitional government.</t>
  </si>
  <si>
    <t>Sudanese protestors, military</t>
  </si>
  <si>
    <t>Hirak Protest Movement</t>
  </si>
  <si>
    <t>Protest Movement</t>
  </si>
  <si>
    <t>Led to the resignation of President Abdelaziz Bouteflika after 20 years in power.</t>
  </si>
  <si>
    <t>Algerian protestors</t>
  </si>
  <si>
    <t>Abolition of Slavery Enforced</t>
  </si>
  <si>
    <t>Criminalization of slavery, though challenges in enforcement remain.</t>
  </si>
  <si>
    <t>Operation Carlota Ends</t>
  </si>
  <si>
    <t>Military Withdrawal</t>
  </si>
  <si>
    <t>Cuban military withdrawal, pivotal in ending South African apartheid.</t>
  </si>
  <si>
    <t>Angolans, Cubans</t>
  </si>
  <si>
    <t>Cuban Government</t>
  </si>
  <si>
    <t>Nairobi's DusitD2 Complex Attack</t>
  </si>
  <si>
    <t>Nairobi, Kenya</t>
  </si>
  <si>
    <t>Highlighted the ongoing threat of terrorism in East Africa.</t>
  </si>
  <si>
    <t>AlUnknownShabaab</t>
  </si>
  <si>
    <t>Cyclone Idai</t>
  </si>
  <si>
    <t>Mozambique, Zimbabwe, Malawi</t>
  </si>
  <si>
    <t>One of the worst tropical cyclones on record in Africa, causing widespread destruction.</t>
  </si>
  <si>
    <t>Mozambicans, Zimbabweans, Malawians</t>
  </si>
  <si>
    <t>Climate</t>
  </si>
  <si>
    <t>Tigray Conflict Begins</t>
  </si>
  <si>
    <t>Conflict</t>
  </si>
  <si>
    <t>Tigray, Ethiopia</t>
  </si>
  <si>
    <t>Conflict between Ethiopian government forces and TPLF, leading to humanitarian crisis.</t>
  </si>
  <si>
    <t>Ethiopian Government, TPLF</t>
  </si>
  <si>
    <t>#EndSARS Protests</t>
  </si>
  <si>
    <t>Nationwide protests against police brutality and corruption.</t>
  </si>
  <si>
    <t>Nigerian Youth, Various Activists</t>
  </si>
  <si>
    <t>Juba Peace Agreement</t>
  </si>
  <si>
    <t>Juba, South Sudan</t>
  </si>
  <si>
    <t>Aimed at ending conflicts in Darfur, South Kordofan, and Blue Nile states.</t>
  </si>
  <si>
    <t>Sudanese Transitional Government, Rebel Groups</t>
  </si>
  <si>
    <t>2021 General Elections</t>
  </si>
  <si>
    <t>Marked by allegations of fraud and violence, Yoweri Museveni reUnknownelected.</t>
  </si>
  <si>
    <t>Yoweri Museveni, Bobi Wine</t>
  </si>
  <si>
    <t>Death of President Idriss Déby</t>
  </si>
  <si>
    <t>Died from injuries sustained in clashes with rebels, leading to political uncertainty.</t>
  </si>
  <si>
    <t>Idriss Déby, FACT Rebels</t>
  </si>
  <si>
    <t>Discovery by Portugal</t>
  </si>
  <si>
    <t>Brazil</t>
  </si>
  <si>
    <t>Coast of presentUnknownday Brazil</t>
  </si>
  <si>
    <t>Beginning of Portuguese colonization</t>
  </si>
  <si>
    <t>Indigenous peoples</t>
  </si>
  <si>
    <t>Pedro Álvares Cabral</t>
  </si>
  <si>
    <t>1822</t>
  </si>
  <si>
    <t>São Paulo</t>
  </si>
  <si>
    <t>Transition to Empire of Brazil</t>
  </si>
  <si>
    <t>Brazilian population</t>
  </si>
  <si>
    <t>Dom Pedro I</t>
  </si>
  <si>
    <t>1888</t>
  </si>
  <si>
    <t>End of slavery in Brazil</t>
  </si>
  <si>
    <t>Slaves in Brazil</t>
  </si>
  <si>
    <t>Princess Isabel</t>
  </si>
  <si>
    <t>Proclamation of the Republic</t>
  </si>
  <si>
    <t>1889</t>
  </si>
  <si>
    <t>Rio de Janeiro</t>
  </si>
  <si>
    <t>End of the Brazilian Empire and the start of the Republic</t>
  </si>
  <si>
    <t>Marshal Deodoro da Fonseca</t>
  </si>
  <si>
    <t>Vargas Era Begins</t>
  </si>
  <si>
    <t>Start of Getúlio Vargas' rule</t>
  </si>
  <si>
    <t>Getúlio Vargas</t>
  </si>
  <si>
    <t>Beginning of military dictatorship lasting until 1985</t>
  </si>
  <si>
    <t>Military leaders</t>
  </si>
  <si>
    <t>Direct Elections Now Campaign</t>
  </si>
  <si>
    <t>Nationwide protests for direct presidential elections</t>
  </si>
  <si>
    <t>Civil society groups</t>
  </si>
  <si>
    <t>Real Plan Implementation</t>
  </si>
  <si>
    <t>Stabilization of Brazilian economy and introduction of the Real (R$)</t>
  </si>
  <si>
    <t>Brazilian economy</t>
  </si>
  <si>
    <t>Itamar Franco</t>
  </si>
  <si>
    <t>Lula da Silva's Presidency</t>
  </si>
  <si>
    <t>First workingUnknownclass president</t>
  </si>
  <si>
    <t>Luiz Inácio Lula da Silva</t>
  </si>
  <si>
    <t>FIFA World Cup Victory</t>
  </si>
  <si>
    <t>Sweden</t>
  </si>
  <si>
    <t>Brazil wins its first FIFA World Cup boosting national pride</t>
  </si>
  <si>
    <t>Football team</t>
  </si>
  <si>
    <t>Construction of Brasília</t>
  </si>
  <si>
    <t>Urban Development</t>
  </si>
  <si>
    <t>Brasília</t>
  </si>
  <si>
    <t>Creation of a new capital aiming at interior development and national integration</t>
  </si>
  <si>
    <t>Juscelino Kubitschek</t>
  </si>
  <si>
    <t>Tropicália Movement</t>
  </si>
  <si>
    <t>AvantUnknowngarde music and arts movement challenging traditional Brazilian culture</t>
  </si>
  <si>
    <t>Artists and intellectuals</t>
  </si>
  <si>
    <t>Caetano Veloso</t>
  </si>
  <si>
    <t>Fernando Collor's Impeachment</t>
  </si>
  <si>
    <t>First Brazilian president to be impeached due to corruption charges</t>
  </si>
  <si>
    <t>National Congress</t>
  </si>
  <si>
    <t>Plano Real Economic Stabilization</t>
  </si>
  <si>
    <t>Introduction of the Real (R$) to stabilize the Brazilian economy</t>
  </si>
  <si>
    <t>Rio Earth Summit</t>
  </si>
  <si>
    <t>International conference on environment and sustainability</t>
  </si>
  <si>
    <t>UN</t>
  </si>
  <si>
    <t>FHC Presidency (Fernando Henrique Cardoso)</t>
  </si>
  <si>
    <t>Implementation of economic reforms and Plano Real</t>
  </si>
  <si>
    <t>Fernando Henrique Cardoso</t>
  </si>
  <si>
    <t>Mensalão Scandal</t>
  </si>
  <si>
    <t>Major corruption scandal involving bribery and misuse of public funds</t>
  </si>
  <si>
    <t>Various politicians</t>
  </si>
  <si>
    <t>Dilma Rousseff's Impeachment</t>
  </si>
  <si>
    <t>Second Brazilian president to be impeached accused of fiscal mismanagement</t>
  </si>
  <si>
    <t>Zika Virus Outbreak</t>
  </si>
  <si>
    <t>Major health crisis linked to birth defects sparking international concern</t>
  </si>
  <si>
    <t>Operation Car Wash (Lava Jato)</t>
  </si>
  <si>
    <t>Extensive corruption investigation impacting politics and businesses</t>
  </si>
  <si>
    <t>Federal Police</t>
  </si>
  <si>
    <t>Amazon Rainforest Wildfires</t>
  </si>
  <si>
    <t>Amazon Rainforest</t>
  </si>
  <si>
    <t>International attention on Brazil's environmental policies and conservation efforts</t>
  </si>
  <si>
    <t>Global and local environment</t>
  </si>
  <si>
    <t>Various stakeholders</t>
  </si>
  <si>
    <t>Bolsonaro Presidency Begins</t>
  </si>
  <si>
    <t>Marked by controversial environmental policies and conservative agenda</t>
  </si>
  <si>
    <t>Jair Bolsonaro</t>
  </si>
  <si>
    <t>Foundation of the Holy Roman Empire</t>
  </si>
  <si>
    <t>962</t>
  </si>
  <si>
    <t>Germany</t>
  </si>
  <si>
    <t>Germanic peoples</t>
  </si>
  <si>
    <t>Otto I</t>
  </si>
  <si>
    <t>The Investiture Controversy</t>
  </si>
  <si>
    <t>1075</t>
  </si>
  <si>
    <t>Conflict between the monarchy and the papacy over appointment of bishops</t>
  </si>
  <si>
    <t>The Black Death in Europe</t>
  </si>
  <si>
    <t>1347</t>
  </si>
  <si>
    <t>One of the most devastating pandemics in human history killing an estimated 25 million people in Europe</t>
  </si>
  <si>
    <t>Martin Luther's 95 Theses</t>
  </si>
  <si>
    <t>1517</t>
  </si>
  <si>
    <t>Wittenberg</t>
  </si>
  <si>
    <t>Initiated the Protestant Reformation</t>
  </si>
  <si>
    <t>Christians</t>
  </si>
  <si>
    <t>Martin Luther</t>
  </si>
  <si>
    <t>The Peace of Augsburg</t>
  </si>
  <si>
    <t>1555</t>
  </si>
  <si>
    <t>Augsburg</t>
  </si>
  <si>
    <t>Allowed rulers to choose between Lutheranism and Catholicism leading to religious division</t>
  </si>
  <si>
    <t>German states</t>
  </si>
  <si>
    <t>The Defenestration of Prague</t>
  </si>
  <si>
    <t>1618</t>
  </si>
  <si>
    <t>Prague</t>
  </si>
  <si>
    <t>Triggered the Thirty Years' War</t>
  </si>
  <si>
    <t>Central European Christians</t>
  </si>
  <si>
    <t>Bohemian Protestant nobles</t>
  </si>
  <si>
    <t>The Peace of Westphalia</t>
  </si>
  <si>
    <t>1648</t>
  </si>
  <si>
    <t>Münster and Osnabrück</t>
  </si>
  <si>
    <t>Ended the Thirty Years' War marking the beginning of the state system</t>
  </si>
  <si>
    <t>European states</t>
  </si>
  <si>
    <t>The Foundation of the Kingdom of Prussia</t>
  </si>
  <si>
    <t>Königsberg</t>
  </si>
  <si>
    <t>Establishment of Prussia as a kingdom leading to its rise as a major European power</t>
  </si>
  <si>
    <t>Prussians, Frederick I</t>
  </si>
  <si>
    <t>The Seven Years' War</t>
  </si>
  <si>
    <t>1756</t>
  </si>
  <si>
    <t>Confirmed Prussia's status as a great European power shaping European geopolitics</t>
  </si>
  <si>
    <t>German population</t>
  </si>
  <si>
    <t>European powers, Frederick II</t>
  </si>
  <si>
    <t>The Partition of Poland</t>
  </si>
  <si>
    <t>1772</t>
  </si>
  <si>
    <t>Poland</t>
  </si>
  <si>
    <t>Prussia acquired West Prussia</t>
  </si>
  <si>
    <t>Poznań  and other territories</t>
  </si>
  <si>
    <t>Polish population</t>
  </si>
  <si>
    <t>Napoleonic Wars and the Battle of Leipzig</t>
  </si>
  <si>
    <t>1813</t>
  </si>
  <si>
    <t>Leipzig</t>
  </si>
  <si>
    <t>Decisive defeat of Napoleon's forces leading to his retreat from Germany</t>
  </si>
  <si>
    <t>Allied forces against Napoleon</t>
  </si>
  <si>
    <t>Congress of Vienna</t>
  </si>
  <si>
    <t>Vienna</t>
  </si>
  <si>
    <t>Redrew the map of Europe after the Napoleonic Wars stabilizing the continent</t>
  </si>
  <si>
    <t>Europeans</t>
  </si>
  <si>
    <t>Revolutions of 1848 in the German states</t>
  </si>
  <si>
    <t>Political/Social</t>
  </si>
  <si>
    <t>Series of interconnected revolutions demanding national unification and liberal reforms</t>
  </si>
  <si>
    <t>Various revolutionary groups</t>
  </si>
  <si>
    <t>Unification of Germany</t>
  </si>
  <si>
    <t>Versailles</t>
  </si>
  <si>
    <t>Establishment of the German Empire under Prussian leadership</t>
  </si>
  <si>
    <t>Wilhelm I</t>
  </si>
  <si>
    <t>France/Germany</t>
  </si>
  <si>
    <t>Solidified German unification and shifted the balance of power in Europe</t>
  </si>
  <si>
    <t>French and Germans</t>
  </si>
  <si>
    <t>World War I</t>
  </si>
  <si>
    <t>Germany's defeat led to significant territorial losses and the Treaty of Versailles</t>
  </si>
  <si>
    <t>Weimar Republic Established</t>
  </si>
  <si>
    <t>Transition from imperial to democratic governance though faced instability</t>
  </si>
  <si>
    <t>Friedrich Ebert</t>
  </si>
  <si>
    <t>Hyperinflation Crisis</t>
  </si>
  <si>
    <t>1923</t>
  </si>
  <si>
    <t>Economic crisis causing severe inflation crippling the economy</t>
  </si>
  <si>
    <t>Weimar Government</t>
  </si>
  <si>
    <t>Nazi Party's Rise to Power</t>
  </si>
  <si>
    <t>Adolf Hitler becomes Chancellor leading to totalitarian regime and WWII</t>
  </si>
  <si>
    <t>Kristallnacht (Night of Broken Glass)</t>
  </si>
  <si>
    <t>Pogrom</t>
  </si>
  <si>
    <t>Nationwide attack on Jewish people and properties</t>
  </si>
  <si>
    <t>Jewish Germans</t>
  </si>
  <si>
    <t>Nazi regime</t>
  </si>
  <si>
    <t>Beginning of World War II</t>
  </si>
  <si>
    <t>Poland/Germany</t>
  </si>
  <si>
    <t>Invasion of Poland by Germany leading to global conflict</t>
  </si>
  <si>
    <t>The Holocaust</t>
  </si>
  <si>
    <t>Systematic murder of six million Jews and millions of others</t>
  </si>
  <si>
    <t>Jews</t>
  </si>
  <si>
    <t xml:space="preserve"> Nazi regime</t>
  </si>
  <si>
    <t>Stalingrad (Volgograd)</t>
  </si>
  <si>
    <t>Turning point in WWII first major defeat of Nazi Germany</t>
  </si>
  <si>
    <t xml:space="preserve"> Soviet Union</t>
  </si>
  <si>
    <t>DUnknownDay (Normandy Landings)</t>
  </si>
  <si>
    <t>Normandy</t>
  </si>
  <si>
    <t>Allied invasion of NaziUnknownoccupied Europe beginning of the end of WWII in Europe</t>
  </si>
  <si>
    <t>European civilians</t>
  </si>
  <si>
    <t>Surrender of Nazi Germany</t>
  </si>
  <si>
    <t>Reims/Berlin</t>
  </si>
  <si>
    <t>End of World War II in Europe</t>
  </si>
  <si>
    <t>Marshall Plan Aid</t>
  </si>
  <si>
    <t>West Germany</t>
  </si>
  <si>
    <t>US financial aid for European recovery postUnknownWWII significantly aiding West Germany's recovery</t>
  </si>
  <si>
    <t>Foundation of the Federal Republic of Germany (West Germany) and the German Democratic Republic (East Germany)</t>
  </si>
  <si>
    <t>Division of Germany into East and West marking the start of the Cold War era</t>
  </si>
  <si>
    <t>Construction of the Berlin Wall</t>
  </si>
  <si>
    <t>Berlin</t>
  </si>
  <si>
    <t>Physical division of East and West Berlin preventing East Germans from fleeing to the West</t>
  </si>
  <si>
    <t>Berliners</t>
  </si>
  <si>
    <t>East German government</t>
  </si>
  <si>
    <t>The Berlin Wall Falls</t>
  </si>
  <si>
    <t>Symbolic end of the Cold War leading to German reunification</t>
  </si>
  <si>
    <t>German Reunification</t>
  </si>
  <si>
    <t>Reunification of East and West Germany into a single German state</t>
  </si>
  <si>
    <t>Helmut Kohl</t>
  </si>
  <si>
    <t>Treaty on the Final Settlement with Respect to Germany</t>
  </si>
  <si>
    <t>Ended the Four Power rights and responsibilities for Germany and Berlin paving the way for German reunification</t>
  </si>
  <si>
    <t>Two Plus Four Agreement negotiators</t>
  </si>
  <si>
    <t>Establishment of the European</t>
  </si>
  <si>
    <t>Maastricht</t>
  </si>
  <si>
    <t>The Maastricht Treaty laid the foundation for further European integration</t>
  </si>
  <si>
    <t>European Community members</t>
  </si>
  <si>
    <t>Adoption of the Euro</t>
  </si>
  <si>
    <t>Introduction of the Euro as the official currency replacing the Deutsche Mark</t>
  </si>
  <si>
    <t>European Central Bank</t>
  </si>
  <si>
    <t>2006 FIFA World Cup</t>
  </si>
  <si>
    <t>Hosted the FIFA World Cup showcasing Germany on the global stage</t>
  </si>
  <si>
    <t>FIFA</t>
  </si>
  <si>
    <t>Refugee Crisis</t>
  </si>
  <si>
    <t>Humanitarian</t>
  </si>
  <si>
    <t>Germany opens its borders to a large number of refugees sparking debates on immigration policy</t>
  </si>
  <si>
    <t>Refugees</t>
  </si>
  <si>
    <t>May Revolution</t>
  </si>
  <si>
    <t>1810</t>
  </si>
  <si>
    <t>Argentina</t>
  </si>
  <si>
    <t>Buenos Aires</t>
  </si>
  <si>
    <t>Beginning of the Argentine War for Independence from Spain</t>
  </si>
  <si>
    <t>Argentinians</t>
  </si>
  <si>
    <t>Revolutionary leaders of the Primera Junta</t>
  </si>
  <si>
    <t>1816</t>
  </si>
  <si>
    <t>Tucumán</t>
  </si>
  <si>
    <t>Formal declaration of independence from Spanish rule</t>
  </si>
  <si>
    <t>Congress of Tucumán</t>
  </si>
  <si>
    <t>Conquest of the Desert</t>
  </si>
  <si>
    <t>Patagonia</t>
  </si>
  <si>
    <t>Expansion into Patagonian territories displacing indigenous populations</t>
  </si>
  <si>
    <t>Julio Argentino Roca</t>
  </si>
  <si>
    <t>Immigration Wave to Argentina</t>
  </si>
  <si>
    <t>Social</t>
  </si>
  <si>
    <t>Significant European immigration shaping the cultural and demographic profile</t>
  </si>
  <si>
    <t>Immigrants</t>
  </si>
  <si>
    <t>Argentine Government</t>
  </si>
  <si>
    <t>First Presidency of Juan Domin go Perón</t>
  </si>
  <si>
    <t>Implementation of social and economic reforms workers' rights enhancement</t>
  </si>
  <si>
    <t>Juan Domingo Perón</t>
  </si>
  <si>
    <t>The Dirty War</t>
  </si>
  <si>
    <t>Period of state terrorism against suspected dissidents and subversives</t>
  </si>
  <si>
    <t>Military Junta</t>
  </si>
  <si>
    <t>Conflict with the UK over the Falkland Islands leading to Argentine defeat</t>
  </si>
  <si>
    <t>British</t>
  </si>
  <si>
    <t>Return to Democracy</t>
  </si>
  <si>
    <t>End of military rule and restoration of democracy</t>
  </si>
  <si>
    <t>Raúl Alfonsín</t>
  </si>
  <si>
    <t>2001 Economic Crisis</t>
  </si>
  <si>
    <t>Severe economic crisis leading to social unrest and governmental changes</t>
  </si>
  <si>
    <t>Fernando de la Rúa</t>
  </si>
  <si>
    <t>SameUnknownSex Marriage Law</t>
  </si>
  <si>
    <t>First country in Latin America to legalize sameUnknownsex marriage</t>
  </si>
  <si>
    <t>Argentine Legislature</t>
  </si>
  <si>
    <t>Nationalization of YPF</t>
  </si>
  <si>
    <t>Government takeover of YPF from Repsol</t>
  </si>
  <si>
    <t>Cristina Fernández de Kirchner</t>
  </si>
  <si>
    <t>1978 FIFA World Cup Victory</t>
  </si>
  <si>
    <t>Argentina wins its first FIFA World Cup boosting national pride</t>
  </si>
  <si>
    <t>Argentine National Football Team</t>
  </si>
  <si>
    <t>Economic Crisis and IMF Loan</t>
  </si>
  <si>
    <t>Severe economic crisis leading to the largest IMF loan in history</t>
  </si>
  <si>
    <t>Mauricio Macri, IMF</t>
  </si>
  <si>
    <t>Jorge Mario Bergoglio becomes Pope Francis</t>
  </si>
  <si>
    <t>Vatican City</t>
  </si>
  <si>
    <t>First Pope from the Americas global impact on Catholic Church</t>
  </si>
  <si>
    <t>Catholics worldwide</t>
  </si>
  <si>
    <t>Jorge Mario Bergoglio</t>
  </si>
  <si>
    <t>Cacerolazo Protests</t>
  </si>
  <si>
    <t>Mass protests against the government's handling of the economic crisis</t>
  </si>
  <si>
    <t>Legalization of Abortion</t>
  </si>
  <si>
    <t>Legalization of abortion up to the 14th week of pregnancy</t>
  </si>
  <si>
    <t>Establishment of the Olmec Civilization</t>
  </si>
  <si>
    <t>Mexico</t>
  </si>
  <si>
    <t>Development of the first major civilization in Mexico</t>
  </si>
  <si>
    <t>Indigenous populations</t>
  </si>
  <si>
    <t>Founding of Teotihuacan</t>
  </si>
  <si>
    <t>Near Mexico City</t>
  </si>
  <si>
    <t>Rise of a major preUnknownColumbian city known for its pyramids</t>
  </si>
  <si>
    <t>Maya Civilization's Classical Period</t>
  </si>
  <si>
    <t>250</t>
  </si>
  <si>
    <t>Yucatán Peninsula</t>
  </si>
  <si>
    <t>Flourishing of Maya science, art and architecture affecting trade networks and political power</t>
  </si>
  <si>
    <t>Mayans</t>
  </si>
  <si>
    <t>The Fall of Teotihuacan</t>
  </si>
  <si>
    <t>750</t>
  </si>
  <si>
    <t>Decline</t>
  </si>
  <si>
    <t>Teotihuacan</t>
  </si>
  <si>
    <t>Mysterious decline of a powerful city</t>
  </si>
  <si>
    <t>Founding of Tenochtitlán</t>
  </si>
  <si>
    <t>1325</t>
  </si>
  <si>
    <t>Lake Texcoco</t>
  </si>
  <si>
    <t>Establishment of the Aztec capital foundation for future Mexico City</t>
  </si>
  <si>
    <t>Aztecs</t>
  </si>
  <si>
    <t>Arrival of the Spanish and the Fall of Tenochtitlán</t>
  </si>
  <si>
    <t>1521</t>
  </si>
  <si>
    <t>Tenochtitlán</t>
  </si>
  <si>
    <t>Conquest of the Aztec Empire by Spanish forces</t>
  </si>
  <si>
    <t>Hernán Cortés</t>
  </si>
  <si>
    <t>Colonial Period Begins</t>
  </si>
  <si>
    <t>Start of Spanish colonial rule impacting culture society governance</t>
  </si>
  <si>
    <t>Spanish colonizers</t>
  </si>
  <si>
    <t>Mexican War of Independence Begins</t>
  </si>
  <si>
    <t>Dolores</t>
  </si>
  <si>
    <t>Start of a war against Spanish rule leading to eventual independence</t>
  </si>
  <si>
    <t>Mexicans</t>
  </si>
  <si>
    <t>Miguel Hidalgo y Costilla</t>
  </si>
  <si>
    <t>Treaty of Córdoba</t>
  </si>
  <si>
    <t>1821</t>
  </si>
  <si>
    <t>Córdoba</t>
  </si>
  <si>
    <t>Formal independence from Spain recognized</t>
  </si>
  <si>
    <t>Agustín de Iturbide</t>
  </si>
  <si>
    <t>First Mexican Empire Declared</t>
  </si>
  <si>
    <t>Brief establishment of an empire soon transitioning to a republic</t>
  </si>
  <si>
    <t>U.S.UnknownMexican War</t>
  </si>
  <si>
    <t>Northern Mexico</t>
  </si>
  <si>
    <t>Loss of vast territories to the United States</t>
  </si>
  <si>
    <t>US</t>
  </si>
  <si>
    <t>Reform Wars</t>
  </si>
  <si>
    <t>Liberal vs. Conservative conflict leading to constitutional reforms</t>
  </si>
  <si>
    <t>Benito Juárez</t>
  </si>
  <si>
    <t>French Intervention in Mexico</t>
  </si>
  <si>
    <t>Establishment and fall of the Second Mexican Empire</t>
  </si>
  <si>
    <t>Mexican Revolution</t>
  </si>
  <si>
    <t>Major revolution that transformed Mexican politics and society</t>
  </si>
  <si>
    <t>Francisco I. Madero</t>
  </si>
  <si>
    <t>Data Profiling</t>
  </si>
  <si>
    <t>Total rows</t>
  </si>
  <si>
    <t>Column</t>
  </si>
  <si>
    <t>Blank cells</t>
  </si>
  <si>
    <t>Looks blank (spaces only)</t>
  </si>
  <si>
    <t>"Unknown" cells</t>
  </si>
  <si>
    <t>Distinct values</t>
  </si>
  <si>
    <t>Rows in duplicate groups</t>
  </si>
  <si>
    <t>Duplicate events (name + year + country)</t>
  </si>
  <si>
    <t>Year checks</t>
  </si>
  <si>
    <t>Years written with BC</t>
  </si>
  <si>
    <t>Year = 0 (doesn't exist)</t>
  </si>
  <si>
    <t>Years with extra spaces</t>
  </si>
  <si>
    <t>Latest year</t>
  </si>
  <si>
    <t>Qutb-ud-din Aibak</t>
  </si>
  <si>
    <t>Indo-Pakistani War of 1971</t>
  </si>
  <si>
    <t>Pokhran-II Nuclear Tests</t>
  </si>
  <si>
    <t>Lashkar-e-Taiba</t>
  </si>
  <si>
    <t>First large-scale rebellion against British rule</t>
  </si>
  <si>
    <t>Proposal for high-speed transportation system</t>
  </si>
  <si>
    <t>Sino-Indian War</t>
  </si>
  <si>
    <t>Opening of Bandra-Worli Sea Link</t>
  </si>
  <si>
    <t>Nationwide Lockdown due to COVID-19</t>
  </si>
  <si>
    <t>Aimed to prevent the spread of COVID-19; significant economic impact</t>
  </si>
  <si>
    <t>Launch of Chandrayaan-1</t>
  </si>
  <si>
    <t>Jaish-e-Mohammed</t>
  </si>
  <si>
    <t>India co-launched the International Solar Alliance to promote solar energy globally</t>
  </si>
  <si>
    <t>Led to cross-border surgical strikes by India against militant launch pads in Pakistan</t>
  </si>
  <si>
    <t>Non-Cooperation Movement</t>
  </si>
  <si>
    <t>Non-violent resistance against British rule, emphasizing swaraj and swadeshi.</t>
  </si>
  <si>
    <t>Led to Gandhi halting the Non-Cooperation Movement due to violence.</t>
  </si>
  <si>
    <t>British Government (pre-independence)</t>
  </si>
  <si>
    <t>The spiritual and cultural center for the Sikh religion, known for its gold-plated facade.</t>
  </si>
  <si>
    <t>First Indo-Pak War</t>
  </si>
  <si>
    <t>Pakistan's Nuclear Tests (Chagai-I)</t>
  </si>
  <si>
    <t>Operation Zarb-e-Azb</t>
  </si>
  <si>
    <t>Tehrik-i-Taliban Pakistan</t>
  </si>
  <si>
    <t>China-Pakistan Economic Corridor (CPEC) Agreement</t>
  </si>
  <si>
    <t>A border corridor between Pakistan and India, allowing Sikh pilgrims visa-free access to a holy site.</t>
  </si>
  <si>
    <t>Pakistan Tehreek-e-Insaf (PTI)</t>
  </si>
  <si>
    <t>2019 Pulwama Attack and India-Pakistan Standoff</t>
  </si>
  <si>
    <t>Led to heightened military tensions between India and Pakistan, including cross-border air strikes.</t>
  </si>
  <si>
    <t>Jaish-e-Mohammed, Governments of India and Pakistan</t>
  </si>
  <si>
    <t>Minar-e-Pakistan Construction</t>
  </si>
  <si>
    <t>All-India Muslim League</t>
  </si>
  <si>
    <t>A water-distribution treaty between India and Pakistan, brokered by the World Bank.</t>
  </si>
  <si>
    <t>Leaders of Muslim-majority countries</t>
  </si>
  <si>
    <t>China-Pakistan Friendship Highway Completion</t>
  </si>
  <si>
    <t>Low-income families</t>
  </si>
  <si>
    <t>Launch of Badr-1, Pakistan's first indigenously developed and manufactured satellite.</t>
  </si>
  <si>
    <t>Development of a major deep-sea port in the Arabian Sea, aiming to enhance trade.</t>
  </si>
  <si>
    <t>Marked the end of British colonial rule and the beginning of self-governance.</t>
  </si>
  <si>
    <t>Established free education from primary to post-graduate levels.</t>
  </si>
  <si>
    <t>1987 Indo-Sri Lanka Accord</t>
  </si>
  <si>
    <t>Conflict-affected populations</t>
  </si>
  <si>
    <t>Sun Yat-sen</t>
  </si>
  <si>
    <t>Anti-Imperialist Uprising</t>
  </si>
  <si>
    <t>An anti-foreigner movement that aimed to rid China of foreign influence.</t>
  </si>
  <si>
    <t>A student-led protest against the Treaty of Versailles' decisions, sparking significant cultural and intellectual reform.</t>
  </si>
  <si>
    <t>One-Child Policy Introduced</t>
  </si>
  <si>
    <t>Sino-Japanese War (Second)</t>
  </si>
  <si>
    <t>Reaffirmed the commitment to economic reforms and opening-up policies, leading to rapid economic growth.</t>
  </si>
  <si>
    <t>Economic Reform and Opening-up Policy Initiated</t>
  </si>
  <si>
    <t>Sino-American Rapprochement</t>
  </si>
  <si>
    <t>Reform and Opening-up Policy</t>
  </si>
  <si>
    <t>Pro-democracy protests calling for political reform; violently suppressed by the government.</t>
  </si>
  <si>
    <t>Anti-Secession Law Passed</t>
  </si>
  <si>
    <t>Aimed at preventing Taiwan's independence through non-peaceful means, escalating cross-strait tensions.</t>
  </si>
  <si>
    <t>High-Speed Rail Expansion</t>
  </si>
  <si>
    <t>Initiated extensive development of the high-speed rail network, revolutionizing domestic travel and connectivity.</t>
  </si>
  <si>
    <t>A strategic plan to transition China into a high-tech manufacturing leader, affecting global trade dynamics.</t>
  </si>
  <si>
    <t>Chang'e-5 Moon Mission Success</t>
  </si>
  <si>
    <t>Russo-Japanese War</t>
  </si>
  <si>
    <t>A multi-party war in the former Russian Empire fought between the Bolshevik Red Army and various forces.</t>
  </si>
  <si>
    <t>Treaty of Brest-Litovsk</t>
  </si>
  <si>
    <t>Brest-Litovsk (now Brest, Belarus)</t>
  </si>
  <si>
    <t>First Five-Year Plan Initiated</t>
  </si>
  <si>
    <t>Soviet-Finnish Winter War</t>
  </si>
  <si>
    <t>Led to discussions on post-war reorganization and laid the groundwork for the United Nations.</t>
  </si>
  <si>
    <t>Agreements on the post-war reorganization of Europe and Germany, setting the stage for the Cold War.</t>
  </si>
  <si>
    <t>Marked the end of Stalin's rule and the beginning of the de-Stalinization process under his successors.</t>
  </si>
  <si>
    <t>A 13-day confrontation between the United States and the Soviet Union over Soviet ballistic missiles in Cuba.</t>
  </si>
  <si>
    <t>Denounced the crimes of Joseph Stalin, marking the beginning of the de-Stalinization.</t>
  </si>
  <si>
    <t>Soviet-Afghan War</t>
  </si>
  <si>
    <t>Signified the transition towards democratic governance and market economics in post-Soviet Russia.</t>
  </si>
  <si>
    <t>A political stand-off between the Russian president and the parliament culminated in military conflict.</t>
  </si>
  <si>
    <t>Heian-kyō (Kyoto)</t>
  </si>
  <si>
    <t>Often considered the world's first novel, showcasing the sophistication of Heian-era culture and society.</t>
  </si>
  <si>
    <t>Azuchi-Momoyama Period Begins</t>
  </si>
  <si>
    <t>Sino-Japanese War</t>
  </si>
  <si>
    <t>Marked the beginning of Japan's aggressive expansion in East Asia, leading to the Second Sino-Japanese War.</t>
  </si>
  <si>
    <t>Second Sino-Japanese War</t>
  </si>
  <si>
    <t>First Sino-Japanese War</t>
  </si>
  <si>
    <t>Japan-Korea Annexation Treaty</t>
  </si>
  <si>
    <t>The start of the full-scale Second Sino-Japanese War, escalating conflict in East Asia.</t>
  </si>
  <si>
    <t>Marked the end of World War II and the beginning of Japan's post-war reconstruction and pacifism era.</t>
  </si>
  <si>
    <t>Prompted a shift in Japan's economy towards energy-efficient industries and high technology.</t>
  </si>
  <si>
    <t>Japan-China Joint Communiqué</t>
  </si>
  <si>
    <t>Normalized diplomatic relations between Japan and China, ending the post-war state of hostility.</t>
  </si>
  <si>
    <t>Japan-Korea Comfort Women Agreement</t>
  </si>
  <si>
    <t>Aimed to resolve the long-standing issue of "comfort women" during WWII, though met with criticism and controversy.</t>
  </si>
  <si>
    <t>Shinzo Abe (Prime Minister), Park Geun-hye</t>
  </si>
  <si>
    <t>The Olympics were postponed for the first time in history due to the COVID-19 pandemic.</t>
  </si>
  <si>
    <t>A constitutional crisis that led to the dismissal of the Whitlam government by the Governor-General.</t>
  </si>
  <si>
    <t>A constitutional crisis that led to the dismissal of the Whitlam government, highlighting the power of the Governor-General.</t>
  </si>
  <si>
    <t>Same-Sex Marriage Legalization</t>
  </si>
  <si>
    <t>Legalized same-sex marriage, marking a significant advancement in LGBTQ+ rights.</t>
  </si>
  <si>
    <t>Granted self-government to New Zealand, allowing for the establishment of a central government and provincial governments.</t>
  </si>
  <si>
    <t>Made New Zealand the first self-governing country in the world to grant all women the right to vote in parliamentary elections.</t>
  </si>
  <si>
    <t>New Zealand's anti-nuclear stance led to a suspension from the ANZUS security treaty, affirming its nuclear-free policy.</t>
  </si>
  <si>
    <t>Legislated New Zealand as a nuclear-free zone, prohibiting nuclear weapons and power plants within the country.</t>
  </si>
  <si>
    <t>Economic reforms aimed at liberalizing the economy, introducing free-market policies.</t>
  </si>
  <si>
    <t>Anti-apartheid protests against the South African rugby team's tour highlighted civil rights and anti-racism issues.</t>
  </si>
  <si>
    <t>Anti-Apartheid Movements</t>
  </si>
  <si>
    <t>Anti-Nuclear Legislation Enacted</t>
  </si>
  <si>
    <t>Cemented New Zealand's stance on remaining nuclear-free, influencing international relations and environmental policy.</t>
  </si>
  <si>
    <t>Led to Goryeo becoming a semi-autonomous vassal state of the Mongol Empire, impacting Korean sovereignty.</t>
  </si>
  <si>
    <t>Toyotomi Hideyoshi, Admiral Yi Sun-sin</t>
  </si>
  <si>
    <t>The Japanese-orchestrated assassination heightened Korean resentment towards Japan and destabilized the court.</t>
  </si>
  <si>
    <t>Formed by Korean exiles, it acted as the de facto Korean government-in-exile opposing Japanese rule.</t>
  </si>
  <si>
    <t>Kim Il-sung</t>
  </si>
  <si>
    <t>A violent suppression of a rebellion, leading to significant loss of life and highlighting post-liberation tensions.</t>
  </si>
  <si>
    <t>The US established a military government in South Korea post-liberation, influencing its political development.</t>
  </si>
  <si>
    <t>Formalized Kim Il-sung’s Juche ideology, emphasizing self-reliance and independence in all state matters.</t>
  </si>
  <si>
    <t>Kim Il-sung’s Death</t>
  </si>
  <si>
    <t>Marked the end of Kim Il-sung’s era and the beginning of Kim Jong-il’s leadership.</t>
  </si>
  <si>
    <t>Kim Jong-il</t>
  </si>
  <si>
    <t>Military coup led by Park Chung-hee, resulting in economic development but also authoritarian rule.</t>
  </si>
  <si>
    <t>Park Chung-hee</t>
  </si>
  <si>
    <t>Chun Doo-hwan, democratic activists</t>
  </si>
  <si>
    <t>Roh Tae-woo</t>
  </si>
  <si>
    <t>Kim Dae-jung’s Sunshine Policy</t>
  </si>
  <si>
    <t>A policy of engagement with North Korea, leading to a brief period of improved inter-Korean relations.</t>
  </si>
  <si>
    <t>Kim Dae-jung</t>
  </si>
  <si>
    <t>Co-hosted with Japan, this event marked South Korea's significant presence in international sports.</t>
  </si>
  <si>
    <t>Impeachment of President Roh Moo-hyun</t>
  </si>
  <si>
    <t>Moon Jae-in, US government</t>
  </si>
  <si>
    <t>2018 Inter-Korean Summit</t>
  </si>
  <si>
    <t>Moon Jae-in, Kim Jong-un</t>
  </si>
  <si>
    <t>Death of Kim Jong-il</t>
  </si>
  <si>
    <t>Marked the end of Kim Jong-il's era and the beginning of Kim Jong-un's rule.</t>
  </si>
  <si>
    <t>Kim Jong-un Assumes Power</t>
  </si>
  <si>
    <t>Kim Jong-un</t>
  </si>
  <si>
    <t>Normalization of US-Vietnam Relations</t>
  </si>
  <si>
    <t>Hosted leaders from the Asia-Pacific region, showcasing Vietnam's role on the international stage.</t>
  </si>
  <si>
    <t>Launched VINASAT-1, marking Vietnam's entry into the space age and enhancing communication capabilities.</t>
  </si>
  <si>
    <t>Barack Obama's visit underscored the continued improvement of US-Vietnam relations post-normalization.</t>
  </si>
  <si>
    <t>COVID-19 Pandemic Response</t>
  </si>
  <si>
    <t>Vietnam's effective early response to the COVID-19 pandemic was internationally praised for its efficiency.</t>
  </si>
  <si>
    <t>Hồ Dynasty's Adoption of Neo-Confucianism</t>
  </si>
  <si>
    <t>Marked a shift towards Neo-Confucianism, influencing Vietnamese society, politics, and education.</t>
  </si>
  <si>
    <t>Muhammad ibn Saud, Muhammad ibn Abd al-Wahhab</t>
  </si>
  <si>
    <t>Saudi-Yemeni War</t>
  </si>
  <si>
    <t>Conflict with Yemen resulted in the Treaty of Taif, which defined the Saudi-Yemeni border and expanded Saudi territory.</t>
  </si>
  <si>
    <t>The treaty with Yemen following the Saudi-Yemeni War confirmed Saudi territorial gains and defined borders.</t>
  </si>
  <si>
    <t>Participation in the Arab-Israeli War</t>
  </si>
  <si>
    <t>Construction of the Trans-Arabian Pipeline</t>
  </si>
  <si>
    <t>Juhayman al-Otaybi's Seizure of the Grand Mosque</t>
  </si>
  <si>
    <t>A two-week siege that challenged the Saudi royal family's legitimacy and led to stricter religious policies.</t>
  </si>
  <si>
    <t>Juhayman al-Otaybi</t>
  </si>
  <si>
    <t>Iran-Iraq War and Saudi Involvement</t>
  </si>
  <si>
    <t>Al-Qaeda attacks targeting expatriates underscored the internal threat of extremism, leading to security reforms.</t>
  </si>
  <si>
    <t>Al-Qaeda</t>
  </si>
  <si>
    <t>Anti-Corruption Campaign</t>
  </si>
  <si>
    <t>High-profile arrests for corruption, signaling power consolidation by Crown Prince Mohammed bin Salman.</t>
  </si>
  <si>
    <t>Ritz-Carlton Riyadh Detentions</t>
  </si>
  <si>
    <t>Anti-Corruption Effort</t>
  </si>
  <si>
    <t>Prominent figures were detained in an anti-corruption crackdown, seen as consolidating power around the Crown Prince.</t>
  </si>
  <si>
    <t>Systematic purge of anti-Japanese elements</t>
  </si>
  <si>
    <t>Post-war Recovery</t>
  </si>
  <si>
    <t>Self-governance Achieved</t>
  </si>
  <si>
    <t>Singapore gained self-governance from the British</t>
  </si>
  <si>
    <t>Signing of the Anglo-Dutch Treaty</t>
  </si>
  <si>
    <t>The execution of two Australians for drug trafficking underscored Singapore's strict anti-drug laws.</t>
  </si>
  <si>
    <t>Anglo-Persian Oil Company Agreement</t>
  </si>
  <si>
    <t>Establishment of British control post-Ottoman Empire, setting the stage for modern Iraqi statehood.</t>
  </si>
  <si>
    <t>Abu al-Barakat Yusuf al-Barbari</t>
  </si>
  <si>
    <t>British protection in exchange for defense and non-interference in internal affairs.</t>
  </si>
  <si>
    <t>1754 BC</t>
  </si>
  <si>
    <t>Caliph Al-Mansur</t>
  </si>
  <si>
    <t>Sultanate Re-established</t>
  </si>
  <si>
    <t>Muhammad Thakurufaanu Al-A'uẓam</t>
  </si>
  <si>
    <t>Anglo-Russian Agreement</t>
  </si>
  <si>
    <t>Counter-Insurgency</t>
  </si>
  <si>
    <t>Duar War (British-Bhutan War)</t>
  </si>
  <si>
    <t>Anglo-Iranian Oil Company Nationalized</t>
  </si>
  <si>
    <t>Famine of 1932-1933</t>
  </si>
  <si>
    <t>First Five-Year Plan</t>
  </si>
  <si>
    <t>Iran-Iraq War</t>
  </si>
  <si>
    <t>Transition of power after the death of long-time leader Islam Karimov.</t>
  </si>
  <si>
    <t>Nur-Sultan</t>
  </si>
  <si>
    <t>Nursultan Nazarbayev resigns after decades in power, Kassym-Jomart Tokayev becomes president.</t>
  </si>
  <si>
    <t>Nursultan Nazarbayev, Kassym-Jomart Tokayev</t>
  </si>
  <si>
    <t>Amendment of the penal code to decriminalize same-sex relationships.</t>
  </si>
  <si>
    <t>The opposition coalition's victory, ending six decades of UMNO-led government rule.</t>
  </si>
  <si>
    <t>Boeing 777-200ER</t>
  </si>
  <si>
    <t>The world's deadliest single-aircraft accident with 520 fatalities.</t>
  </si>
  <si>
    <t>Disintegration in mid-flight due to structural failure, killing all 225 aboard.</t>
  </si>
  <si>
    <t>Boeing 747-209B</t>
  </si>
  <si>
    <t>Boeing 747-300</t>
  </si>
  <si>
    <t>Airbus A320-216</t>
  </si>
  <si>
    <t>Airbus A300B4-203</t>
  </si>
  <si>
    <t>Boeing 747-283B</t>
  </si>
  <si>
    <t>Boeing 737-36N</t>
  </si>
  <si>
    <t>One-Two-GO Airlines Flight 269</t>
  </si>
  <si>
    <t>McDonnell Douglas MD-82</t>
  </si>
  <si>
    <t>High-speed train collision due to signal failure, causing 40 deaths and over 190 injuries.</t>
  </si>
  <si>
    <t>High-speed Trains</t>
  </si>
  <si>
    <t>R-16 ballistic missile</t>
  </si>
  <si>
    <t>US-Mexico Border Wall Expansion</t>
  </si>
  <si>
    <t>US-Mexico Border</t>
  </si>
  <si>
    <t>Supreme Court legalized same-sex marriage, a landmark decision.</t>
  </si>
  <si>
    <t>Tech Boom and Dot-com Bubble</t>
  </si>
  <si>
    <t>Expanded surveillance powers post-9/11, raising privacy concerns.</t>
  </si>
  <si>
    <t>Pro-Trump rioters, U.S. Congress</t>
  </si>
  <si>
    <t>Declared the freedom of all slaves in Confederate-held territory.</t>
  </si>
  <si>
    <t>Spanish-American War</t>
  </si>
  <si>
    <t>Mexican-American War</t>
  </si>
  <si>
    <t>Established a system of old-age benefits and unemployment insurance.</t>
  </si>
  <si>
    <t>U.S. program to aid Europe's recovery post-WWII, strengthened Western alliances.</t>
  </si>
  <si>
    <t>Pre-Revolutionary Conflict</t>
  </si>
  <si>
    <t>Kansas-Nebraska Act</t>
  </si>
  <si>
    <t>Post-Civil War Reconstruction</t>
  </si>
  <si>
    <t>Attempt to rebuild and reform the Southern states post-Civil War, mixed success.</t>
  </si>
  <si>
    <t>John A. Macdonald, George-Étienne Cartier</t>
  </si>
  <si>
    <t>Legalization of Same-Sex Marriage</t>
  </si>
  <si>
    <t>Made Canada the fourth country worldwide to legalize same-sex marriage.</t>
  </si>
  <si>
    <t>Creation of Nunavut as a territory, acknowledging Inuit self-governance.</t>
  </si>
  <si>
    <t>One of the world's largest non-nuclear explosions, devastating Halifax.</t>
  </si>
  <si>
    <t>uniting the crowns</t>
  </si>
  <si>
    <t>Same-Sex Marriage Legalized</t>
  </si>
  <si>
    <t>Legalization of same-sex marriage in England and Wales</t>
  </si>
  <si>
    <t>COVID-19 Pandemic in the UK</t>
  </si>
  <si>
    <t>Signing of the Anglo-Irish Treaty</t>
  </si>
  <si>
    <t>Working-class population</t>
  </si>
  <si>
    <t>First Cloned Mammal - Dolly the Sheep</t>
  </si>
  <si>
    <t>UK Authorizes COVID-19 Vaccine</t>
  </si>
  <si>
    <t>First country to authorize a COVID-19 vaccine for emergency use</t>
  </si>
  <si>
    <t>Franco-Prussian War</t>
  </si>
  <si>
    <t>Legalization of same-sex marriage in France</t>
  </si>
  <si>
    <t>Notre-Dame de Paris Fire</t>
  </si>
  <si>
    <t>Revolutionary government in Paris following Franco-Prussian War</t>
  </si>
  <si>
    <t>Wrongful conviction for treason exposing anti-Semitism and political division</t>
  </si>
  <si>
    <t>Established a balance of power among Italian city-states</t>
  </si>
  <si>
    <t>Italian city-states</t>
  </si>
  <si>
    <t>Marked the end of the Franco-Spanish War (1635–1659)</t>
  </si>
  <si>
    <t>Franco-Spanish fleet, British Navy</t>
  </si>
  <si>
    <t>Liberal constitution, short-lived reforms</t>
  </si>
  <si>
    <t>Anti-terrorism Pact</t>
  </si>
  <si>
    <t>Approval of Same-Sex Marriage</t>
  </si>
  <si>
    <t>Made Spain one of the first countries to legalize same-sex marriage</t>
  </si>
  <si>
    <t>No-Confidence Vote Against Rajoy</t>
  </si>
  <si>
    <t>Launch of AVE High-Speed Train</t>
  </si>
  <si>
    <t>Between Madrid-Seville</t>
  </si>
  <si>
    <t>Danish-Swedish populations</t>
  </si>
  <si>
    <t>Danish loss of Schleswig-Holstein to Prussia and Austria.</t>
  </si>
  <si>
    <t>Swedes</t>
  </si>
  <si>
    <t>Félix Houphouët-Boigny</t>
  </si>
  <si>
    <t>First Sub-Saharan African country to gain independence.</t>
  </si>
  <si>
    <t>Anti-apartheid protest met with police violence, significant deaths.</t>
  </si>
  <si>
    <t>End of Belgian colonial rule, beginning of post-colonial challenges.</t>
  </si>
  <si>
    <t>Achieved de facto independence after a 30-year war, followed by a UN-supervised referendum.</t>
  </si>
  <si>
    <t>James Mancham, France-Albert René</t>
  </si>
  <si>
    <t>Guinea-Bissau</t>
  </si>
  <si>
    <t>Bissau-Guineans</t>
  </si>
  <si>
    <t>Transition from one-party state to multiparty democracy.</t>
  </si>
  <si>
    <t>23-25</t>
  </si>
  <si>
    <t>End of a decade-long civil war.</t>
  </si>
  <si>
    <t>Marked the end of Muammar Gaddafi's 42-year rule, leading to a period of instability.</t>
  </si>
  <si>
    <t>Ended Blaise Compaoré's 27-year rule, sparked by mass protests.</t>
  </si>
  <si>
    <t>Ended Robert Mugabe's 37-year rule, Emmerson Mnangagwa became president.</t>
  </si>
  <si>
    <t>Overthrow of President Omar al-Bashir, leading to transitional government.</t>
  </si>
  <si>
    <t>Al-Shabaab</t>
  </si>
  <si>
    <t>Marked by allegations of fraud and violence, Yoweri Museveni re-elected.</t>
  </si>
  <si>
    <t>Coast of present-day Brazil</t>
  </si>
  <si>
    <t>First working-class president</t>
  </si>
  <si>
    <t>Avant-garde music and arts movement challenging traditional Brazilian culture</t>
  </si>
  <si>
    <t>D-Day (Normandy Landings)</t>
  </si>
  <si>
    <t>Allied invasion of Nazi-occupied Europe beginning of the end of WWII in Europe</t>
  </si>
  <si>
    <t>US financial aid for European recovery post-WWII significantly aiding West Germany's recovery</t>
  </si>
  <si>
    <t>Same-Sex Marriage Law</t>
  </si>
  <si>
    <t>First country in Latin America to legalize same-sex marriage</t>
  </si>
  <si>
    <t>Rise of a major pre-Columbian city known for its pyramids</t>
  </si>
  <si>
    <t>U.S.-Mexican War</t>
  </si>
  <si>
    <t>Year_Num</t>
  </si>
  <si>
    <t>Century</t>
  </si>
  <si>
    <t>Era</t>
  </si>
  <si>
    <t>Country_Standard</t>
  </si>
  <si>
    <t>Region</t>
  </si>
  <si>
    <t>South Asia</t>
  </si>
  <si>
    <t>Middle East &amp; North Africa</t>
  </si>
  <si>
    <t>Sub-Saharan Africa</t>
  </si>
  <si>
    <t>Latin America</t>
  </si>
  <si>
    <t>Oceania</t>
  </si>
  <si>
    <t>North America</t>
  </si>
  <si>
    <t>East Asia</t>
  </si>
  <si>
    <t>Gibraltar (UK)</t>
  </si>
  <si>
    <t>Kuwait</t>
  </si>
  <si>
    <t>Spain / USA</t>
  </si>
  <si>
    <t>Multiple Regions</t>
  </si>
  <si>
    <t>Eswatini</t>
  </si>
  <si>
    <t>Country_Std</t>
  </si>
  <si>
    <t>Category</t>
  </si>
  <si>
    <t>Disasters &amp; Accidents</t>
  </si>
  <si>
    <t>Politics &amp; Law</t>
  </si>
  <si>
    <t>Economy &amp; Infrastructure</t>
  </si>
  <si>
    <t>Independence &amp; Nation-Building</t>
  </si>
  <si>
    <t>Culture, Religion &amp; Sport</t>
  </si>
  <si>
    <t>War &amp; Conflict</t>
  </si>
  <si>
    <t>Science, Technology &amp; Exploration</t>
  </si>
  <si>
    <t>Diplomacy &amp; International Relations</t>
  </si>
  <si>
    <t>Society &amp;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</si>
</sst>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2D0B4C6-3BEF-460C-89BF-6B4065E4C8A9}" autoFormatId="16" applyNumberFormats="0" applyBorderFormats="0" applyFontFormats="0" applyPatternFormats="0" applyAlignmentFormats="0" applyWidthHeightFormats="0">
  <queryTableRefresh nextId="7">
    <queryTableFields count="3">
      <queryTableField id="4" name="Country" tableColumnId="4"/>
      <queryTableField id="5" name="Country_Standard" tableColumnId="5"/>
      <queryTableField id="6" name="Reg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6107834-EA39-4B71-A513-464A16C7D781}" autoFormatId="16" applyNumberFormats="0" applyBorderFormats="0" applyFontFormats="0" applyPatternFormats="0" applyAlignmentFormats="0" applyWidthHeightFormats="0">
  <queryTableRefresh nextId="3">
    <queryTableFields count="2">
      <queryTableField id="1" name="Type of Event" tableColumnId="1"/>
      <queryTableField id="2" name="Categor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917452C-FFFB-4450-8480-DD82BACFD337}" autoFormatId="16" applyNumberFormats="0" applyBorderFormats="0" applyFontFormats="0" applyPatternFormats="0" applyAlignmentFormats="0" applyWidthHeightFormats="0">
  <queryTableRefresh nextId="19" unboundColumnsRight="5">
    <queryTableFields count="18">
      <queryTableField id="1" name="Sl. No" tableColumnId="1"/>
      <queryTableField id="2" name="Name of Incident" tableColumnId="2"/>
      <queryTableField id="3" name="Date" tableColumnId="3"/>
      <queryTableField id="4" name="Month" tableColumnId="4"/>
      <queryTableField id="5" name="Year" tableColumnId="5"/>
      <queryTableField id="6" name="Country" tableColumnId="6"/>
      <queryTableField id="7" name="Type of Event" tableColumnId="7"/>
      <queryTableField id="8" name="Place Name" tableColumnId="8"/>
      <queryTableField id="9" name="Impact" tableColumnId="9"/>
      <queryTableField id="10" name="Affected Population" tableColumnId="10"/>
      <queryTableField id="11" name="Important Person/Group Responsible" tableColumnId="11"/>
      <queryTableField id="12" name="Outcome" tableColumnId="12"/>
      <queryTableField id="13" name="Year_Num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861FDF9-7E41-487E-8E73-9C3750EE8BFA}" autoFormatId="16" applyNumberFormats="0" applyBorderFormats="0" applyFontFormats="0" applyPatternFormats="0" applyAlignmentFormats="0" applyWidthHeightFormats="0">
  <queryTableRefresh nextId="13">
    <queryTableFields count="12">
      <queryTableField id="1" name="Sl. No" tableColumnId="1"/>
      <queryTableField id="2" name="Name of Incident" tableColumnId="2"/>
      <queryTableField id="3" name="Date" tableColumnId="3"/>
      <queryTableField id="4" name="Month" tableColumnId="4"/>
      <queryTableField id="5" name="Year" tableColumnId="5"/>
      <queryTableField id="6" name="Country" tableColumnId="6"/>
      <queryTableField id="7" name="Type of Event" tableColumnId="7"/>
      <queryTableField id="8" name="Place Name" tableColumnId="8"/>
      <queryTableField id="9" name="Impact" tableColumnId="9"/>
      <queryTableField id="10" name="Affected Population" tableColumnId="10"/>
      <queryTableField id="11" name="Important Person/Group Responsible" tableColumnId="11"/>
      <queryTableField id="12" name="Outco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604620-6A4A-4DA1-A0F6-F40E95D0DAD1}" name="country_region" displayName="country_region" ref="A1:C114" tableType="queryTable" totalsRowShown="0">
  <autoFilter ref="A1:C114" xr:uid="{5A604620-6A4A-4DA1-A0F6-F40E95D0DAD1}"/>
  <tableColumns count="3">
    <tableColumn id="4" xr3:uid="{B4F5A1CB-0DC4-4D6F-9E95-2B07BF41001F}" uniqueName="4" name="Country" queryTableFieldId="4" dataDxfId="7"/>
    <tableColumn id="5" xr3:uid="{1A0CBB5C-CE8A-4A45-A194-F0BE45C03D58}" uniqueName="5" name="Country_Standard" queryTableFieldId="5" dataDxfId="6"/>
    <tableColumn id="6" xr3:uid="{57EEBABB-E866-426D-9634-AEF2E0A31D9D}" uniqueName="6" name="Region" queryTableFieldId="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BD119F-F250-491F-BFE4-C070FA17E3D1}" name="event_type_category" displayName="event_type_category" ref="E1:F403" tableType="queryTable" totalsRowShown="0">
  <autoFilter ref="E1:F403" xr:uid="{00BD119F-F250-491F-BFE4-C070FA17E3D1}"/>
  <tableColumns count="2">
    <tableColumn id="1" xr3:uid="{C7244E9C-1DB6-4FAD-B027-865C89F1E007}" uniqueName="1" name="Type of Event" queryTableFieldId="1" dataDxfId="2"/>
    <tableColumn id="2" xr3:uid="{B11E6FAB-C0EA-4089-8EAB-59399B9768C9}" uniqueName="2" name="Category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4522A0-376D-48C1-B745-43CF14A1CD6D}" name="Clean_Data" displayName="Clean_Data" ref="A1:R1089" tableType="queryTable" totalsRowShown="0">
  <autoFilter ref="A1:R1089" xr:uid="{A34522A0-376D-48C1-B745-43CF14A1CD6D}"/>
  <tableColumns count="18">
    <tableColumn id="1" xr3:uid="{6A4A3F2F-D338-4D8C-8079-6213FD9FEEC1}" uniqueName="1" name="Sl. No" queryTableFieldId="1"/>
    <tableColumn id="2" xr3:uid="{7442805B-877E-4278-AA19-69AFC44A7F3C}" uniqueName="2" name="Name of Incident" queryTableFieldId="2" dataDxfId="31"/>
    <tableColumn id="3" xr3:uid="{35C38BAF-1F24-4736-80A3-1E5711033AD9}" uniqueName="3" name="Date" queryTableFieldId="3" dataDxfId="30"/>
    <tableColumn id="4" xr3:uid="{7EE01D81-D66B-45FD-AEE3-60FA524D79AC}" uniqueName="4" name="Month" queryTableFieldId="4" dataDxfId="29"/>
    <tableColumn id="5" xr3:uid="{72C38322-922E-46FF-8068-775B45A7C4D5}" uniqueName="5" name="Year" queryTableFieldId="5" dataDxfId="28"/>
    <tableColumn id="6" xr3:uid="{DDD8CC8E-D5BD-4CDD-A56C-ACE8B8F5F833}" uniqueName="6" name="Country" queryTableFieldId="6" dataDxfId="27"/>
    <tableColumn id="7" xr3:uid="{9C3EB02A-063D-4C4C-B778-72AFE618C3C3}" uniqueName="7" name="Type of Event" queryTableFieldId="7" dataDxfId="26"/>
    <tableColumn id="8" xr3:uid="{C632733D-570E-4741-8791-779BEA41DCFC}" uniqueName="8" name="Place Name" queryTableFieldId="8" dataDxfId="25"/>
    <tableColumn id="9" xr3:uid="{3899DE34-C231-4BDB-A26C-6E2738B03DCD}" uniqueName="9" name="Impact" queryTableFieldId="9" dataDxfId="24"/>
    <tableColumn id="10" xr3:uid="{7B0B97AF-C478-41C3-BBAB-613BEBF4004F}" uniqueName="10" name="Affected Population" queryTableFieldId="10" dataDxfId="23"/>
    <tableColumn id="11" xr3:uid="{5F955896-4799-4EF2-A63B-13CA934848AD}" uniqueName="11" name="Important Person/Group Responsible" queryTableFieldId="11" dataDxfId="22"/>
    <tableColumn id="12" xr3:uid="{9D8D8F5D-80C1-44C1-826C-DBC49C58B3D7}" uniqueName="12" name="Outcome" queryTableFieldId="12" dataDxfId="21"/>
    <tableColumn id="13" xr3:uid="{042FDDE1-561F-4C24-8580-36CFB2C720EA}" uniqueName="13" name="Year_Num" queryTableFieldId="13"/>
    <tableColumn id="14" xr3:uid="{6EFF3F8E-52AA-49F2-837A-BE2980D7586F}" uniqueName="14" name="Century" queryTableFieldId="14" dataDxfId="9">
      <calculatedColumnFormula>ROUNDUP(Clean_Data[[#This Row],[Year_Num]]/100,0)</calculatedColumnFormula>
    </tableColumn>
    <tableColumn id="15" xr3:uid="{893C9BB2-56B7-419B-8AA5-A538C35A1DB3}" uniqueName="15" name="Era" queryTableFieldId="15" dataDxfId="8">
      <calculatedColumnFormula array="1">_xlfn.LET(_xlpm.y,Clean_Data[[#This Row],[Year_Num]],_xlfn.IFS(_xlpm.y&lt;500,"Ancient",_xlpm.y&lt;1500,"Medieval",_xlpm.y&lt;1800,"Early Modern",_xlpm.y&lt;1946,"Modern",TRUE,"Contemporary"))</calculatedColumnFormula>
    </tableColumn>
    <tableColumn id="16" xr3:uid="{7ED944DD-A6B6-4458-A067-3AB93DB18324}" uniqueName="16" name="Country_Std" queryTableFieldId="16" dataDxfId="4">
      <calculatedColumnFormula>_xlfn.XLOOKUP(Clean_Data[[#This Row],[Country]],country_region[Country],country_region[Country_Standard],"Not found")</calculatedColumnFormula>
    </tableColumn>
    <tableColumn id="17" xr3:uid="{D2A54424-21B9-4D1B-B05C-97036CAD316B}" uniqueName="17" name="Region" queryTableFieldId="17" dataDxfId="3">
      <calculatedColumnFormula>_xlfn.XLOOKUP(Clean_Data[[#This Row],[Country]],country_region[Country],country_region[Region],"Not found")</calculatedColumnFormula>
    </tableColumn>
    <tableColumn id="18" xr3:uid="{10678836-39B5-426F-83DA-348D7B542978}" uniqueName="18" name="Category" queryTableFieldId="18" dataDxfId="0">
      <calculatedColumnFormula>_xlfn.XLOOKUP(Clean_Data[[#This Row],[Type of Event]],event_type_category[Type of Event],event_type_category[Category],"Not found")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FA93B-7350-46F9-8CB7-D7794CFE2D11}" name="Raw_Data" displayName="Raw_Data" ref="A1:L1097" tableType="queryTable" totalsRowShown="0">
  <autoFilter ref="A1:L1097" xr:uid="{638FA93B-7350-46F9-8CB7-D7794CFE2D11}"/>
  <tableColumns count="12">
    <tableColumn id="1" xr3:uid="{18809041-0EED-4427-900B-8C9F56B26174}" uniqueName="1" name="Sl. No" queryTableFieldId="1"/>
    <tableColumn id="2" xr3:uid="{302FE364-E298-43B5-9E3D-9327C9613A29}" uniqueName="2" name="Name of Incident" queryTableFieldId="2" dataDxfId="20"/>
    <tableColumn id="3" xr3:uid="{F5ECDA22-E707-4AC9-855C-167121959486}" uniqueName="3" name="Date" queryTableFieldId="3" dataDxfId="19"/>
    <tableColumn id="4" xr3:uid="{186036F9-01BE-41C5-87ED-F7AF8B2E548B}" uniqueName="4" name="Month" queryTableFieldId="4" dataDxfId="18"/>
    <tableColumn id="5" xr3:uid="{79F32112-DCA8-4FAC-BF2D-6DD79FC5D7B8}" uniqueName="5" name="Year" queryTableFieldId="5" dataDxfId="17"/>
    <tableColumn id="6" xr3:uid="{76D52BC4-0E4B-45BB-BF09-1392338EEA12}" uniqueName="6" name="Country" queryTableFieldId="6" dataDxfId="16"/>
    <tableColumn id="7" xr3:uid="{09C266C9-6840-4991-A94A-E68C6E0B5DCB}" uniqueName="7" name="Type of Event" queryTableFieldId="7" dataDxfId="15"/>
    <tableColumn id="8" xr3:uid="{8C9469FD-8D1E-44A7-A682-BFDB2740CD52}" uniqueName="8" name="Place Name" queryTableFieldId="8" dataDxfId="14"/>
    <tableColumn id="9" xr3:uid="{096B3148-E44C-4927-913E-D8A4862ADFBC}" uniqueName="9" name="Impact" queryTableFieldId="9" dataDxfId="13"/>
    <tableColumn id="10" xr3:uid="{2775CF84-99F7-4615-B55B-F7AEDA6FCBDF}" uniqueName="10" name="Affected Population" queryTableFieldId="10" dataDxfId="12"/>
    <tableColumn id="11" xr3:uid="{8D9CB389-6363-445B-9957-E1592E03275F}" uniqueName="11" name="Important Person/Group Responsible" queryTableFieldId="11" dataDxfId="11"/>
    <tableColumn id="12" xr3:uid="{E88233A0-FDA6-4E18-A0A0-9FF5FE0BAE14}" uniqueName="12" name="Outcome" queryTableFieldId="1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7288-0243-4B1E-8037-E6A5595A4E1E}">
  <dimension ref="A1:F403"/>
  <sheetViews>
    <sheetView workbookViewId="0">
      <selection activeCell="H16" sqref="H16"/>
    </sheetView>
  </sheetViews>
  <sheetFormatPr defaultRowHeight="14.4"/>
  <cols>
    <col min="1" max="1" width="22.5546875" bestFit="1" customWidth="1"/>
    <col min="2" max="2" width="20.6640625" bestFit="1" customWidth="1"/>
    <col min="3" max="3" width="23" bestFit="1" customWidth="1"/>
    <col min="4" max="4" width="22.5546875" bestFit="1" customWidth="1"/>
    <col min="5" max="6" width="30.88671875" bestFit="1" customWidth="1"/>
  </cols>
  <sheetData>
    <row r="1" spans="1:6">
      <c r="A1" t="s">
        <v>5</v>
      </c>
      <c r="B1" t="s">
        <v>5096</v>
      </c>
      <c r="C1" t="s">
        <v>5097</v>
      </c>
      <c r="E1" t="s">
        <v>6</v>
      </c>
      <c r="F1" t="s">
        <v>5111</v>
      </c>
    </row>
    <row r="2" spans="1:6">
      <c r="A2" s="5" t="s">
        <v>2634</v>
      </c>
      <c r="B2" s="5" t="s">
        <v>2399</v>
      </c>
      <c r="C2" s="5" t="s">
        <v>5098</v>
      </c>
      <c r="E2" s="5" t="s">
        <v>2355</v>
      </c>
      <c r="F2" s="5" t="s">
        <v>5112</v>
      </c>
    </row>
    <row r="3" spans="1:6">
      <c r="A3" s="5" t="s">
        <v>4113</v>
      </c>
      <c r="B3" s="5" t="s">
        <v>4113</v>
      </c>
      <c r="C3" s="5" t="s">
        <v>5099</v>
      </c>
      <c r="E3" s="5" t="s">
        <v>370</v>
      </c>
      <c r="F3" s="5" t="s">
        <v>5113</v>
      </c>
    </row>
    <row r="4" spans="1:6">
      <c r="A4" s="5" t="s">
        <v>2381</v>
      </c>
      <c r="B4" s="5" t="s">
        <v>2382</v>
      </c>
      <c r="C4" s="5" t="s">
        <v>2568</v>
      </c>
      <c r="E4" s="5" t="s">
        <v>2287</v>
      </c>
      <c r="F4" s="5" t="s">
        <v>5113</v>
      </c>
    </row>
    <row r="5" spans="1:6">
      <c r="A5" s="5" t="s">
        <v>4142</v>
      </c>
      <c r="B5" s="5" t="s">
        <v>4142</v>
      </c>
      <c r="C5" s="5" t="s">
        <v>5100</v>
      </c>
      <c r="E5" s="5" t="s">
        <v>2424</v>
      </c>
      <c r="F5" s="5" t="s">
        <v>5113</v>
      </c>
    </row>
    <row r="6" spans="1:6">
      <c r="A6" s="5" t="s">
        <v>4702</v>
      </c>
      <c r="B6" s="5" t="s">
        <v>4702</v>
      </c>
      <c r="C6" s="5" t="s">
        <v>5101</v>
      </c>
      <c r="E6" s="5" t="s">
        <v>2511</v>
      </c>
      <c r="F6" s="5" t="s">
        <v>5114</v>
      </c>
    </row>
    <row r="7" spans="1:6">
      <c r="A7" s="5" t="s">
        <v>1448</v>
      </c>
      <c r="B7" s="5" t="s">
        <v>1448</v>
      </c>
      <c r="C7" s="5" t="s">
        <v>5102</v>
      </c>
      <c r="E7" s="5" t="s">
        <v>2544</v>
      </c>
      <c r="F7" s="5" t="s">
        <v>5114</v>
      </c>
    </row>
    <row r="8" spans="1:6">
      <c r="A8" s="5" t="s">
        <v>2443</v>
      </c>
      <c r="B8" s="5" t="s">
        <v>2374</v>
      </c>
      <c r="C8" s="5" t="s">
        <v>5099</v>
      </c>
      <c r="E8" s="5" t="s">
        <v>124</v>
      </c>
      <c r="F8" s="5" t="s">
        <v>5114</v>
      </c>
    </row>
    <row r="9" spans="1:6">
      <c r="A9" s="5" t="s">
        <v>2604</v>
      </c>
      <c r="B9" s="5" t="s">
        <v>2374</v>
      </c>
      <c r="C9" s="5" t="s">
        <v>5099</v>
      </c>
      <c r="E9" s="5" t="s">
        <v>1854</v>
      </c>
      <c r="F9" s="5" t="s">
        <v>5115</v>
      </c>
    </row>
    <row r="10" spans="1:6">
      <c r="A10" s="5" t="s">
        <v>4286</v>
      </c>
      <c r="B10" s="5" t="s">
        <v>4286</v>
      </c>
      <c r="C10" s="5" t="s">
        <v>5100</v>
      </c>
      <c r="E10" s="5" t="s">
        <v>4975</v>
      </c>
      <c r="F10" s="5" t="s">
        <v>5113</v>
      </c>
    </row>
    <row r="11" spans="1:6">
      <c r="A11" s="5" t="s">
        <v>2392</v>
      </c>
      <c r="B11" s="5" t="s">
        <v>2392</v>
      </c>
      <c r="C11" s="5" t="s">
        <v>5098</v>
      </c>
      <c r="E11" s="5" t="s">
        <v>4865</v>
      </c>
      <c r="F11" s="5" t="s">
        <v>5115</v>
      </c>
    </row>
    <row r="12" spans="1:6">
      <c r="A12" s="5" t="s">
        <v>4168</v>
      </c>
      <c r="B12" s="5" t="s">
        <v>4168</v>
      </c>
      <c r="C12" s="5" t="s">
        <v>5100</v>
      </c>
      <c r="E12" s="5" t="s">
        <v>3944</v>
      </c>
      <c r="F12" s="5" t="s">
        <v>5116</v>
      </c>
    </row>
    <row r="13" spans="1:6">
      <c r="A13" s="5" t="s">
        <v>4491</v>
      </c>
      <c r="B13" s="5" t="s">
        <v>4491</v>
      </c>
      <c r="C13" s="5" t="s">
        <v>5101</v>
      </c>
      <c r="E13" s="5" t="s">
        <v>932</v>
      </c>
      <c r="F13" s="5" t="s">
        <v>5116</v>
      </c>
    </row>
    <row r="14" spans="1:6">
      <c r="A14" s="5" t="s">
        <v>2387</v>
      </c>
      <c r="B14" s="5" t="s">
        <v>2487</v>
      </c>
      <c r="C14" s="5" t="s">
        <v>2568</v>
      </c>
      <c r="E14" s="5" t="s">
        <v>764</v>
      </c>
      <c r="F14" s="5" t="s">
        <v>5116</v>
      </c>
    </row>
    <row r="15" spans="1:6">
      <c r="A15" s="5" t="s">
        <v>4247</v>
      </c>
      <c r="B15" s="5" t="s">
        <v>4247</v>
      </c>
      <c r="C15" s="5" t="s">
        <v>5100</v>
      </c>
      <c r="E15" s="5" t="s">
        <v>2109</v>
      </c>
      <c r="F15" s="5" t="s">
        <v>5117</v>
      </c>
    </row>
    <row r="16" spans="1:6">
      <c r="A16" s="5" t="s">
        <v>4352</v>
      </c>
      <c r="B16" s="5" t="s">
        <v>4352</v>
      </c>
      <c r="C16" s="5" t="s">
        <v>5100</v>
      </c>
      <c r="E16" s="5" t="s">
        <v>3708</v>
      </c>
      <c r="F16" s="5" t="s">
        <v>5116</v>
      </c>
    </row>
    <row r="17" spans="1:6">
      <c r="A17" s="5" t="s">
        <v>4259</v>
      </c>
      <c r="B17" s="5" t="s">
        <v>4259</v>
      </c>
      <c r="C17" s="5" t="s">
        <v>5100</v>
      </c>
      <c r="E17" s="5" t="s">
        <v>2099</v>
      </c>
      <c r="F17" s="5" t="s">
        <v>5117</v>
      </c>
    </row>
    <row r="18" spans="1:6">
      <c r="A18" s="5" t="s">
        <v>3172</v>
      </c>
      <c r="B18" s="5" t="s">
        <v>3172</v>
      </c>
      <c r="C18" s="5" t="s">
        <v>5103</v>
      </c>
      <c r="E18" s="5" t="s">
        <v>2754</v>
      </c>
      <c r="F18" s="5" t="s">
        <v>5118</v>
      </c>
    </row>
    <row r="19" spans="1:6">
      <c r="A19" s="5" t="s">
        <v>4327</v>
      </c>
      <c r="B19" s="5" t="s">
        <v>4327</v>
      </c>
      <c r="C19" s="5" t="s">
        <v>5100</v>
      </c>
      <c r="E19" s="5" t="s">
        <v>24</v>
      </c>
      <c r="F19" s="5" t="s">
        <v>5117</v>
      </c>
    </row>
    <row r="20" spans="1:6">
      <c r="A20" s="5" t="s">
        <v>4340</v>
      </c>
      <c r="B20" s="5" t="s">
        <v>4340</v>
      </c>
      <c r="C20" s="5" t="s">
        <v>5100</v>
      </c>
      <c r="E20" s="5" t="s">
        <v>1902</v>
      </c>
      <c r="F20" s="5" t="s">
        <v>5119</v>
      </c>
    </row>
    <row r="21" spans="1:6">
      <c r="A21" s="5" t="s">
        <v>2568</v>
      </c>
      <c r="B21" s="5" t="s">
        <v>2568</v>
      </c>
      <c r="C21" s="5" t="s">
        <v>2568</v>
      </c>
      <c r="E21" s="5" t="s">
        <v>444</v>
      </c>
      <c r="F21" s="5" t="s">
        <v>5114</v>
      </c>
    </row>
    <row r="22" spans="1:6">
      <c r="A22" s="5" t="s">
        <v>4344</v>
      </c>
      <c r="B22" s="5" t="s">
        <v>4344</v>
      </c>
      <c r="C22" s="5" t="s">
        <v>5100</v>
      </c>
      <c r="E22" s="5" t="s">
        <v>2475</v>
      </c>
      <c r="F22" s="5" t="s">
        <v>5115</v>
      </c>
    </row>
    <row r="23" spans="1:6">
      <c r="A23" s="5" t="s">
        <v>749</v>
      </c>
      <c r="B23" s="5" t="s">
        <v>749</v>
      </c>
      <c r="C23" s="5" t="s">
        <v>5104</v>
      </c>
      <c r="E23" s="5" t="s">
        <v>395</v>
      </c>
      <c r="F23" s="5" t="s">
        <v>5120</v>
      </c>
    </row>
    <row r="24" spans="1:6">
      <c r="A24" s="5" t="s">
        <v>4334</v>
      </c>
      <c r="B24" s="5" t="s">
        <v>4334</v>
      </c>
      <c r="C24" s="5" t="s">
        <v>5100</v>
      </c>
      <c r="E24" s="5" t="s">
        <v>382</v>
      </c>
      <c r="F24" s="5" t="s">
        <v>5120</v>
      </c>
    </row>
    <row r="25" spans="1:6">
      <c r="A25" s="5" t="s">
        <v>4356</v>
      </c>
      <c r="B25" s="5" t="s">
        <v>4356</v>
      </c>
      <c r="C25" s="5" t="s">
        <v>5100</v>
      </c>
      <c r="E25" s="5" t="s">
        <v>1788</v>
      </c>
      <c r="F25" s="5" t="s">
        <v>5120</v>
      </c>
    </row>
    <row r="26" spans="1:6">
      <c r="A26" s="5" t="s">
        <v>4235</v>
      </c>
      <c r="B26" s="5" t="s">
        <v>4235</v>
      </c>
      <c r="C26" s="5" t="s">
        <v>5100</v>
      </c>
      <c r="E26" s="5" t="s">
        <v>3269</v>
      </c>
      <c r="F26" s="5" t="s">
        <v>5120</v>
      </c>
    </row>
    <row r="27" spans="1:6">
      <c r="A27" s="5" t="s">
        <v>4184</v>
      </c>
      <c r="B27" s="5" t="s">
        <v>4184</v>
      </c>
      <c r="C27" s="5" t="s">
        <v>5100</v>
      </c>
      <c r="E27" s="5" t="s">
        <v>2696</v>
      </c>
      <c r="F27" s="5" t="s">
        <v>5120</v>
      </c>
    </row>
    <row r="28" spans="1:6">
      <c r="A28" s="5" t="s">
        <v>4005</v>
      </c>
      <c r="B28" s="5" t="s">
        <v>4005</v>
      </c>
      <c r="C28" s="5" t="s">
        <v>3072</v>
      </c>
      <c r="E28" s="5" t="s">
        <v>801</v>
      </c>
      <c r="F28" s="5" t="s">
        <v>5117</v>
      </c>
    </row>
    <row r="29" spans="1:6">
      <c r="A29" s="5" t="s">
        <v>4310</v>
      </c>
      <c r="B29" s="5" t="s">
        <v>4310</v>
      </c>
      <c r="C29" s="5" t="s">
        <v>5100</v>
      </c>
      <c r="E29" s="5" t="s">
        <v>16</v>
      </c>
      <c r="F29" s="5" t="s">
        <v>5116</v>
      </c>
    </row>
    <row r="30" spans="1:6">
      <c r="A30" s="5" t="s">
        <v>4147</v>
      </c>
      <c r="B30" s="5" t="s">
        <v>4147</v>
      </c>
      <c r="C30" s="5" t="s">
        <v>5099</v>
      </c>
      <c r="E30" s="5" t="s">
        <v>49</v>
      </c>
      <c r="F30" s="5" t="s">
        <v>5115</v>
      </c>
    </row>
    <row r="31" spans="1:6">
      <c r="A31" s="5" t="s">
        <v>3321</v>
      </c>
      <c r="B31" s="5" t="s">
        <v>400</v>
      </c>
      <c r="C31" s="5" t="s">
        <v>3072</v>
      </c>
      <c r="E31" s="5" t="s">
        <v>2580</v>
      </c>
      <c r="F31" s="5" t="s">
        <v>5115</v>
      </c>
    </row>
    <row r="32" spans="1:6">
      <c r="A32" s="5" t="s">
        <v>4315</v>
      </c>
      <c r="B32" s="5" t="s">
        <v>4315</v>
      </c>
      <c r="C32" s="5" t="s">
        <v>5100</v>
      </c>
      <c r="E32" s="5" t="s">
        <v>1456</v>
      </c>
      <c r="F32" s="5" t="s">
        <v>5115</v>
      </c>
    </row>
    <row r="33" spans="1:6">
      <c r="A33" s="5" t="s">
        <v>4264</v>
      </c>
      <c r="B33" s="5" t="s">
        <v>4264</v>
      </c>
      <c r="C33" s="5" t="s">
        <v>5100</v>
      </c>
      <c r="E33" s="5" t="s">
        <v>3983</v>
      </c>
      <c r="F33" s="5" t="s">
        <v>5115</v>
      </c>
    </row>
    <row r="34" spans="1:6">
      <c r="A34" s="5" t="s">
        <v>4206</v>
      </c>
      <c r="B34" s="5" t="s">
        <v>4206</v>
      </c>
      <c r="C34" s="5" t="s">
        <v>5100</v>
      </c>
      <c r="E34" s="5" t="s">
        <v>2094</v>
      </c>
      <c r="F34" s="5" t="s">
        <v>5115</v>
      </c>
    </row>
    <row r="35" spans="1:6">
      <c r="A35" s="5" t="s">
        <v>1118</v>
      </c>
      <c r="B35" s="5" t="s">
        <v>1118</v>
      </c>
      <c r="C35" s="5" t="s">
        <v>3072</v>
      </c>
      <c r="E35" s="5" t="s">
        <v>2375</v>
      </c>
      <c r="F35" s="5" t="s">
        <v>5115</v>
      </c>
    </row>
    <row r="36" spans="1:6">
      <c r="A36" s="5" t="s">
        <v>3467</v>
      </c>
      <c r="B36" s="5" t="s">
        <v>3467</v>
      </c>
      <c r="C36" s="5" t="s">
        <v>3072</v>
      </c>
      <c r="E36" s="5" t="s">
        <v>1449</v>
      </c>
      <c r="F36" s="5" t="s">
        <v>5115</v>
      </c>
    </row>
    <row r="37" spans="1:6">
      <c r="A37" s="5" t="s">
        <v>4299</v>
      </c>
      <c r="B37" s="5" t="s">
        <v>4299</v>
      </c>
      <c r="C37" s="5" t="s">
        <v>5100</v>
      </c>
      <c r="E37" s="5" t="s">
        <v>2434</v>
      </c>
      <c r="F37" s="5" t="s">
        <v>5115</v>
      </c>
    </row>
    <row r="38" spans="1:6">
      <c r="A38" s="5" t="s">
        <v>4306</v>
      </c>
      <c r="B38" s="5" t="s">
        <v>4306</v>
      </c>
      <c r="C38" s="5" t="s">
        <v>5100</v>
      </c>
      <c r="E38" s="5" t="s">
        <v>3888</v>
      </c>
      <c r="F38" s="5" t="s">
        <v>5117</v>
      </c>
    </row>
    <row r="39" spans="1:6">
      <c r="A39" s="5" t="s">
        <v>4569</v>
      </c>
      <c r="B39" s="5" t="s">
        <v>4569</v>
      </c>
      <c r="C39" s="5" t="s">
        <v>3072</v>
      </c>
      <c r="E39" s="5" t="s">
        <v>707</v>
      </c>
      <c r="F39" s="5" t="s">
        <v>5116</v>
      </c>
    </row>
    <row r="40" spans="1:6">
      <c r="A40" s="5" t="s">
        <v>4189</v>
      </c>
      <c r="B40" s="5" t="s">
        <v>4189</v>
      </c>
      <c r="C40" s="5" t="s">
        <v>5100</v>
      </c>
      <c r="E40" s="5" t="s">
        <v>401</v>
      </c>
      <c r="F40" s="5" t="s">
        <v>5119</v>
      </c>
    </row>
    <row r="41" spans="1:6">
      <c r="A41" s="5" t="s">
        <v>3977</v>
      </c>
      <c r="B41" s="5" t="s">
        <v>5105</v>
      </c>
      <c r="C41" s="5" t="s">
        <v>3072</v>
      </c>
      <c r="E41" s="5" t="s">
        <v>4473</v>
      </c>
      <c r="F41" s="5" t="s">
        <v>5117</v>
      </c>
    </row>
    <row r="42" spans="1:6">
      <c r="A42" s="5" t="s">
        <v>4376</v>
      </c>
      <c r="B42" s="5" t="s">
        <v>4376</v>
      </c>
      <c r="C42" s="5" t="s">
        <v>5100</v>
      </c>
      <c r="E42" s="5" t="s">
        <v>3703</v>
      </c>
      <c r="F42" s="5" t="s">
        <v>5117</v>
      </c>
    </row>
    <row r="43" spans="1:6">
      <c r="A43" s="5" t="s">
        <v>5072</v>
      </c>
      <c r="B43" s="5" t="s">
        <v>5072</v>
      </c>
      <c r="C43" s="5" t="s">
        <v>5100</v>
      </c>
      <c r="E43" s="5" t="s">
        <v>495</v>
      </c>
      <c r="F43" s="5" t="s">
        <v>5113</v>
      </c>
    </row>
    <row r="44" spans="1:6">
      <c r="A44" s="5" t="s">
        <v>15</v>
      </c>
      <c r="B44" s="5" t="s">
        <v>15</v>
      </c>
      <c r="C44" s="5" t="s">
        <v>5098</v>
      </c>
      <c r="E44" s="5" t="s">
        <v>439</v>
      </c>
      <c r="F44" s="5" t="s">
        <v>5113</v>
      </c>
    </row>
    <row r="45" spans="1:6">
      <c r="A45" s="5" t="s">
        <v>2777</v>
      </c>
      <c r="B45" s="5" t="s">
        <v>2777</v>
      </c>
      <c r="C45" s="5" t="s">
        <v>2018</v>
      </c>
      <c r="E45" s="5" t="s">
        <v>624</v>
      </c>
      <c r="F45" s="5" t="s">
        <v>5113</v>
      </c>
    </row>
    <row r="46" spans="1:6">
      <c r="A46" s="5" t="s">
        <v>2369</v>
      </c>
      <c r="B46" s="5" t="s">
        <v>2369</v>
      </c>
      <c r="C46" s="5" t="s">
        <v>5099</v>
      </c>
      <c r="E46" s="5" t="s">
        <v>2551</v>
      </c>
      <c r="F46" s="5" t="s">
        <v>5113</v>
      </c>
    </row>
    <row r="47" spans="1:6">
      <c r="A47" s="5" t="s">
        <v>2374</v>
      </c>
      <c r="B47" s="5" t="s">
        <v>2374</v>
      </c>
      <c r="C47" s="5" t="s">
        <v>5099</v>
      </c>
      <c r="E47" s="5" t="s">
        <v>1800</v>
      </c>
      <c r="F47" s="5" t="s">
        <v>5113</v>
      </c>
    </row>
    <row r="48" spans="1:6">
      <c r="A48" s="5" t="s">
        <v>3678</v>
      </c>
      <c r="B48" s="5" t="s">
        <v>3678</v>
      </c>
      <c r="C48" s="5" t="s">
        <v>3072</v>
      </c>
      <c r="E48" s="5" t="s">
        <v>1592</v>
      </c>
      <c r="F48" s="5" t="s">
        <v>5113</v>
      </c>
    </row>
    <row r="49" spans="1:6">
      <c r="A49" s="5" t="s">
        <v>4364</v>
      </c>
      <c r="B49" s="5" t="s">
        <v>4184</v>
      </c>
      <c r="C49" s="5" t="s">
        <v>5100</v>
      </c>
      <c r="E49" s="5" t="s">
        <v>3566</v>
      </c>
      <c r="F49" s="5" t="s">
        <v>5115</v>
      </c>
    </row>
    <row r="50" spans="1:6">
      <c r="A50" s="5" t="s">
        <v>1233</v>
      </c>
      <c r="B50" s="5" t="s">
        <v>1233</v>
      </c>
      <c r="C50" s="5" t="s">
        <v>5104</v>
      </c>
      <c r="E50" s="5" t="s">
        <v>3763</v>
      </c>
      <c r="F50" s="5" t="s">
        <v>5113</v>
      </c>
    </row>
    <row r="51" spans="1:6">
      <c r="A51" s="5" t="s">
        <v>2382</v>
      </c>
      <c r="B51" s="5" t="s">
        <v>2382</v>
      </c>
      <c r="C51" s="5" t="s">
        <v>2568</v>
      </c>
      <c r="E51" s="5" t="s">
        <v>2725</v>
      </c>
      <c r="F51" s="5" t="s">
        <v>5113</v>
      </c>
    </row>
    <row r="52" spans="1:6">
      <c r="A52" s="5" t="s">
        <v>4108</v>
      </c>
      <c r="B52" s="5" t="s">
        <v>4108</v>
      </c>
      <c r="C52" s="5" t="s">
        <v>5100</v>
      </c>
      <c r="E52" s="5" t="s">
        <v>4992</v>
      </c>
      <c r="F52" s="5" t="s">
        <v>5117</v>
      </c>
    </row>
    <row r="53" spans="1:6">
      <c r="A53" s="5" t="s">
        <v>1354</v>
      </c>
      <c r="B53" s="5" t="s">
        <v>1354</v>
      </c>
      <c r="C53" s="5" t="s">
        <v>5104</v>
      </c>
      <c r="E53" s="5" t="s">
        <v>479</v>
      </c>
      <c r="F53" s="5" t="s">
        <v>5115</v>
      </c>
    </row>
    <row r="54" spans="1:6">
      <c r="A54" s="5" t="s">
        <v>2659</v>
      </c>
      <c r="B54" s="5" t="s">
        <v>5106</v>
      </c>
      <c r="C54" s="5" t="s">
        <v>5099</v>
      </c>
      <c r="E54" s="5" t="s">
        <v>2492</v>
      </c>
      <c r="F54" s="5" t="s">
        <v>5115</v>
      </c>
    </row>
    <row r="55" spans="1:6">
      <c r="A55" s="5" t="s">
        <v>4302</v>
      </c>
      <c r="B55" s="5" t="s">
        <v>4302</v>
      </c>
      <c r="C55" s="5" t="s">
        <v>5100</v>
      </c>
      <c r="E55" s="5" t="s">
        <v>3736</v>
      </c>
      <c r="F55" s="5" t="s">
        <v>5117</v>
      </c>
    </row>
    <row r="56" spans="1:6">
      <c r="A56" s="5" t="s">
        <v>4118</v>
      </c>
      <c r="B56" s="5" t="s">
        <v>4118</v>
      </c>
      <c r="C56" s="5" t="s">
        <v>5099</v>
      </c>
      <c r="E56" s="5" t="s">
        <v>4199</v>
      </c>
      <c r="F56" s="5" t="s">
        <v>5117</v>
      </c>
    </row>
    <row r="57" spans="1:6">
      <c r="A57" s="5" t="s">
        <v>4202</v>
      </c>
      <c r="B57" s="5" t="s">
        <v>4202</v>
      </c>
      <c r="C57" s="5" t="s">
        <v>5100</v>
      </c>
      <c r="E57" s="5" t="s">
        <v>152</v>
      </c>
      <c r="F57" s="5" t="s">
        <v>5117</v>
      </c>
    </row>
    <row r="58" spans="1:6">
      <c r="A58" s="5" t="s">
        <v>2462</v>
      </c>
      <c r="B58" s="5" t="s">
        <v>2322</v>
      </c>
      <c r="C58" s="5" t="s">
        <v>2018</v>
      </c>
      <c r="E58" s="5" t="s">
        <v>3572</v>
      </c>
      <c r="F58" s="5" t="s">
        <v>5117</v>
      </c>
    </row>
    <row r="59" spans="1:6">
      <c r="A59" s="5" t="s">
        <v>4348</v>
      </c>
      <c r="B59" s="5" t="s">
        <v>4348</v>
      </c>
      <c r="C59" s="5" t="s">
        <v>5100</v>
      </c>
      <c r="E59" s="5" t="s">
        <v>1244</v>
      </c>
      <c r="F59" s="5" t="s">
        <v>5116</v>
      </c>
    </row>
    <row r="60" spans="1:6">
      <c r="A60" s="5" t="s">
        <v>2288</v>
      </c>
      <c r="B60" s="5" t="s">
        <v>2322</v>
      </c>
      <c r="C60" s="5" t="s">
        <v>2018</v>
      </c>
      <c r="E60" s="5" t="s">
        <v>2027</v>
      </c>
      <c r="F60" s="5" t="s">
        <v>5116</v>
      </c>
    </row>
    <row r="61" spans="1:6">
      <c r="A61" s="5" t="s">
        <v>2322</v>
      </c>
      <c r="B61" s="5" t="s">
        <v>2322</v>
      </c>
      <c r="C61" s="5" t="s">
        <v>2018</v>
      </c>
      <c r="E61" s="5" t="s">
        <v>2675</v>
      </c>
      <c r="F61" s="5" t="s">
        <v>5116</v>
      </c>
    </row>
    <row r="62" spans="1:6">
      <c r="A62" s="5" t="s">
        <v>2399</v>
      </c>
      <c r="B62" s="5" t="s">
        <v>2399</v>
      </c>
      <c r="C62" s="5" t="s">
        <v>5098</v>
      </c>
      <c r="E62" s="5" t="s">
        <v>2429</v>
      </c>
      <c r="F62" s="5" t="s">
        <v>5116</v>
      </c>
    </row>
    <row r="63" spans="1:6">
      <c r="A63" s="5" t="s">
        <v>4243</v>
      </c>
      <c r="B63" s="5" t="s">
        <v>4243</v>
      </c>
      <c r="C63" s="5" t="s">
        <v>5100</v>
      </c>
      <c r="E63" s="5" t="s">
        <v>3870</v>
      </c>
      <c r="F63" s="5" t="s">
        <v>5116</v>
      </c>
    </row>
    <row r="64" spans="1:6">
      <c r="A64" s="5" t="s">
        <v>4295</v>
      </c>
      <c r="B64" s="5" t="s">
        <v>4295</v>
      </c>
      <c r="C64" s="5" t="s">
        <v>5100</v>
      </c>
      <c r="E64" s="5" t="s">
        <v>742</v>
      </c>
      <c r="F64" s="5" t="s">
        <v>5116</v>
      </c>
    </row>
    <row r="65" spans="1:6">
      <c r="A65" s="5" t="s">
        <v>4756</v>
      </c>
      <c r="B65" s="5" t="s">
        <v>4756</v>
      </c>
      <c r="C65" s="5" t="s">
        <v>5101</v>
      </c>
      <c r="E65" s="5" t="s">
        <v>1568</v>
      </c>
      <c r="F65" s="5" t="s">
        <v>5116</v>
      </c>
    </row>
    <row r="66" spans="1:6">
      <c r="A66" s="5" t="s">
        <v>4135</v>
      </c>
      <c r="B66" s="5" t="s">
        <v>4135</v>
      </c>
      <c r="C66" s="5" t="s">
        <v>5099</v>
      </c>
      <c r="E66" s="5" t="s">
        <v>2336</v>
      </c>
      <c r="F66" s="5" t="s">
        <v>5116</v>
      </c>
    </row>
    <row r="67" spans="1:6">
      <c r="A67" s="5" t="s">
        <v>2706</v>
      </c>
      <c r="B67" s="5" t="s">
        <v>2374</v>
      </c>
      <c r="C67" s="5" t="s">
        <v>5099</v>
      </c>
      <c r="E67" s="5" t="s">
        <v>2069</v>
      </c>
      <c r="F67" s="5" t="s">
        <v>5116</v>
      </c>
    </row>
    <row r="68" spans="1:6">
      <c r="A68" s="5" t="s">
        <v>4222</v>
      </c>
      <c r="B68" s="5" t="s">
        <v>4222</v>
      </c>
      <c r="C68" s="5" t="s">
        <v>5100</v>
      </c>
      <c r="E68" s="5" t="s">
        <v>878</v>
      </c>
      <c r="F68" s="5" t="s">
        <v>5120</v>
      </c>
    </row>
    <row r="69" spans="1:6">
      <c r="A69" s="5" t="s">
        <v>4173</v>
      </c>
      <c r="B69" s="5" t="s">
        <v>4173</v>
      </c>
      <c r="C69" s="5" t="s">
        <v>5100</v>
      </c>
      <c r="E69" s="5" t="s">
        <v>771</v>
      </c>
      <c r="F69" s="5" t="s">
        <v>5116</v>
      </c>
    </row>
    <row r="70" spans="1:6">
      <c r="A70" s="5" t="s">
        <v>1660</v>
      </c>
      <c r="B70" s="5" t="s">
        <v>1660</v>
      </c>
      <c r="C70" s="5" t="s">
        <v>5102</v>
      </c>
      <c r="E70" s="5" t="s">
        <v>1811</v>
      </c>
      <c r="F70" s="5" t="s">
        <v>5116</v>
      </c>
    </row>
    <row r="71" spans="1:6">
      <c r="A71" s="5" t="s">
        <v>4367</v>
      </c>
      <c r="B71" s="5" t="s">
        <v>4367</v>
      </c>
      <c r="C71" s="5" t="s">
        <v>5100</v>
      </c>
      <c r="E71" s="5" t="s">
        <v>252</v>
      </c>
      <c r="F71" s="5" t="s">
        <v>5116</v>
      </c>
    </row>
    <row r="72" spans="1:6">
      <c r="A72" s="5" t="s">
        <v>4102</v>
      </c>
      <c r="B72" s="5" t="s">
        <v>4102</v>
      </c>
      <c r="C72" s="5" t="s">
        <v>5100</v>
      </c>
      <c r="E72" s="5" t="s">
        <v>167</v>
      </c>
      <c r="F72" s="5" t="s">
        <v>5116</v>
      </c>
    </row>
    <row r="73" spans="1:6">
      <c r="A73" s="5" t="s">
        <v>1881</v>
      </c>
      <c r="B73" s="5" t="s">
        <v>1881</v>
      </c>
      <c r="C73" s="5" t="s">
        <v>5104</v>
      </c>
      <c r="E73" s="5" t="s">
        <v>938</v>
      </c>
      <c r="F73" s="5" t="s">
        <v>5116</v>
      </c>
    </row>
    <row r="74" spans="1:6">
      <c r="A74" s="5" t="s">
        <v>4016</v>
      </c>
      <c r="B74" s="5" t="s">
        <v>4016</v>
      </c>
      <c r="C74" s="5" t="s">
        <v>3072</v>
      </c>
      <c r="E74" s="5" t="s">
        <v>2122</v>
      </c>
      <c r="F74" s="5" t="s">
        <v>5115</v>
      </c>
    </row>
    <row r="75" spans="1:6">
      <c r="A75" s="5" t="s">
        <v>478</v>
      </c>
      <c r="B75" s="5" t="s">
        <v>478</v>
      </c>
      <c r="C75" s="5" t="s">
        <v>5098</v>
      </c>
      <c r="E75" s="5" t="s">
        <v>4769</v>
      </c>
      <c r="F75" s="5" t="s">
        <v>5114</v>
      </c>
    </row>
    <row r="76" spans="1:6">
      <c r="A76" s="5" t="s">
        <v>2468</v>
      </c>
      <c r="B76" s="5" t="s">
        <v>2369</v>
      </c>
      <c r="C76" s="5" t="s">
        <v>5099</v>
      </c>
      <c r="E76" s="5" t="s">
        <v>1741</v>
      </c>
      <c r="F76" s="5" t="s">
        <v>5113</v>
      </c>
    </row>
    <row r="77" spans="1:6">
      <c r="A77" s="5" t="s">
        <v>2788</v>
      </c>
      <c r="B77" s="5" t="s">
        <v>2788</v>
      </c>
      <c r="C77" s="5" t="s">
        <v>2018</v>
      </c>
      <c r="E77" s="5" t="s">
        <v>1934</v>
      </c>
      <c r="F77" s="5" t="s">
        <v>5120</v>
      </c>
    </row>
    <row r="78" spans="1:6">
      <c r="A78" s="5" t="s">
        <v>2393</v>
      </c>
      <c r="B78" s="5" t="s">
        <v>2392</v>
      </c>
      <c r="C78" s="5" t="s">
        <v>5098</v>
      </c>
      <c r="E78" s="5" t="s">
        <v>3892</v>
      </c>
      <c r="F78" s="5" t="s">
        <v>5113</v>
      </c>
    </row>
    <row r="79" spans="1:6">
      <c r="A79" s="5" t="s">
        <v>1021</v>
      </c>
      <c r="B79" s="5" t="s">
        <v>1021</v>
      </c>
      <c r="C79" s="5" t="s">
        <v>3072</v>
      </c>
      <c r="E79" s="5" t="s">
        <v>1961</v>
      </c>
      <c r="F79" s="5" t="s">
        <v>5119</v>
      </c>
    </row>
    <row r="80" spans="1:6">
      <c r="A80" s="5" t="s">
        <v>4152</v>
      </c>
      <c r="B80" s="5" t="s">
        <v>4152</v>
      </c>
      <c r="C80" s="5" t="s">
        <v>5100</v>
      </c>
      <c r="E80" s="5" t="s">
        <v>1400</v>
      </c>
      <c r="F80" s="5" t="s">
        <v>5119</v>
      </c>
    </row>
    <row r="81" spans="1:6">
      <c r="A81" s="5" t="s">
        <v>2423</v>
      </c>
      <c r="B81" s="5" t="s">
        <v>2487</v>
      </c>
      <c r="C81" s="5" t="s">
        <v>2568</v>
      </c>
      <c r="E81" s="5" t="s">
        <v>2729</v>
      </c>
      <c r="F81" s="5" t="s">
        <v>5119</v>
      </c>
    </row>
    <row r="82" spans="1:6">
      <c r="A82" s="5" t="s">
        <v>2137</v>
      </c>
      <c r="B82" s="5" t="s">
        <v>2137</v>
      </c>
      <c r="C82" s="5" t="s">
        <v>5099</v>
      </c>
      <c r="E82" s="5" t="s">
        <v>2267</v>
      </c>
      <c r="F82" s="5" t="s">
        <v>5119</v>
      </c>
    </row>
    <row r="83" spans="1:6">
      <c r="A83" s="5" t="s">
        <v>4230</v>
      </c>
      <c r="B83" s="5" t="s">
        <v>4230</v>
      </c>
      <c r="C83" s="5" t="s">
        <v>5100</v>
      </c>
      <c r="E83" s="5" t="s">
        <v>1136</v>
      </c>
      <c r="F83" s="5" t="s">
        <v>5119</v>
      </c>
    </row>
    <row r="84" spans="1:6">
      <c r="A84" s="5" t="s">
        <v>4319</v>
      </c>
      <c r="B84" s="5" t="s">
        <v>4319</v>
      </c>
      <c r="C84" s="5" t="s">
        <v>5100</v>
      </c>
      <c r="E84" s="5" t="s">
        <v>1341</v>
      </c>
      <c r="F84" s="5" t="s">
        <v>5119</v>
      </c>
    </row>
    <row r="85" spans="1:6">
      <c r="A85" s="5" t="s">
        <v>4239</v>
      </c>
      <c r="B85" s="5" t="s">
        <v>4239</v>
      </c>
      <c r="C85" s="5" t="s">
        <v>5100</v>
      </c>
      <c r="E85" s="5" t="s">
        <v>1944</v>
      </c>
      <c r="F85" s="5" t="s">
        <v>5119</v>
      </c>
    </row>
    <row r="86" spans="1:6">
      <c r="A86" s="5" t="s">
        <v>2278</v>
      </c>
      <c r="B86" s="5" t="s">
        <v>2278</v>
      </c>
      <c r="C86" s="5" t="s">
        <v>2018</v>
      </c>
      <c r="E86" s="5" t="s">
        <v>2214</v>
      </c>
      <c r="F86" s="5" t="s">
        <v>5119</v>
      </c>
    </row>
    <row r="87" spans="1:6">
      <c r="A87" s="5" t="s">
        <v>4163</v>
      </c>
      <c r="B87" s="5" t="s">
        <v>4163</v>
      </c>
      <c r="C87" s="5" t="s">
        <v>5100</v>
      </c>
      <c r="E87" s="5" t="s">
        <v>1418</v>
      </c>
      <c r="F87" s="5" t="s">
        <v>5119</v>
      </c>
    </row>
    <row r="88" spans="1:6">
      <c r="A88" s="5" t="s">
        <v>295</v>
      </c>
      <c r="B88" s="5" t="s">
        <v>295</v>
      </c>
      <c r="C88" s="5" t="s">
        <v>5100</v>
      </c>
      <c r="E88" s="5" t="s">
        <v>546</v>
      </c>
      <c r="F88" s="5" t="s">
        <v>5119</v>
      </c>
    </row>
    <row r="89" spans="1:6">
      <c r="A89" s="5" t="s">
        <v>1875</v>
      </c>
      <c r="B89" s="5" t="s">
        <v>1875</v>
      </c>
      <c r="C89" s="5" t="s">
        <v>5104</v>
      </c>
      <c r="E89" s="5" t="s">
        <v>3264</v>
      </c>
      <c r="F89" s="5" t="s">
        <v>5112</v>
      </c>
    </row>
    <row r="90" spans="1:6">
      <c r="A90" s="5" t="s">
        <v>4434</v>
      </c>
      <c r="B90" s="5" t="s">
        <v>4434</v>
      </c>
      <c r="C90" s="5" t="s">
        <v>5100</v>
      </c>
      <c r="E90" s="5" t="s">
        <v>3791</v>
      </c>
      <c r="F90" s="5" t="s">
        <v>5118</v>
      </c>
    </row>
    <row r="91" spans="1:6">
      <c r="A91" s="5" t="s">
        <v>1079</v>
      </c>
      <c r="B91" s="5" t="s">
        <v>1147</v>
      </c>
      <c r="C91" s="5" t="s">
        <v>3072</v>
      </c>
      <c r="E91" s="5" t="s">
        <v>2905</v>
      </c>
      <c r="F91" s="5" t="s">
        <v>5117</v>
      </c>
    </row>
    <row r="92" spans="1:6">
      <c r="A92" s="5" t="s">
        <v>3790</v>
      </c>
      <c r="B92" s="5" t="s">
        <v>3790</v>
      </c>
      <c r="C92" s="5" t="s">
        <v>3072</v>
      </c>
      <c r="E92" s="5" t="s">
        <v>778</v>
      </c>
      <c r="F92" s="5" t="s">
        <v>5115</v>
      </c>
    </row>
    <row r="93" spans="1:6">
      <c r="A93" s="5" t="s">
        <v>3841</v>
      </c>
      <c r="B93" s="5" t="s">
        <v>5107</v>
      </c>
      <c r="C93" s="5" t="s">
        <v>5108</v>
      </c>
      <c r="E93" s="5" t="s">
        <v>2074</v>
      </c>
      <c r="F93" s="5" t="s">
        <v>5115</v>
      </c>
    </row>
    <row r="94" spans="1:6">
      <c r="A94" s="5" t="s">
        <v>657</v>
      </c>
      <c r="B94" s="5" t="s">
        <v>657</v>
      </c>
      <c r="C94" s="5" t="s">
        <v>5098</v>
      </c>
      <c r="E94" s="5" t="s">
        <v>790</v>
      </c>
      <c r="F94" s="5" t="s">
        <v>5115</v>
      </c>
    </row>
    <row r="95" spans="1:6">
      <c r="A95" s="5" t="s">
        <v>4179</v>
      </c>
      <c r="B95" s="5" t="s">
        <v>4179</v>
      </c>
      <c r="C95" s="5" t="s">
        <v>5099</v>
      </c>
      <c r="E95" s="5" t="s">
        <v>3865</v>
      </c>
      <c r="F95" s="5" t="s">
        <v>5115</v>
      </c>
    </row>
    <row r="96" spans="1:6">
      <c r="A96" s="5" t="s">
        <v>4371</v>
      </c>
      <c r="B96" s="5" t="s">
        <v>5109</v>
      </c>
      <c r="C96" s="5" t="s">
        <v>5100</v>
      </c>
      <c r="E96" s="5" t="s">
        <v>1463</v>
      </c>
      <c r="F96" s="5" t="s">
        <v>5114</v>
      </c>
    </row>
    <row r="97" spans="1:6">
      <c r="A97" s="5" t="s">
        <v>2766</v>
      </c>
      <c r="B97" s="5" t="s">
        <v>2766</v>
      </c>
      <c r="C97" s="5" t="s">
        <v>5104</v>
      </c>
      <c r="E97" s="5" t="s">
        <v>3094</v>
      </c>
      <c r="F97" s="5" t="s">
        <v>5114</v>
      </c>
    </row>
    <row r="98" spans="1:6">
      <c r="A98" s="5" t="s">
        <v>4194</v>
      </c>
      <c r="B98" s="5" t="s">
        <v>4194</v>
      </c>
      <c r="C98" s="5" t="s">
        <v>5100</v>
      </c>
      <c r="E98" s="5" t="s">
        <v>1672</v>
      </c>
      <c r="F98" s="5" t="s">
        <v>5114</v>
      </c>
    </row>
    <row r="99" spans="1:6">
      <c r="A99" s="5" t="s">
        <v>2610</v>
      </c>
      <c r="B99" s="5" t="s">
        <v>2487</v>
      </c>
      <c r="C99" s="5" t="s">
        <v>2568</v>
      </c>
      <c r="E99" s="5" t="s">
        <v>1199</v>
      </c>
      <c r="F99" s="5" t="s">
        <v>5114</v>
      </c>
    </row>
    <row r="100" spans="1:6">
      <c r="A100" s="5" t="s">
        <v>2409</v>
      </c>
      <c r="B100" s="5" t="s">
        <v>2369</v>
      </c>
      <c r="C100" s="5" t="s">
        <v>5099</v>
      </c>
      <c r="E100" s="5" t="s">
        <v>2167</v>
      </c>
      <c r="F100" s="5" t="s">
        <v>5114</v>
      </c>
    </row>
    <row r="101" spans="1:6">
      <c r="A101" s="5" t="s">
        <v>2799</v>
      </c>
      <c r="B101" s="5" t="s">
        <v>2799</v>
      </c>
      <c r="C101" s="5" t="s">
        <v>2018</v>
      </c>
      <c r="E101" s="5" t="s">
        <v>1704</v>
      </c>
      <c r="F101" s="5" t="s">
        <v>5114</v>
      </c>
    </row>
    <row r="102" spans="1:6">
      <c r="A102" s="5" t="s">
        <v>2428</v>
      </c>
      <c r="B102" s="5" t="s">
        <v>2392</v>
      </c>
      <c r="C102" s="5" t="s">
        <v>5098</v>
      </c>
      <c r="E102" s="5" t="s">
        <v>2240</v>
      </c>
      <c r="F102" s="5" t="s">
        <v>5114</v>
      </c>
    </row>
    <row r="103" spans="1:6">
      <c r="A103" s="5" t="s">
        <v>4360</v>
      </c>
      <c r="B103" s="5" t="s">
        <v>4360</v>
      </c>
      <c r="C103" s="5" t="s">
        <v>5100</v>
      </c>
      <c r="E103" s="5" t="s">
        <v>2530</v>
      </c>
      <c r="F103" s="5" t="s">
        <v>5114</v>
      </c>
    </row>
    <row r="104" spans="1:6">
      <c r="A104" s="5" t="s">
        <v>4123</v>
      </c>
      <c r="B104" s="5" t="s">
        <v>4123</v>
      </c>
      <c r="C104" s="5" t="s">
        <v>5099</v>
      </c>
      <c r="E104" s="5" t="s">
        <v>213</v>
      </c>
      <c r="F104" s="5" t="s">
        <v>5114</v>
      </c>
    </row>
    <row r="105" spans="1:6">
      <c r="A105" s="5" t="s">
        <v>400</v>
      </c>
      <c r="B105" s="5" t="s">
        <v>400</v>
      </c>
      <c r="C105" s="5" t="s">
        <v>3072</v>
      </c>
      <c r="E105" s="5" t="s">
        <v>349</v>
      </c>
      <c r="F105" s="5" t="s">
        <v>5114</v>
      </c>
    </row>
    <row r="106" spans="1:6">
      <c r="A106" s="5" t="s">
        <v>2843</v>
      </c>
      <c r="B106" s="5" t="s">
        <v>2843</v>
      </c>
      <c r="C106" s="5" t="s">
        <v>5103</v>
      </c>
      <c r="E106" s="5" t="s">
        <v>2569</v>
      </c>
      <c r="F106" s="5" t="s">
        <v>5114</v>
      </c>
    </row>
    <row r="107" spans="1:6">
      <c r="A107" s="5" t="s">
        <v>1147</v>
      </c>
      <c r="B107" s="5" t="s">
        <v>1147</v>
      </c>
      <c r="C107" s="5" t="s">
        <v>3072</v>
      </c>
      <c r="E107" s="5" t="s">
        <v>979</v>
      </c>
      <c r="F107" s="5" t="s">
        <v>5114</v>
      </c>
    </row>
    <row r="108" spans="1:6">
      <c r="A108" s="5" t="s">
        <v>4158</v>
      </c>
      <c r="B108" s="5" t="s">
        <v>4158</v>
      </c>
      <c r="C108" s="5" t="s">
        <v>5100</v>
      </c>
      <c r="E108" s="5" t="s">
        <v>3990</v>
      </c>
      <c r="F108" s="5" t="s">
        <v>5116</v>
      </c>
    </row>
    <row r="109" spans="1:6">
      <c r="A109" s="5" t="s">
        <v>2627</v>
      </c>
      <c r="B109" s="5" t="s">
        <v>2487</v>
      </c>
      <c r="C109" s="5" t="s">
        <v>2568</v>
      </c>
      <c r="E109" s="5" t="s">
        <v>537</v>
      </c>
      <c r="F109" s="5" t="s">
        <v>5114</v>
      </c>
    </row>
    <row r="110" spans="1:6">
      <c r="A110" s="5" t="s">
        <v>2487</v>
      </c>
      <c r="B110" s="5" t="s">
        <v>2487</v>
      </c>
      <c r="C110" s="5" t="s">
        <v>2568</v>
      </c>
      <c r="E110" s="5" t="s">
        <v>3168</v>
      </c>
      <c r="F110" s="5" t="s">
        <v>5114</v>
      </c>
    </row>
    <row r="111" spans="1:6">
      <c r="A111" s="5" t="s">
        <v>1578</v>
      </c>
      <c r="B111" s="5" t="s">
        <v>1578</v>
      </c>
      <c r="C111" s="5" t="s">
        <v>2018</v>
      </c>
      <c r="E111" s="5" t="s">
        <v>2252</v>
      </c>
      <c r="F111" s="5" t="s">
        <v>5114</v>
      </c>
    </row>
    <row r="112" spans="1:6">
      <c r="A112" s="5" t="s">
        <v>4226</v>
      </c>
      <c r="B112" s="5" t="s">
        <v>4226</v>
      </c>
      <c r="C112" s="5" t="s">
        <v>5100</v>
      </c>
      <c r="E112" s="5" t="s">
        <v>261</v>
      </c>
      <c r="F112" s="5" t="s">
        <v>5120</v>
      </c>
    </row>
    <row r="113" spans="1:6">
      <c r="A113" s="5" t="s">
        <v>2710</v>
      </c>
      <c r="B113" s="5" t="s">
        <v>2382</v>
      </c>
      <c r="C113" s="5" t="s">
        <v>2568</v>
      </c>
      <c r="E113" s="5" t="s">
        <v>724</v>
      </c>
      <c r="F113" s="5" t="s">
        <v>5120</v>
      </c>
    </row>
    <row r="114" spans="1:6">
      <c r="A114" s="5" t="s">
        <v>4129</v>
      </c>
      <c r="B114" s="5" t="s">
        <v>4129</v>
      </c>
      <c r="C114" s="5" t="s">
        <v>5100</v>
      </c>
      <c r="E114" s="5" t="s">
        <v>683</v>
      </c>
      <c r="F114" s="5" t="s">
        <v>5120</v>
      </c>
    </row>
    <row r="115" spans="1:6">
      <c r="E115" s="5" t="s">
        <v>2211</v>
      </c>
      <c r="F115" s="5" t="s">
        <v>5120</v>
      </c>
    </row>
    <row r="116" spans="1:6">
      <c r="E116" s="5" t="s">
        <v>2523</v>
      </c>
      <c r="F116" s="5" t="s">
        <v>5120</v>
      </c>
    </row>
    <row r="117" spans="1:6">
      <c r="E117" s="5" t="s">
        <v>1738</v>
      </c>
      <c r="F117" s="5" t="s">
        <v>5113</v>
      </c>
    </row>
    <row r="118" spans="1:6">
      <c r="E118" s="5" t="s">
        <v>1793</v>
      </c>
      <c r="F118" s="5" t="s">
        <v>5113</v>
      </c>
    </row>
    <row r="119" spans="1:6">
      <c r="E119" s="5" t="s">
        <v>2746</v>
      </c>
      <c r="F119" s="5" t="s">
        <v>5113</v>
      </c>
    </row>
    <row r="120" spans="1:6">
      <c r="E120" s="5" t="s">
        <v>3689</v>
      </c>
      <c r="F120" s="5" t="s">
        <v>5115</v>
      </c>
    </row>
    <row r="121" spans="1:6">
      <c r="E121" s="5" t="s">
        <v>2486</v>
      </c>
      <c r="F121" s="5" t="s">
        <v>5115</v>
      </c>
    </row>
    <row r="122" spans="1:6">
      <c r="E122" s="5" t="s">
        <v>1866</v>
      </c>
      <c r="F122" s="5" t="s">
        <v>5115</v>
      </c>
    </row>
    <row r="123" spans="1:6">
      <c r="E123" s="5" t="s">
        <v>1370</v>
      </c>
      <c r="F123" s="5" t="s">
        <v>5117</v>
      </c>
    </row>
    <row r="124" spans="1:6">
      <c r="E124" s="5" t="s">
        <v>1089</v>
      </c>
      <c r="F124" s="5" t="s">
        <v>5117</v>
      </c>
    </row>
    <row r="125" spans="1:6">
      <c r="E125" s="5" t="s">
        <v>3066</v>
      </c>
      <c r="F125" s="5" t="s">
        <v>5114</v>
      </c>
    </row>
    <row r="126" spans="1:6">
      <c r="E126" s="5" t="s">
        <v>4148</v>
      </c>
      <c r="F126" s="5" t="s">
        <v>5114</v>
      </c>
    </row>
    <row r="127" spans="1:6">
      <c r="E127" s="5" t="s">
        <v>2942</v>
      </c>
      <c r="F127" s="5" t="s">
        <v>5120</v>
      </c>
    </row>
    <row r="128" spans="1:6">
      <c r="E128" s="5" t="s">
        <v>1764</v>
      </c>
      <c r="F128" s="5" t="s">
        <v>5120</v>
      </c>
    </row>
    <row r="129" spans="5:6">
      <c r="E129" s="5" t="s">
        <v>1785</v>
      </c>
      <c r="F129" s="5" t="s">
        <v>5120</v>
      </c>
    </row>
    <row r="130" spans="5:6">
      <c r="E130" s="5" t="s">
        <v>1647</v>
      </c>
      <c r="F130" s="5" t="s">
        <v>5114</v>
      </c>
    </row>
    <row r="131" spans="5:6">
      <c r="E131" s="5" t="s">
        <v>332</v>
      </c>
      <c r="F131" s="5" t="s">
        <v>5120</v>
      </c>
    </row>
    <row r="132" spans="5:6">
      <c r="E132" s="5" t="s">
        <v>1405</v>
      </c>
      <c r="F132" s="5" t="s">
        <v>5116</v>
      </c>
    </row>
    <row r="133" spans="5:6">
      <c r="E133" s="5" t="s">
        <v>667</v>
      </c>
      <c r="F133" s="5" t="s">
        <v>5117</v>
      </c>
    </row>
    <row r="134" spans="5:6">
      <c r="E134" s="5" t="s">
        <v>3606</v>
      </c>
      <c r="F134" s="5" t="s">
        <v>5113</v>
      </c>
    </row>
    <row r="135" spans="5:6">
      <c r="E135" s="5" t="s">
        <v>1861</v>
      </c>
      <c r="F135" s="5" t="s">
        <v>5115</v>
      </c>
    </row>
    <row r="136" spans="5:6">
      <c r="E136" s="5" t="s">
        <v>93</v>
      </c>
      <c r="F136" s="5" t="s">
        <v>5118</v>
      </c>
    </row>
    <row r="137" spans="5:6">
      <c r="E137" s="5" t="s">
        <v>423</v>
      </c>
      <c r="F137" s="5" t="s">
        <v>5112</v>
      </c>
    </row>
    <row r="138" spans="5:6">
      <c r="E138" s="5" t="s">
        <v>1477</v>
      </c>
      <c r="F138" s="5" t="s">
        <v>5115</v>
      </c>
    </row>
    <row r="139" spans="5:6">
      <c r="E139" s="5" t="s">
        <v>304</v>
      </c>
      <c r="F139" s="5" t="s">
        <v>5118</v>
      </c>
    </row>
    <row r="140" spans="5:6">
      <c r="E140" s="5" t="s">
        <v>3144</v>
      </c>
      <c r="F140" s="5" t="s">
        <v>5120</v>
      </c>
    </row>
    <row r="141" spans="5:6">
      <c r="E141" s="5" t="s">
        <v>1299</v>
      </c>
      <c r="F141" s="5" t="s">
        <v>5119</v>
      </c>
    </row>
    <row r="142" spans="5:6">
      <c r="E142" s="5" t="s">
        <v>4088</v>
      </c>
      <c r="F142" s="5" t="s">
        <v>5115</v>
      </c>
    </row>
    <row r="143" spans="5:6">
      <c r="E143" s="5" t="s">
        <v>1661</v>
      </c>
      <c r="F143" s="5" t="s">
        <v>5113</v>
      </c>
    </row>
    <row r="144" spans="5:6">
      <c r="E144" s="5" t="s">
        <v>2750</v>
      </c>
      <c r="F144" s="5" t="s">
        <v>5113</v>
      </c>
    </row>
    <row r="145" spans="5:6">
      <c r="E145" s="5" t="s">
        <v>4388</v>
      </c>
      <c r="F145" s="5" t="s">
        <v>5113</v>
      </c>
    </row>
    <row r="146" spans="5:6">
      <c r="E146" s="5" t="s">
        <v>4153</v>
      </c>
      <c r="F146" s="5" t="s">
        <v>5117</v>
      </c>
    </row>
    <row r="147" spans="5:6">
      <c r="E147" s="5" t="s">
        <v>1870</v>
      </c>
      <c r="F147" s="5" t="s">
        <v>5115</v>
      </c>
    </row>
    <row r="148" spans="5:6">
      <c r="E148" s="5" t="s">
        <v>636</v>
      </c>
      <c r="F148" s="5" t="s">
        <v>5113</v>
      </c>
    </row>
    <row r="149" spans="5:6">
      <c r="E149" s="5" t="s">
        <v>1587</v>
      </c>
      <c r="F149" s="5" t="s">
        <v>5117</v>
      </c>
    </row>
    <row r="150" spans="5:6">
      <c r="E150" s="5" t="s">
        <v>3443</v>
      </c>
      <c r="F150" s="5" t="s">
        <v>5120</v>
      </c>
    </row>
    <row r="151" spans="5:6">
      <c r="E151" s="5" t="s">
        <v>984</v>
      </c>
      <c r="F151" s="5" t="s">
        <v>5120</v>
      </c>
    </row>
    <row r="152" spans="5:6">
      <c r="E152" s="5" t="s">
        <v>717</v>
      </c>
      <c r="F152" s="5" t="s">
        <v>5120</v>
      </c>
    </row>
    <row r="153" spans="5:6">
      <c r="E153" s="5" t="s">
        <v>2951</v>
      </c>
      <c r="F153" s="5" t="s">
        <v>5120</v>
      </c>
    </row>
    <row r="154" spans="5:6">
      <c r="E154" s="5" t="s">
        <v>1437</v>
      </c>
      <c r="F154" s="5" t="s">
        <v>5116</v>
      </c>
    </row>
    <row r="155" spans="5:6">
      <c r="E155" s="5" t="s">
        <v>914</v>
      </c>
      <c r="F155" s="5" t="s">
        <v>5116</v>
      </c>
    </row>
    <row r="156" spans="5:6">
      <c r="E156" s="5" t="s">
        <v>3920</v>
      </c>
      <c r="F156" s="5" t="s">
        <v>5119</v>
      </c>
    </row>
    <row r="157" spans="5:6">
      <c r="E157" s="5" t="s">
        <v>1732</v>
      </c>
      <c r="F157" s="5" t="s">
        <v>5120</v>
      </c>
    </row>
    <row r="158" spans="5:6">
      <c r="E158" s="5" t="s">
        <v>2739</v>
      </c>
      <c r="F158" s="5" t="s">
        <v>5120</v>
      </c>
    </row>
    <row r="159" spans="5:6">
      <c r="E159" s="5" t="s">
        <v>4697</v>
      </c>
      <c r="F159" s="5" t="s">
        <v>5120</v>
      </c>
    </row>
    <row r="160" spans="5:6">
      <c r="E160" s="5" t="s">
        <v>1639</v>
      </c>
      <c r="F160" s="5" t="s">
        <v>5120</v>
      </c>
    </row>
    <row r="161" spans="5:6">
      <c r="E161" s="5" t="s">
        <v>2588</v>
      </c>
      <c r="F161" s="5" t="s">
        <v>5115</v>
      </c>
    </row>
    <row r="162" spans="5:6">
      <c r="E162" s="5" t="s">
        <v>2327</v>
      </c>
      <c r="F162" s="5" t="s">
        <v>5115</v>
      </c>
    </row>
    <row r="163" spans="5:6">
      <c r="E163" s="5" t="s">
        <v>1857</v>
      </c>
      <c r="F163" s="5" t="s">
        <v>5115</v>
      </c>
    </row>
    <row r="164" spans="5:6">
      <c r="E164" s="5" t="s">
        <v>4324</v>
      </c>
      <c r="F164" s="5" t="s">
        <v>5115</v>
      </c>
    </row>
    <row r="165" spans="5:6">
      <c r="E165" s="5" t="s">
        <v>3337</v>
      </c>
      <c r="F165" s="5" t="s">
        <v>5114</v>
      </c>
    </row>
    <row r="166" spans="5:6">
      <c r="E166" s="5" t="s">
        <v>2831</v>
      </c>
      <c r="F166" s="5" t="s">
        <v>5112</v>
      </c>
    </row>
    <row r="167" spans="5:6">
      <c r="E167" s="5" t="s">
        <v>205</v>
      </c>
      <c r="F167" s="5" t="s">
        <v>5112</v>
      </c>
    </row>
    <row r="168" spans="5:6">
      <c r="E168" s="5" t="s">
        <v>175</v>
      </c>
      <c r="F168" s="5" t="s">
        <v>5114</v>
      </c>
    </row>
    <row r="169" spans="5:6">
      <c r="E169" s="5" t="s">
        <v>692</v>
      </c>
      <c r="F169" s="5" t="s">
        <v>5114</v>
      </c>
    </row>
    <row r="170" spans="5:6">
      <c r="E170" s="5" t="s">
        <v>3452</v>
      </c>
      <c r="F170" s="5" t="s">
        <v>5118</v>
      </c>
    </row>
    <row r="171" spans="5:6">
      <c r="E171" s="5" t="s">
        <v>4429</v>
      </c>
      <c r="F171" s="5" t="s">
        <v>5117</v>
      </c>
    </row>
    <row r="172" spans="5:6">
      <c r="E172" s="5" t="s">
        <v>2901</v>
      </c>
      <c r="F172" s="5" t="s">
        <v>5119</v>
      </c>
    </row>
    <row r="173" spans="5:6">
      <c r="E173" s="5" t="s">
        <v>581</v>
      </c>
      <c r="F173" s="5" t="s">
        <v>5119</v>
      </c>
    </row>
    <row r="174" spans="5:6">
      <c r="E174" s="5" t="s">
        <v>1141</v>
      </c>
      <c r="F174" s="5" t="s">
        <v>5119</v>
      </c>
    </row>
    <row r="175" spans="5:6">
      <c r="E175" s="5" t="s">
        <v>795</v>
      </c>
      <c r="F175" s="5" t="s">
        <v>5117</v>
      </c>
    </row>
    <row r="176" spans="5:6">
      <c r="E176" s="5" t="s">
        <v>342</v>
      </c>
      <c r="F176" s="5" t="s">
        <v>5119</v>
      </c>
    </row>
    <row r="177" spans="5:6">
      <c r="E177" s="5" t="s">
        <v>1155</v>
      </c>
      <c r="F177" s="5" t="s">
        <v>5119</v>
      </c>
    </row>
    <row r="178" spans="5:6">
      <c r="E178" s="5" t="s">
        <v>1014</v>
      </c>
      <c r="F178" s="5" t="s">
        <v>5114</v>
      </c>
    </row>
    <row r="179" spans="5:6">
      <c r="E179" s="5" t="s">
        <v>973</v>
      </c>
      <c r="F179" s="5" t="s">
        <v>5114</v>
      </c>
    </row>
    <row r="180" spans="5:6">
      <c r="E180" s="5" t="s">
        <v>3898</v>
      </c>
      <c r="F180" s="5" t="s">
        <v>5119</v>
      </c>
    </row>
    <row r="181" spans="5:6">
      <c r="E181" s="5" t="s">
        <v>995</v>
      </c>
      <c r="F181" s="5" t="s">
        <v>5116</v>
      </c>
    </row>
    <row r="182" spans="5:6">
      <c r="E182" s="5" t="s">
        <v>551</v>
      </c>
      <c r="F182" s="5" t="s">
        <v>5114</v>
      </c>
    </row>
    <row r="183" spans="5:6">
      <c r="E183" s="5" t="s">
        <v>1226</v>
      </c>
      <c r="F183" s="5" t="s">
        <v>5119</v>
      </c>
    </row>
    <row r="184" spans="5:6">
      <c r="E184" s="5" t="s">
        <v>2017</v>
      </c>
      <c r="F184" s="5" t="s">
        <v>5119</v>
      </c>
    </row>
    <row r="185" spans="5:6">
      <c r="E185" s="5" t="s">
        <v>907</v>
      </c>
      <c r="F185" s="5" t="s">
        <v>5119</v>
      </c>
    </row>
    <row r="186" spans="5:6">
      <c r="E186" s="5" t="s">
        <v>2987</v>
      </c>
      <c r="F186" s="5" t="s">
        <v>5119</v>
      </c>
    </row>
    <row r="187" spans="5:6">
      <c r="E187" s="5" t="s">
        <v>3500</v>
      </c>
      <c r="F187" s="5" t="s">
        <v>5119</v>
      </c>
    </row>
    <row r="188" spans="5:6">
      <c r="E188" s="5" t="s">
        <v>608</v>
      </c>
      <c r="F188" s="5" t="s">
        <v>5119</v>
      </c>
    </row>
    <row r="189" spans="5:6">
      <c r="E189" s="5" t="s">
        <v>489</v>
      </c>
      <c r="F189" s="5" t="s">
        <v>5119</v>
      </c>
    </row>
    <row r="190" spans="5:6">
      <c r="E190" s="5" t="s">
        <v>827</v>
      </c>
      <c r="F190" s="5" t="s">
        <v>5116</v>
      </c>
    </row>
    <row r="191" spans="5:6">
      <c r="E191" s="5" t="s">
        <v>2032</v>
      </c>
      <c r="F191" s="5" t="s">
        <v>5119</v>
      </c>
    </row>
    <row r="192" spans="5:6">
      <c r="E192" s="5" t="s">
        <v>2022</v>
      </c>
      <c r="F192" s="5" t="s">
        <v>5114</v>
      </c>
    </row>
    <row r="193" spans="5:6">
      <c r="E193" s="5" t="s">
        <v>1094</v>
      </c>
      <c r="F193" s="5" t="s">
        <v>5119</v>
      </c>
    </row>
    <row r="194" spans="5:6">
      <c r="E194" s="5" t="s">
        <v>2881</v>
      </c>
      <c r="F194" s="5" t="s">
        <v>5113</v>
      </c>
    </row>
    <row r="195" spans="5:6">
      <c r="E195" s="5" t="s">
        <v>2364</v>
      </c>
      <c r="F195" s="5" t="s">
        <v>5113</v>
      </c>
    </row>
    <row r="196" spans="5:6">
      <c r="E196" s="5" t="s">
        <v>1773</v>
      </c>
      <c r="F196" s="5" t="s">
        <v>5113</v>
      </c>
    </row>
    <row r="197" spans="5:6">
      <c r="E197" s="5" t="s">
        <v>241</v>
      </c>
      <c r="F197" s="5" t="s">
        <v>5113</v>
      </c>
    </row>
    <row r="198" spans="5:6">
      <c r="E198" s="5" t="s">
        <v>4407</v>
      </c>
      <c r="F198" s="5" t="s">
        <v>5120</v>
      </c>
    </row>
    <row r="199" spans="5:6">
      <c r="E199" s="5" t="s">
        <v>1488</v>
      </c>
      <c r="F199" s="5" t="s">
        <v>5120</v>
      </c>
    </row>
    <row r="200" spans="5:6">
      <c r="E200" s="5" t="s">
        <v>728</v>
      </c>
      <c r="F200" s="5" t="s">
        <v>5114</v>
      </c>
    </row>
    <row r="201" spans="5:6">
      <c r="E201" s="5" t="s">
        <v>4398</v>
      </c>
      <c r="F201" s="5" t="s">
        <v>5114</v>
      </c>
    </row>
    <row r="202" spans="5:6">
      <c r="E202" s="5" t="s">
        <v>1967</v>
      </c>
      <c r="F202" s="5" t="s">
        <v>5113</v>
      </c>
    </row>
    <row r="203" spans="5:6">
      <c r="E203" s="5" t="s">
        <v>313</v>
      </c>
      <c r="F203" s="5" t="s">
        <v>5113</v>
      </c>
    </row>
    <row r="204" spans="5:6">
      <c r="E204" s="5" t="s">
        <v>2444</v>
      </c>
      <c r="F204" s="5" t="s">
        <v>5113</v>
      </c>
    </row>
    <row r="205" spans="5:6">
      <c r="E205" s="5" t="s">
        <v>1803</v>
      </c>
      <c r="F205" s="5" t="s">
        <v>5113</v>
      </c>
    </row>
    <row r="206" spans="5:6">
      <c r="E206" s="5" t="s">
        <v>1651</v>
      </c>
      <c r="F206" s="5" t="s">
        <v>5113</v>
      </c>
    </row>
    <row r="207" spans="5:6">
      <c r="E207" s="5" t="s">
        <v>1559</v>
      </c>
      <c r="F207" s="5" t="s">
        <v>5120</v>
      </c>
    </row>
    <row r="208" spans="5:6">
      <c r="E208" s="5" t="s">
        <v>2742</v>
      </c>
      <c r="F208" s="5" t="s">
        <v>5113</v>
      </c>
    </row>
    <row r="209" spans="5:6">
      <c r="E209" s="5" t="s">
        <v>2189</v>
      </c>
      <c r="F209" s="5" t="s">
        <v>5113</v>
      </c>
    </row>
    <row r="210" spans="5:6">
      <c r="E210" s="5" t="s">
        <v>1619</v>
      </c>
      <c r="F210" s="5" t="s">
        <v>5113</v>
      </c>
    </row>
    <row r="211" spans="5:6">
      <c r="E211" s="5" t="s">
        <v>1610</v>
      </c>
      <c r="F211" s="5" t="s">
        <v>5113</v>
      </c>
    </row>
    <row r="212" spans="5:6">
      <c r="E212" s="5" t="s">
        <v>1634</v>
      </c>
      <c r="F212" s="5" t="s">
        <v>5120</v>
      </c>
    </row>
    <row r="213" spans="5:6">
      <c r="E213" s="5" t="s">
        <v>145</v>
      </c>
      <c r="F213" s="5" t="s">
        <v>5113</v>
      </c>
    </row>
    <row r="214" spans="5:6">
      <c r="E214" s="5" t="s">
        <v>2859</v>
      </c>
      <c r="F214" s="5" t="s">
        <v>5113</v>
      </c>
    </row>
    <row r="215" spans="5:6">
      <c r="E215" s="5" t="s">
        <v>1255</v>
      </c>
      <c r="F215" s="5" t="s">
        <v>5116</v>
      </c>
    </row>
    <row r="216" spans="5:6">
      <c r="E216" s="5" t="s">
        <v>2805</v>
      </c>
      <c r="F216" s="5" t="s">
        <v>5114</v>
      </c>
    </row>
    <row r="217" spans="5:6">
      <c r="E217" s="5" t="s">
        <v>3779</v>
      </c>
      <c r="F217" s="5" t="s">
        <v>5112</v>
      </c>
    </row>
    <row r="218" spans="5:6">
      <c r="E218" s="5" t="s">
        <v>412</v>
      </c>
      <c r="F218" s="5" t="s">
        <v>5120</v>
      </c>
    </row>
    <row r="219" spans="5:6">
      <c r="E219" s="5" t="s">
        <v>376</v>
      </c>
      <c r="F219" s="5" t="s">
        <v>5117</v>
      </c>
    </row>
    <row r="220" spans="5:6">
      <c r="E220" s="5" t="s">
        <v>466</v>
      </c>
      <c r="F220" s="5" t="s">
        <v>5116</v>
      </c>
    </row>
    <row r="221" spans="5:6">
      <c r="E221" s="5" t="s">
        <v>3456</v>
      </c>
      <c r="F221" s="5" t="s">
        <v>5116</v>
      </c>
    </row>
    <row r="222" spans="5:6">
      <c r="E222" s="5" t="s">
        <v>738</v>
      </c>
      <c r="F222" s="5" t="s">
        <v>5116</v>
      </c>
    </row>
    <row r="223" spans="5:6">
      <c r="E223" s="5" t="s">
        <v>3187</v>
      </c>
      <c r="F223" s="5" t="s">
        <v>5118</v>
      </c>
    </row>
    <row r="224" spans="5:6">
      <c r="E224" s="5" t="s">
        <v>356</v>
      </c>
      <c r="F224" s="5" t="s">
        <v>5117</v>
      </c>
    </row>
    <row r="225" spans="5:6">
      <c r="E225" s="5" t="s">
        <v>2303</v>
      </c>
      <c r="F225" s="5" t="s">
        <v>5117</v>
      </c>
    </row>
    <row r="226" spans="5:6">
      <c r="E226" s="5" t="s">
        <v>1363</v>
      </c>
      <c r="F226" s="5" t="s">
        <v>5117</v>
      </c>
    </row>
    <row r="227" spans="5:6">
      <c r="E227" s="5" t="s">
        <v>2534</v>
      </c>
      <c r="F227" s="5" t="s">
        <v>5119</v>
      </c>
    </row>
    <row r="228" spans="5:6">
      <c r="E228" s="5" t="s">
        <v>1130</v>
      </c>
      <c r="F228" s="5" t="s">
        <v>5117</v>
      </c>
    </row>
    <row r="229" spans="5:6">
      <c r="E229" s="5" t="s">
        <v>1709</v>
      </c>
      <c r="F229" s="5" t="s">
        <v>5117</v>
      </c>
    </row>
    <row r="230" spans="5:6">
      <c r="E230" s="5" t="s">
        <v>138</v>
      </c>
      <c r="F230" s="5" t="s">
        <v>5117</v>
      </c>
    </row>
    <row r="231" spans="5:6">
      <c r="E231" s="5" t="s">
        <v>2469</v>
      </c>
      <c r="F231" s="5" t="s">
        <v>5117</v>
      </c>
    </row>
    <row r="232" spans="5:6">
      <c r="E232" s="5" t="s">
        <v>1930</v>
      </c>
      <c r="F232" s="5" t="s">
        <v>5117</v>
      </c>
    </row>
    <row r="233" spans="5:6">
      <c r="E233" s="5" t="s">
        <v>2144</v>
      </c>
      <c r="F233" s="5" t="s">
        <v>5117</v>
      </c>
    </row>
    <row r="234" spans="5:6">
      <c r="E234" s="5" t="s">
        <v>2064</v>
      </c>
      <c r="F234" s="5" t="s">
        <v>5117</v>
      </c>
    </row>
    <row r="235" spans="5:6">
      <c r="E235" s="5" t="s">
        <v>1988</v>
      </c>
      <c r="F235" s="5" t="s">
        <v>5117</v>
      </c>
    </row>
    <row r="236" spans="5:6">
      <c r="E236" s="5" t="s">
        <v>1548</v>
      </c>
      <c r="F236" s="5" t="s">
        <v>5117</v>
      </c>
    </row>
    <row r="237" spans="5:6">
      <c r="E237" s="5" t="s">
        <v>1165</v>
      </c>
      <c r="F237" s="5" t="s">
        <v>5117</v>
      </c>
    </row>
    <row r="238" spans="5:6">
      <c r="E238" s="5" t="s">
        <v>1029</v>
      </c>
      <c r="F238" s="5" t="s">
        <v>5117</v>
      </c>
    </row>
    <row r="239" spans="5:6">
      <c r="E239" s="5" t="s">
        <v>1896</v>
      </c>
      <c r="F239" s="5" t="s">
        <v>5117</v>
      </c>
    </row>
    <row r="240" spans="5:6">
      <c r="E240" s="5" t="s">
        <v>1994</v>
      </c>
      <c r="F240" s="5" t="s">
        <v>5117</v>
      </c>
    </row>
    <row r="241" spans="5:6">
      <c r="E241" s="5" t="s">
        <v>131</v>
      </c>
      <c r="F241" s="5" t="s">
        <v>5117</v>
      </c>
    </row>
    <row r="242" spans="5:6">
      <c r="E242" s="5" t="s">
        <v>2194</v>
      </c>
      <c r="F242" s="5" t="s">
        <v>5117</v>
      </c>
    </row>
    <row r="243" spans="5:6">
      <c r="E243" s="5" t="s">
        <v>919</v>
      </c>
      <c r="F243" s="5" t="s">
        <v>5117</v>
      </c>
    </row>
    <row r="244" spans="5:6">
      <c r="E244" s="5" t="s">
        <v>3714</v>
      </c>
      <c r="F244" s="5" t="s">
        <v>5117</v>
      </c>
    </row>
    <row r="245" spans="5:6">
      <c r="E245" s="5" t="s">
        <v>1123</v>
      </c>
      <c r="F245" s="5" t="s">
        <v>5117</v>
      </c>
    </row>
    <row r="246" spans="5:6">
      <c r="E246" s="5" t="s">
        <v>2346</v>
      </c>
      <c r="F246" s="5" t="s">
        <v>5117</v>
      </c>
    </row>
    <row r="247" spans="5:6">
      <c r="E247" s="5" t="s">
        <v>4459</v>
      </c>
      <c r="F247" s="5" t="s">
        <v>5117</v>
      </c>
    </row>
    <row r="248" spans="5:6">
      <c r="E248" s="5" t="s">
        <v>1326</v>
      </c>
      <c r="F248" s="5" t="s">
        <v>5117</v>
      </c>
    </row>
    <row r="249" spans="5:6">
      <c r="E249" s="5" t="s">
        <v>563</v>
      </c>
      <c r="F249" s="5" t="s">
        <v>5117</v>
      </c>
    </row>
    <row r="250" spans="5:6">
      <c r="E250" s="5" t="s">
        <v>2003</v>
      </c>
      <c r="F250" s="5" t="s">
        <v>5117</v>
      </c>
    </row>
    <row r="251" spans="5:6">
      <c r="E251" s="5" t="s">
        <v>1912</v>
      </c>
      <c r="F251" s="5" t="s">
        <v>5117</v>
      </c>
    </row>
    <row r="252" spans="5:6">
      <c r="E252" s="5" t="s">
        <v>3797</v>
      </c>
      <c r="F252" s="5" t="s">
        <v>5117</v>
      </c>
    </row>
    <row r="253" spans="5:6">
      <c r="E253" s="5" t="s">
        <v>3089</v>
      </c>
      <c r="F253" s="5" t="s">
        <v>5118</v>
      </c>
    </row>
    <row r="254" spans="5:6">
      <c r="E254" s="5" t="s">
        <v>812</v>
      </c>
      <c r="F254" s="5" t="s">
        <v>5117</v>
      </c>
    </row>
    <row r="255" spans="5:6">
      <c r="E255" s="5" t="s">
        <v>1282</v>
      </c>
      <c r="F255" s="5" t="s">
        <v>5118</v>
      </c>
    </row>
    <row r="256" spans="5:6">
      <c r="E256" s="5" t="s">
        <v>2559</v>
      </c>
      <c r="F256" s="5" t="s">
        <v>5114</v>
      </c>
    </row>
    <row r="257" spans="5:6">
      <c r="E257" s="5" t="s">
        <v>1055</v>
      </c>
      <c r="F257" s="5" t="s">
        <v>5114</v>
      </c>
    </row>
    <row r="258" spans="5:6">
      <c r="E258" s="5" t="s">
        <v>3359</v>
      </c>
      <c r="F258" s="5" t="s">
        <v>5115</v>
      </c>
    </row>
    <row r="259" spans="5:6">
      <c r="E259" s="5" t="s">
        <v>2563</v>
      </c>
      <c r="F259" s="5" t="s">
        <v>5115</v>
      </c>
    </row>
    <row r="260" spans="5:6">
      <c r="E260" s="5" t="s">
        <v>568</v>
      </c>
      <c r="F260" s="5" t="s">
        <v>5116</v>
      </c>
    </row>
    <row r="261" spans="5:6">
      <c r="E261" s="5" t="s">
        <v>1735</v>
      </c>
      <c r="F261" s="5" t="s">
        <v>5116</v>
      </c>
    </row>
    <row r="262" spans="5:6">
      <c r="E262" s="5" t="s">
        <v>117</v>
      </c>
      <c r="F262" s="5" t="s">
        <v>5115</v>
      </c>
    </row>
    <row r="263" spans="5:6">
      <c r="E263" s="5" t="s">
        <v>2585</v>
      </c>
      <c r="F263" s="5" t="s">
        <v>5114</v>
      </c>
    </row>
    <row r="264" spans="5:6">
      <c r="E264" s="5" t="s">
        <v>280</v>
      </c>
      <c r="F264" s="5" t="s">
        <v>5112</v>
      </c>
    </row>
    <row r="265" spans="5:6">
      <c r="E265" s="5" t="s">
        <v>3544</v>
      </c>
      <c r="F265" s="5" t="s">
        <v>5112</v>
      </c>
    </row>
    <row r="266" spans="5:6">
      <c r="E266" s="5" t="s">
        <v>3858</v>
      </c>
      <c r="F266" s="5" t="s">
        <v>5117</v>
      </c>
    </row>
    <row r="267" spans="5:6">
      <c r="E267" s="5" t="s">
        <v>3803</v>
      </c>
      <c r="F267" s="5" t="s">
        <v>5117</v>
      </c>
    </row>
    <row r="268" spans="5:6">
      <c r="E268" s="5" t="s">
        <v>417</v>
      </c>
      <c r="F268" s="5" t="s">
        <v>5119</v>
      </c>
    </row>
    <row r="269" spans="5:6">
      <c r="E269" s="5" t="s">
        <v>1179</v>
      </c>
      <c r="F269" s="5" t="s">
        <v>5112</v>
      </c>
    </row>
    <row r="270" spans="5:6">
      <c r="E270" s="5" t="s">
        <v>639</v>
      </c>
      <c r="F270" s="5" t="s">
        <v>5118</v>
      </c>
    </row>
    <row r="271" spans="5:6">
      <c r="E271" s="5" t="s">
        <v>76</v>
      </c>
      <c r="F271" s="5" t="s">
        <v>5117</v>
      </c>
    </row>
    <row r="272" spans="5:6">
      <c r="E272" s="5" t="s">
        <v>4031</v>
      </c>
      <c r="F272" s="5" t="s">
        <v>5120</v>
      </c>
    </row>
    <row r="273" spans="5:6">
      <c r="E273" s="5" t="s">
        <v>59</v>
      </c>
      <c r="F273" s="5" t="s">
        <v>5115</v>
      </c>
    </row>
    <row r="274" spans="5:6">
      <c r="E274" s="5" t="s">
        <v>4272</v>
      </c>
      <c r="F274" s="5" t="s">
        <v>5119</v>
      </c>
    </row>
    <row r="275" spans="5:6">
      <c r="E275" s="5" t="s">
        <v>702</v>
      </c>
      <c r="F275" s="5" t="s">
        <v>5119</v>
      </c>
    </row>
    <row r="276" spans="5:6">
      <c r="E276" s="5" t="s">
        <v>3809</v>
      </c>
      <c r="F276" s="5" t="s">
        <v>5119</v>
      </c>
    </row>
    <row r="277" spans="5:6">
      <c r="E277" s="5" t="s">
        <v>3931</v>
      </c>
      <c r="F277" s="5" t="s">
        <v>5119</v>
      </c>
    </row>
    <row r="278" spans="5:6">
      <c r="E278" s="5" t="s">
        <v>4647</v>
      </c>
      <c r="F278" s="5" t="s">
        <v>5117</v>
      </c>
    </row>
    <row r="279" spans="5:6">
      <c r="E279" s="5" t="s">
        <v>1755</v>
      </c>
      <c r="F279" s="5" t="s">
        <v>5113</v>
      </c>
    </row>
    <row r="280" spans="5:6">
      <c r="E280" s="5" t="s">
        <v>31</v>
      </c>
      <c r="F280" s="5" t="s">
        <v>5113</v>
      </c>
    </row>
    <row r="281" spans="5:6">
      <c r="E281" s="5" t="s">
        <v>2259</v>
      </c>
      <c r="F281" s="5" t="s">
        <v>5113</v>
      </c>
    </row>
    <row r="282" spans="5:6">
      <c r="E282" s="5" t="s">
        <v>3460</v>
      </c>
      <c r="F282" s="5" t="s">
        <v>5119</v>
      </c>
    </row>
    <row r="283" spans="5:6">
      <c r="E283" s="5" t="s">
        <v>2481</v>
      </c>
      <c r="F283" s="5" t="s">
        <v>5115</v>
      </c>
    </row>
    <row r="284" spans="5:6">
      <c r="E284" s="5" t="s">
        <v>1842</v>
      </c>
      <c r="F284" s="5" t="s">
        <v>5117</v>
      </c>
    </row>
    <row r="285" spans="5:6">
      <c r="E285" s="5" t="s">
        <v>1712</v>
      </c>
      <c r="F285" s="5" t="s">
        <v>5113</v>
      </c>
    </row>
    <row r="286" spans="5:6">
      <c r="E286" s="5" t="s">
        <v>2090</v>
      </c>
      <c r="F286" s="5" t="s">
        <v>5113</v>
      </c>
    </row>
    <row r="287" spans="5:6">
      <c r="E287" s="5" t="s">
        <v>541</v>
      </c>
      <c r="F287" s="5" t="s">
        <v>5113</v>
      </c>
    </row>
    <row r="288" spans="5:6">
      <c r="E288" s="5" t="s">
        <v>2642</v>
      </c>
      <c r="F288" s="5" t="s">
        <v>5117</v>
      </c>
    </row>
    <row r="289" spans="5:6">
      <c r="E289" s="5" t="s">
        <v>1049</v>
      </c>
      <c r="F289" s="5" t="s">
        <v>5113</v>
      </c>
    </row>
    <row r="290" spans="5:6">
      <c r="E290" s="5" t="s">
        <v>427</v>
      </c>
      <c r="F290" s="5" t="s">
        <v>5113</v>
      </c>
    </row>
    <row r="291" spans="5:6">
      <c r="E291" s="5" t="s">
        <v>407</v>
      </c>
      <c r="F291" s="5" t="s">
        <v>5113</v>
      </c>
    </row>
    <row r="292" spans="5:6">
      <c r="E292" s="5" t="s">
        <v>1806</v>
      </c>
      <c r="F292" s="5" t="s">
        <v>5113</v>
      </c>
    </row>
    <row r="293" spans="5:6">
      <c r="E293" s="5" t="s">
        <v>2450</v>
      </c>
      <c r="F293" s="5" t="s">
        <v>5115</v>
      </c>
    </row>
    <row r="294" spans="5:6">
      <c r="E294" s="5" t="s">
        <v>364</v>
      </c>
      <c r="F294" s="5" t="s">
        <v>5115</v>
      </c>
    </row>
    <row r="295" spans="5:6">
      <c r="E295" s="5" t="s">
        <v>1678</v>
      </c>
      <c r="F295" s="5" t="s">
        <v>5113</v>
      </c>
    </row>
    <row r="296" spans="5:6">
      <c r="E296" s="5" t="s">
        <v>1908</v>
      </c>
      <c r="F296" s="5" t="s">
        <v>5113</v>
      </c>
    </row>
    <row r="297" spans="5:6">
      <c r="E297" s="5" t="s">
        <v>1693</v>
      </c>
      <c r="F297" s="5" t="s">
        <v>5113</v>
      </c>
    </row>
    <row r="298" spans="5:6">
      <c r="E298" s="5" t="s">
        <v>432</v>
      </c>
      <c r="F298" s="5" t="s">
        <v>5115</v>
      </c>
    </row>
    <row r="299" spans="5:6">
      <c r="E299" s="5" t="s">
        <v>1655</v>
      </c>
      <c r="F299" s="5" t="s">
        <v>5113</v>
      </c>
    </row>
    <row r="300" spans="5:6">
      <c r="E300" s="5" t="s">
        <v>500</v>
      </c>
      <c r="F300" s="5" t="s">
        <v>5113</v>
      </c>
    </row>
    <row r="301" spans="5:6">
      <c r="E301" s="5" t="s">
        <v>456</v>
      </c>
      <c r="F301" s="5" t="s">
        <v>5113</v>
      </c>
    </row>
    <row r="302" spans="5:6">
      <c r="E302" s="5" t="s">
        <v>1728</v>
      </c>
      <c r="F302" s="5" t="s">
        <v>5113</v>
      </c>
    </row>
    <row r="303" spans="5:6">
      <c r="E303" s="5" t="s">
        <v>3008</v>
      </c>
      <c r="F303" s="5" t="s">
        <v>5120</v>
      </c>
    </row>
    <row r="304" spans="5:6">
      <c r="E304" s="5" t="s">
        <v>2538</v>
      </c>
      <c r="F304" s="5" t="s">
        <v>5117</v>
      </c>
    </row>
    <row r="305" spans="5:6">
      <c r="E305" s="5" t="s">
        <v>2339</v>
      </c>
      <c r="F305" s="5" t="s">
        <v>5113</v>
      </c>
    </row>
    <row r="306" spans="5:6">
      <c r="E306" s="5" t="s">
        <v>2516</v>
      </c>
      <c r="F306" s="5" t="s">
        <v>5113</v>
      </c>
    </row>
    <row r="307" spans="5:6">
      <c r="E307" s="5" t="s">
        <v>1078</v>
      </c>
      <c r="F307" s="5" t="s">
        <v>5113</v>
      </c>
    </row>
    <row r="308" spans="5:6">
      <c r="E308" s="5" t="s">
        <v>2497</v>
      </c>
      <c r="F308" s="5" t="s">
        <v>5113</v>
      </c>
    </row>
    <row r="309" spans="5:6">
      <c r="E309" s="5" t="s">
        <v>1067</v>
      </c>
      <c r="F309" s="5" t="s">
        <v>5113</v>
      </c>
    </row>
    <row r="310" spans="5:6">
      <c r="E310" s="5" t="s">
        <v>2892</v>
      </c>
      <c r="F310" s="5" t="s">
        <v>5113</v>
      </c>
    </row>
    <row r="311" spans="5:6">
      <c r="E311" s="5" t="s">
        <v>4047</v>
      </c>
      <c r="F311" s="5" t="s">
        <v>5115</v>
      </c>
    </row>
    <row r="312" spans="5:6">
      <c r="E312" s="5" t="s">
        <v>3834</v>
      </c>
      <c r="F312" s="5" t="s">
        <v>5113</v>
      </c>
    </row>
    <row r="313" spans="5:6">
      <c r="E313" s="5" t="s">
        <v>2177</v>
      </c>
      <c r="F313" s="5" t="s">
        <v>5115</v>
      </c>
    </row>
    <row r="314" spans="5:6">
      <c r="E314" s="5" t="s">
        <v>2321</v>
      </c>
      <c r="F314" s="5" t="s">
        <v>5115</v>
      </c>
    </row>
    <row r="315" spans="5:6">
      <c r="E315" s="5" t="s">
        <v>1924</v>
      </c>
      <c r="F315" s="5" t="s">
        <v>5117</v>
      </c>
    </row>
    <row r="316" spans="5:6">
      <c r="E316" s="5" t="s">
        <v>3847</v>
      </c>
      <c r="F316" s="5" t="s">
        <v>5119</v>
      </c>
    </row>
    <row r="317" spans="5:6">
      <c r="E317" s="5" t="s">
        <v>1175</v>
      </c>
      <c r="F317" s="5" t="s">
        <v>5114</v>
      </c>
    </row>
    <row r="318" spans="5:6">
      <c r="E318" s="5" t="s">
        <v>2922</v>
      </c>
      <c r="F318" s="5" t="s">
        <v>5114</v>
      </c>
    </row>
    <row r="319" spans="5:6">
      <c r="E319" s="5" t="s">
        <v>1573</v>
      </c>
      <c r="F319" s="5" t="s">
        <v>5113</v>
      </c>
    </row>
    <row r="320" spans="5:6">
      <c r="E320" s="5" t="s">
        <v>1982</v>
      </c>
      <c r="F320" s="5" t="s">
        <v>5117</v>
      </c>
    </row>
    <row r="321" spans="5:6">
      <c r="E321" s="5" t="s">
        <v>1716</v>
      </c>
      <c r="F321" s="5" t="s">
        <v>5120</v>
      </c>
    </row>
    <row r="322" spans="5:6">
      <c r="E322" s="5" t="s">
        <v>3910</v>
      </c>
      <c r="F322" s="5" t="s">
        <v>5115</v>
      </c>
    </row>
    <row r="323" spans="5:6">
      <c r="E323" s="5" t="s">
        <v>4625</v>
      </c>
      <c r="F323" s="5" t="s">
        <v>5113</v>
      </c>
    </row>
    <row r="324" spans="5:6">
      <c r="E324" s="5" t="s">
        <v>819</v>
      </c>
      <c r="F324" s="5" t="s">
        <v>5120</v>
      </c>
    </row>
    <row r="325" spans="5:6">
      <c r="E325" s="5" t="s">
        <v>1837</v>
      </c>
      <c r="F325" s="5" t="s">
        <v>5113</v>
      </c>
    </row>
    <row r="326" spans="5:6">
      <c r="E326" s="5" t="s">
        <v>1215</v>
      </c>
      <c r="F326" s="5" t="s">
        <v>5115</v>
      </c>
    </row>
    <row r="327" spans="5:6">
      <c r="E327" s="5" t="s">
        <v>884</v>
      </c>
      <c r="F327" s="5" t="s">
        <v>5120</v>
      </c>
    </row>
    <row r="328" spans="5:6">
      <c r="E328" s="5" t="s">
        <v>5031</v>
      </c>
      <c r="F328" s="5" t="s">
        <v>5114</v>
      </c>
    </row>
    <row r="329" spans="5:6">
      <c r="E329" s="5" t="s">
        <v>5029</v>
      </c>
      <c r="F329" s="5" t="s">
        <v>5117</v>
      </c>
    </row>
    <row r="330" spans="5:6">
      <c r="E330" s="5" t="s">
        <v>3512</v>
      </c>
      <c r="F330" s="5" t="s">
        <v>5116</v>
      </c>
    </row>
    <row r="331" spans="5:6">
      <c r="E331" s="5" t="s">
        <v>2616</v>
      </c>
      <c r="F331" s="5" t="s">
        <v>5115</v>
      </c>
    </row>
    <row r="332" spans="5:6">
      <c r="E332" s="5" t="s">
        <v>4453</v>
      </c>
      <c r="F332" s="5" t="s">
        <v>5120</v>
      </c>
    </row>
    <row r="333" spans="5:6">
      <c r="E333" s="5" t="s">
        <v>3631</v>
      </c>
      <c r="F333" s="5" t="s">
        <v>5120</v>
      </c>
    </row>
    <row r="334" spans="5:6">
      <c r="E334" s="5" t="s">
        <v>268</v>
      </c>
      <c r="F334" s="5" t="s">
        <v>5120</v>
      </c>
    </row>
    <row r="335" spans="5:6">
      <c r="E335" s="5" t="s">
        <v>2815</v>
      </c>
      <c r="F335" s="5" t="s">
        <v>5114</v>
      </c>
    </row>
    <row r="336" spans="5:6">
      <c r="E336" s="5" t="s">
        <v>1470</v>
      </c>
      <c r="F336" s="5" t="s">
        <v>5117</v>
      </c>
    </row>
    <row r="337" spans="5:6">
      <c r="E337" s="5" t="s">
        <v>2307</v>
      </c>
      <c r="F337" s="5" t="s">
        <v>5114</v>
      </c>
    </row>
    <row r="338" spans="5:6">
      <c r="E338" s="5" t="s">
        <v>3750</v>
      </c>
      <c r="F338" s="5" t="s">
        <v>5113</v>
      </c>
    </row>
    <row r="339" spans="5:6">
      <c r="E339" s="5" t="s">
        <v>2227</v>
      </c>
      <c r="F339" s="5" t="s">
        <v>5117</v>
      </c>
    </row>
    <row r="340" spans="5:6">
      <c r="E340" s="5" t="s">
        <v>461</v>
      </c>
      <c r="F340" s="5" t="s">
        <v>5113</v>
      </c>
    </row>
    <row r="341" spans="5:6">
      <c r="E341" s="5" t="s">
        <v>4010</v>
      </c>
      <c r="F341" s="5" t="s">
        <v>5116</v>
      </c>
    </row>
    <row r="342" spans="5:6">
      <c r="E342" s="5" t="s">
        <v>2400</v>
      </c>
      <c r="F342" s="5" t="s">
        <v>5116</v>
      </c>
    </row>
    <row r="343" spans="5:6">
      <c r="E343" s="5" t="s">
        <v>3953</v>
      </c>
      <c r="F343" s="5" t="s">
        <v>5116</v>
      </c>
    </row>
    <row r="344" spans="5:6">
      <c r="E344" s="5" t="s">
        <v>3306</v>
      </c>
      <c r="F344" s="5" t="s">
        <v>5116</v>
      </c>
    </row>
    <row r="345" spans="5:6">
      <c r="E345" s="5" t="s">
        <v>473</v>
      </c>
      <c r="F345" s="5" t="s">
        <v>5116</v>
      </c>
    </row>
    <row r="346" spans="5:6">
      <c r="E346" s="5" t="s">
        <v>2455</v>
      </c>
      <c r="F346" s="5" t="s">
        <v>5116</v>
      </c>
    </row>
    <row r="347" spans="5:6">
      <c r="E347" s="5" t="s">
        <v>3694</v>
      </c>
      <c r="F347" s="5" t="s">
        <v>5117</v>
      </c>
    </row>
    <row r="348" spans="5:6">
      <c r="E348" s="5" t="s">
        <v>3821</v>
      </c>
      <c r="F348" s="5" t="s">
        <v>5116</v>
      </c>
    </row>
    <row r="349" spans="5:6">
      <c r="E349" s="5" t="s">
        <v>757</v>
      </c>
      <c r="F349" s="5" t="s">
        <v>5116</v>
      </c>
    </row>
    <row r="350" spans="5:6">
      <c r="E350" s="5" t="s">
        <v>4180</v>
      </c>
      <c r="F350" s="5" t="s">
        <v>5117</v>
      </c>
    </row>
    <row r="351" spans="5:6">
      <c r="E351" s="5" t="s">
        <v>3855</v>
      </c>
      <c r="F351" s="5" t="s">
        <v>5116</v>
      </c>
    </row>
    <row r="352" spans="5:6">
      <c r="E352" s="5" t="s">
        <v>2837</v>
      </c>
      <c r="F352" s="5" t="s">
        <v>5112</v>
      </c>
    </row>
    <row r="353" spans="5:6">
      <c r="E353" s="5" t="s">
        <v>2133</v>
      </c>
      <c r="F353" s="5" t="s">
        <v>5117</v>
      </c>
    </row>
    <row r="354" spans="5:6">
      <c r="E354" s="5" t="s">
        <v>109</v>
      </c>
      <c r="F354" s="5" t="s">
        <v>5117</v>
      </c>
    </row>
    <row r="355" spans="5:6">
      <c r="E355" s="5" t="s">
        <v>2646</v>
      </c>
      <c r="F355" s="5" t="s">
        <v>5113</v>
      </c>
    </row>
    <row r="356" spans="5:6">
      <c r="E356" s="5" t="s">
        <v>3447</v>
      </c>
      <c r="F356" s="5" t="s">
        <v>5115</v>
      </c>
    </row>
    <row r="357" spans="5:6">
      <c r="E357" s="5" t="s">
        <v>750</v>
      </c>
      <c r="F357" s="5" t="s">
        <v>5118</v>
      </c>
    </row>
    <row r="358" spans="5:6">
      <c r="E358" s="5" t="s">
        <v>3719</v>
      </c>
      <c r="F358" s="5" t="s">
        <v>5118</v>
      </c>
    </row>
    <row r="359" spans="5:6">
      <c r="E359" s="5" t="s">
        <v>587</v>
      </c>
      <c r="F359" s="5" t="s">
        <v>5118</v>
      </c>
    </row>
    <row r="360" spans="5:6">
      <c r="E360" s="5" t="s">
        <v>2635</v>
      </c>
      <c r="F360" s="5" t="s">
        <v>5115</v>
      </c>
    </row>
    <row r="361" spans="5:6">
      <c r="E361" s="5" t="s">
        <v>2222</v>
      </c>
      <c r="F361" s="5" t="s">
        <v>5117</v>
      </c>
    </row>
    <row r="362" spans="5:6">
      <c r="E362" s="5" t="s">
        <v>653</v>
      </c>
      <c r="F362" s="5" t="s">
        <v>5113</v>
      </c>
    </row>
    <row r="363" spans="5:6">
      <c r="E363" s="5" t="s">
        <v>1532</v>
      </c>
      <c r="F363" s="5" t="s">
        <v>5115</v>
      </c>
    </row>
    <row r="364" spans="5:6">
      <c r="E364" s="5" t="s">
        <v>4716</v>
      </c>
      <c r="F364" s="5" t="s">
        <v>5120</v>
      </c>
    </row>
    <row r="365" spans="5:6">
      <c r="E365" s="5" t="s">
        <v>3217</v>
      </c>
      <c r="F365" s="5" t="s">
        <v>5120</v>
      </c>
    </row>
    <row r="366" spans="5:6">
      <c r="E366" s="5" t="s">
        <v>2914</v>
      </c>
      <c r="F366" s="5" t="s">
        <v>5120</v>
      </c>
    </row>
    <row r="367" spans="5:6">
      <c r="E367" s="5" t="s">
        <v>2937</v>
      </c>
      <c r="F367" s="5" t="s">
        <v>5120</v>
      </c>
    </row>
    <row r="368" spans="5:6">
      <c r="E368" s="5" t="s">
        <v>1688</v>
      </c>
      <c r="F368" s="5" t="s">
        <v>5120</v>
      </c>
    </row>
    <row r="369" spans="5:6">
      <c r="E369" s="5" t="s">
        <v>1683</v>
      </c>
      <c r="F369" s="5" t="s">
        <v>5120</v>
      </c>
    </row>
    <row r="370" spans="5:6">
      <c r="E370" s="5" t="s">
        <v>1768</v>
      </c>
      <c r="F370" s="5" t="s">
        <v>5120</v>
      </c>
    </row>
    <row r="371" spans="5:6">
      <c r="E371" s="5" t="s">
        <v>1720</v>
      </c>
      <c r="F371" s="5" t="s">
        <v>5120</v>
      </c>
    </row>
    <row r="372" spans="5:6">
      <c r="E372" s="5" t="s">
        <v>3080</v>
      </c>
      <c r="F372" s="5" t="s">
        <v>5120</v>
      </c>
    </row>
    <row r="373" spans="5:6">
      <c r="E373" s="5" t="s">
        <v>619</v>
      </c>
      <c r="F373" s="5" t="s">
        <v>5120</v>
      </c>
    </row>
    <row r="374" spans="5:6">
      <c r="E374" s="5" t="s">
        <v>898</v>
      </c>
      <c r="F374" s="5" t="s">
        <v>5115</v>
      </c>
    </row>
    <row r="375" spans="5:6">
      <c r="E375" s="5" t="s">
        <v>450</v>
      </c>
      <c r="F375" s="5" t="s">
        <v>5118</v>
      </c>
    </row>
    <row r="376" spans="5:6">
      <c r="E376" s="5" t="s">
        <v>288</v>
      </c>
      <c r="F376" s="5" t="s">
        <v>5118</v>
      </c>
    </row>
    <row r="377" spans="5:6">
      <c r="E377" s="5" t="s">
        <v>2897</v>
      </c>
      <c r="F377" s="5" t="s">
        <v>5112</v>
      </c>
    </row>
    <row r="378" spans="5:6">
      <c r="E378" s="5" t="s">
        <v>2826</v>
      </c>
      <c r="F378" s="5" t="s">
        <v>5112</v>
      </c>
    </row>
    <row r="379" spans="5:6">
      <c r="E379" s="5" t="s">
        <v>3634</v>
      </c>
      <c r="F379" s="5" t="s">
        <v>5116</v>
      </c>
    </row>
    <row r="380" spans="5:6">
      <c r="E380" s="5" t="s">
        <v>3429</v>
      </c>
      <c r="F380" s="5" t="s">
        <v>5116</v>
      </c>
    </row>
    <row r="381" spans="5:6">
      <c r="E381" s="5" t="s">
        <v>273</v>
      </c>
      <c r="F381" s="5" t="s">
        <v>5116</v>
      </c>
    </row>
    <row r="382" spans="5:6">
      <c r="E382" s="5" t="s">
        <v>1876</v>
      </c>
      <c r="F382" s="5" t="s">
        <v>5115</v>
      </c>
    </row>
    <row r="383" spans="5:6">
      <c r="E383" s="5" t="s">
        <v>1022</v>
      </c>
      <c r="F383" s="5" t="s">
        <v>5115</v>
      </c>
    </row>
    <row r="384" spans="5:6">
      <c r="E384" s="5" t="s">
        <v>2360</v>
      </c>
      <c r="F384" s="5" t="s">
        <v>5112</v>
      </c>
    </row>
    <row r="385" spans="5:6">
      <c r="E385" s="5" t="s">
        <v>2463</v>
      </c>
      <c r="F385" s="5" t="s">
        <v>5115</v>
      </c>
    </row>
    <row r="386" spans="5:6">
      <c r="E386" s="5" t="s">
        <v>2040</v>
      </c>
      <c r="F386" s="5" t="s">
        <v>5118</v>
      </c>
    </row>
    <row r="387" spans="5:6">
      <c r="E387" s="5" t="s">
        <v>160</v>
      </c>
      <c r="F387" s="5" t="s">
        <v>5118</v>
      </c>
    </row>
    <row r="388" spans="5:6">
      <c r="E388" s="5" t="s">
        <v>308</v>
      </c>
      <c r="F388" s="5" t="s">
        <v>5118</v>
      </c>
    </row>
    <row r="389" spans="5:6">
      <c r="E389" s="5" t="s">
        <v>2849</v>
      </c>
      <c r="F389" s="5" t="s">
        <v>5115</v>
      </c>
    </row>
    <row r="390" spans="5:6">
      <c r="E390" s="5" t="s">
        <v>1042</v>
      </c>
      <c r="F390" s="5" t="s">
        <v>5115</v>
      </c>
    </row>
    <row r="391" spans="5:6">
      <c r="E391" s="5" t="s">
        <v>85</v>
      </c>
      <c r="F391" s="5" t="s">
        <v>5117</v>
      </c>
    </row>
    <row r="392" spans="5:6">
      <c r="E392" s="5" t="s">
        <v>834</v>
      </c>
      <c r="F392" s="5" t="s">
        <v>5114</v>
      </c>
    </row>
    <row r="393" spans="5:6">
      <c r="E393" s="5" t="s">
        <v>3404</v>
      </c>
      <c r="F393" s="5" t="s">
        <v>5114</v>
      </c>
    </row>
    <row r="394" spans="5:6">
      <c r="E394" s="5" t="s">
        <v>3559</v>
      </c>
      <c r="F394" s="5" t="s">
        <v>5119</v>
      </c>
    </row>
    <row r="395" spans="5:6">
      <c r="E395" s="5" t="s">
        <v>3730</v>
      </c>
      <c r="F395" s="5" t="s">
        <v>5115</v>
      </c>
    </row>
    <row r="396" spans="5:6">
      <c r="E396" s="5" t="s">
        <v>3330</v>
      </c>
      <c r="F396" s="5" t="s">
        <v>5115</v>
      </c>
    </row>
    <row r="397" spans="5:6">
      <c r="E397" s="5" t="s">
        <v>4530</v>
      </c>
      <c r="F397" s="5" t="s">
        <v>5114</v>
      </c>
    </row>
    <row r="398" spans="5:6">
      <c r="E398" s="5" t="s">
        <v>388</v>
      </c>
      <c r="F398" s="5" t="s">
        <v>5120</v>
      </c>
    </row>
    <row r="399" spans="5:6">
      <c r="E399" s="5" t="s">
        <v>68</v>
      </c>
      <c r="F399" s="5" t="s">
        <v>5117</v>
      </c>
    </row>
    <row r="400" spans="5:6">
      <c r="E400" s="5" t="s">
        <v>3744</v>
      </c>
      <c r="F400" s="5" t="s">
        <v>5117</v>
      </c>
    </row>
    <row r="401" spans="5:6">
      <c r="E401" s="5" t="s">
        <v>316</v>
      </c>
      <c r="F401" s="5" t="s">
        <v>5120</v>
      </c>
    </row>
    <row r="402" spans="5:6">
      <c r="E402" s="5" t="s">
        <v>3785</v>
      </c>
      <c r="F402" s="5" t="s">
        <v>5116</v>
      </c>
    </row>
    <row r="403" spans="5:6">
      <c r="E403" s="5" t="s">
        <v>1392</v>
      </c>
      <c r="F403" s="5" t="s">
        <v>5116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A171-557E-4EF8-B166-4A4940003308}">
  <dimension ref="A1:R1089"/>
  <sheetViews>
    <sheetView tabSelected="1" topLeftCell="K1" workbookViewId="0">
      <selection activeCell="Q14" sqref="Q14"/>
    </sheetView>
  </sheetViews>
  <sheetFormatPr defaultRowHeight="14.4"/>
  <cols>
    <col min="1" max="1" width="8.109375" bestFit="1" customWidth="1"/>
    <col min="2" max="2" width="98.6640625" bestFit="1" customWidth="1"/>
    <col min="3" max="3" width="7.6640625" bestFit="1" customWidth="1"/>
    <col min="4" max="4" width="9.77734375" bestFit="1" customWidth="1"/>
    <col min="5" max="5" width="7.6640625" bestFit="1" customWidth="1"/>
    <col min="6" max="6" width="22.5546875" bestFit="1" customWidth="1"/>
    <col min="7" max="7" width="30.88671875" bestFit="1" customWidth="1"/>
    <col min="8" max="8" width="31.109375" bestFit="1" customWidth="1"/>
    <col min="9" max="9" width="137.44140625" bestFit="1" customWidth="1"/>
    <col min="10" max="10" width="52.21875" bestFit="1" customWidth="1"/>
    <col min="11" max="11" width="56.88671875" bestFit="1" customWidth="1"/>
    <col min="12" max="12" width="11" bestFit="1" customWidth="1"/>
    <col min="13" max="13" width="12" bestFit="1" customWidth="1"/>
    <col min="14" max="14" width="9.88671875" bestFit="1" customWidth="1"/>
    <col min="15" max="15" width="12.77734375" bestFit="1" customWidth="1"/>
    <col min="16" max="16" width="20.6640625" bestFit="1" customWidth="1"/>
    <col min="17" max="17" width="23" bestFit="1" customWidth="1"/>
    <col min="18" max="18" width="30.88671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5093</v>
      </c>
      <c r="N1" t="s">
        <v>5094</v>
      </c>
      <c r="O1" t="s">
        <v>5095</v>
      </c>
      <c r="P1" t="s">
        <v>5110</v>
      </c>
      <c r="Q1" t="s">
        <v>5097</v>
      </c>
      <c r="R1" t="s">
        <v>5111</v>
      </c>
    </row>
    <row r="2" spans="1:18">
      <c r="A2">
        <v>1</v>
      </c>
      <c r="B2" t="s">
        <v>12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-2600</v>
      </c>
      <c r="N2" s="5">
        <f>ROUNDUP(Clean_Data[[#This Row],[Year_Num]]/100,0)</f>
        <v>-26</v>
      </c>
      <c r="O2" s="5" t="str" cm="1">
        <f t="array" ref="O2">_xlfn.LET(_xlpm.y,Clean_Data[[#This Row],[Year_Num]],_xlfn.IFS(_xlpm.y&lt;500,"Ancient",_xlpm.y&lt;1500,"Medieval",_xlpm.y&lt;1800,"Early Modern",_xlpm.y&lt;1946,"Modern",TRUE,"Contemporary"))</f>
        <v>Ancient</v>
      </c>
      <c r="P2" s="5" t="str">
        <f>_xlfn.XLOOKUP(Clean_Data[[#This Row],[Country]],country_region[Country],country_region[Country_Standard],"Not found")</f>
        <v>India</v>
      </c>
      <c r="Q2" s="5" t="str">
        <f>_xlfn.XLOOKUP(Clean_Data[[#This Row],[Country]],country_region[Country],country_region[Region],"Not found")</f>
        <v>South Asia</v>
      </c>
      <c r="R2" s="5" t="str">
        <f>_xlfn.XLOOKUP(Clean_Data[[#This Row],[Type of Event]],event_type_category[Type of Event],event_type_category[Category],"Not found")</f>
        <v>Culture, Religion &amp; Sport</v>
      </c>
    </row>
    <row r="3" spans="1:18">
      <c r="A3">
        <v>2</v>
      </c>
      <c r="B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21</v>
      </c>
      <c r="M3">
        <v>-1400</v>
      </c>
      <c r="N3" s="5">
        <f>ROUNDUP(Clean_Data[[#This Row],[Year_Num]]/100,0)</f>
        <v>-14</v>
      </c>
      <c r="O3" s="5" t="str" cm="1">
        <f t="array" ref="O3">_xlfn.LET(_xlpm.y,Clean_Data[[#This Row],[Year_Num]],_xlfn.IFS(_xlpm.y&lt;500,"Ancient",_xlpm.y&lt;1500,"Medieval",_xlpm.y&lt;1800,"Early Modern",_xlpm.y&lt;1946,"Modern",TRUE,"Contemporary"))</f>
        <v>Ancient</v>
      </c>
      <c r="P3" s="5" t="str">
        <f>_xlfn.XLOOKUP(Clean_Data[[#This Row],[Country]],country_region[Country],country_region[Country_Standard],"Not found")</f>
        <v>India</v>
      </c>
      <c r="Q3" s="5" t="str">
        <f>_xlfn.XLOOKUP(Clean_Data[[#This Row],[Country]],country_region[Country],country_region[Region],"Not found")</f>
        <v>South Asia</v>
      </c>
      <c r="R3" s="5" t="str">
        <f>_xlfn.XLOOKUP(Clean_Data[[#This Row],[Type of Event]],event_type_category[Type of Event],event_type_category[Category],"Not found")</f>
        <v>War &amp; Conflict</v>
      </c>
    </row>
    <row r="4" spans="1:18">
      <c r="A4">
        <v>6</v>
      </c>
      <c r="B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4823</v>
      </c>
      <c r="L4" t="s">
        <v>36</v>
      </c>
      <c r="M4">
        <v>1206</v>
      </c>
      <c r="N4" s="5">
        <f>ROUNDUP(Clean_Data[[#This Row],[Year_Num]]/100,0)</f>
        <v>13</v>
      </c>
      <c r="O4" s="5" t="str" cm="1">
        <f t="array" ref="O4">_xlfn.LET(_xlpm.y,Clean_Data[[#This Row],[Year_Num]],_xlfn.IFS(_xlpm.y&lt;500,"Ancient",_xlpm.y&lt;1500,"Medieval",_xlpm.y&lt;1800,"Early Modern",_xlpm.y&lt;1946,"Modern",TRUE,"Contemporary"))</f>
        <v>Medieval</v>
      </c>
      <c r="P4" s="5" t="str">
        <f>_xlfn.XLOOKUP(Clean_Data[[#This Row],[Country]],country_region[Country],country_region[Country_Standard],"Not found")</f>
        <v>India</v>
      </c>
      <c r="Q4" s="5" t="str">
        <f>_xlfn.XLOOKUP(Clean_Data[[#This Row],[Country]],country_region[Country],country_region[Region],"Not found")</f>
        <v>South Asia</v>
      </c>
      <c r="R4" s="5" t="str">
        <f>_xlfn.XLOOKUP(Clean_Data[[#This Row],[Type of Event]],event_type_category[Type of Event],event_type_category[Category],"Not found")</f>
        <v>Politics &amp; Law</v>
      </c>
    </row>
    <row r="5" spans="1:18">
      <c r="A5">
        <v>7</v>
      </c>
      <c r="B5" t="s">
        <v>37</v>
      </c>
      <c r="C5" t="s">
        <v>38</v>
      </c>
      <c r="D5" t="s">
        <v>39</v>
      </c>
      <c r="E5" t="s">
        <v>40</v>
      </c>
      <c r="F5" t="s">
        <v>15</v>
      </c>
      <c r="G5" t="s">
        <v>24</v>
      </c>
      <c r="H5" t="s">
        <v>41</v>
      </c>
      <c r="I5" t="s">
        <v>42</v>
      </c>
      <c r="J5" t="s">
        <v>43</v>
      </c>
      <c r="K5" t="s">
        <v>44</v>
      </c>
      <c r="L5" t="s">
        <v>36</v>
      </c>
      <c r="M5">
        <v>1526</v>
      </c>
      <c r="N5" s="5">
        <f>ROUNDUP(Clean_Data[[#This Row],[Year_Num]]/100,0)</f>
        <v>16</v>
      </c>
      <c r="O5" s="5" t="str" cm="1">
        <f t="array" ref="O5">_xlfn.LET(_xlpm.y,Clean_Data[[#This Row],[Year_Num]],_xlfn.IFS(_xlpm.y&lt;500,"Ancient",_xlpm.y&lt;1500,"Medieval",_xlpm.y&lt;1800,"Early Modern",_xlpm.y&lt;1946,"Modern",TRUE,"Contemporary"))</f>
        <v>Early Modern</v>
      </c>
      <c r="P5" s="5" t="str">
        <f>_xlfn.XLOOKUP(Clean_Data[[#This Row],[Country]],country_region[Country],country_region[Country_Standard],"Not found")</f>
        <v>India</v>
      </c>
      <c r="Q5" s="5" t="str">
        <f>_xlfn.XLOOKUP(Clean_Data[[#This Row],[Country]],country_region[Country],country_region[Region],"Not found")</f>
        <v>South Asia</v>
      </c>
      <c r="R5" s="5" t="str">
        <f>_xlfn.XLOOKUP(Clean_Data[[#This Row],[Type of Event]],event_type_category[Type of Event],event_type_category[Category],"Not found")</f>
        <v>War &amp; Conflict</v>
      </c>
    </row>
    <row r="6" spans="1:18">
      <c r="A6">
        <v>8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>
        <v>1858</v>
      </c>
      <c r="N6" s="5">
        <f>ROUNDUP(Clean_Data[[#This Row],[Year_Num]]/100,0)</f>
        <v>19</v>
      </c>
      <c r="O6" s="5" t="str" cm="1">
        <f t="array" ref="O6">_xlfn.LET(_xlpm.y,Clean_Data[[#This Row],[Year_Num]],_xlfn.IFS(_xlpm.y&lt;500,"Ancient",_xlpm.y&lt;1500,"Medieval",_xlpm.y&lt;1800,"Early Modern",_xlpm.y&lt;1946,"Modern",TRUE,"Contemporary"))</f>
        <v>Modern</v>
      </c>
      <c r="P6" s="5" t="str">
        <f>_xlfn.XLOOKUP(Clean_Data[[#This Row],[Country]],country_region[Country],country_region[Country_Standard],"Not found")</f>
        <v>India</v>
      </c>
      <c r="Q6" s="5" t="str">
        <f>_xlfn.XLOOKUP(Clean_Data[[#This Row],[Country]],country_region[Country],country_region[Region],"Not found")</f>
        <v>South Asia</v>
      </c>
      <c r="R6" s="5" t="str">
        <f>_xlfn.XLOOKUP(Clean_Data[[#This Row],[Type of Event]],event_type_category[Type of Event],event_type_category[Category],"Not found")</f>
        <v>Independence &amp; Nation-Building</v>
      </c>
    </row>
    <row r="7" spans="1:18">
      <c r="A7">
        <v>9</v>
      </c>
      <c r="B7" t="s">
        <v>55</v>
      </c>
      <c r="C7" t="s">
        <v>56</v>
      </c>
      <c r="D7" t="s">
        <v>57</v>
      </c>
      <c r="E7" t="s">
        <v>58</v>
      </c>
      <c r="F7" t="s">
        <v>15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54</v>
      </c>
      <c r="M7">
        <v>1947</v>
      </c>
      <c r="N7" s="5">
        <f>ROUNDUP(Clean_Data[[#This Row],[Year_Num]]/100,0)</f>
        <v>20</v>
      </c>
      <c r="O7" s="5" t="str" cm="1">
        <f t="array" ref="O7">_xlfn.LET(_xlpm.y,Clean_Data[[#This Row],[Year_Num]],_xlfn.IFS(_xlpm.y&lt;500,"Ancient",_xlpm.y&lt;1500,"Medieval",_xlpm.y&lt;1800,"Early Modern",_xlpm.y&lt;1946,"Modern",TRUE,"Contemporary"))</f>
        <v>Contemporary</v>
      </c>
      <c r="P7" s="5" t="str">
        <f>_xlfn.XLOOKUP(Clean_Data[[#This Row],[Country]],country_region[Country],country_region[Country_Standard],"Not found")</f>
        <v>India</v>
      </c>
      <c r="Q7" s="5" t="str">
        <f>_xlfn.XLOOKUP(Clean_Data[[#This Row],[Country]],country_region[Country],country_region[Region],"Not found")</f>
        <v>South Asia</v>
      </c>
      <c r="R7" s="5" t="str">
        <f>_xlfn.XLOOKUP(Clean_Data[[#This Row],[Type of Event]],event_type_category[Type of Event],event_type_category[Category],"Not found")</f>
        <v>Independence &amp; Nation-Building</v>
      </c>
    </row>
    <row r="8" spans="1:18">
      <c r="A8">
        <v>10</v>
      </c>
      <c r="B8" t="s">
        <v>4824</v>
      </c>
      <c r="C8" t="s">
        <v>65</v>
      </c>
      <c r="D8" t="s">
        <v>66</v>
      </c>
      <c r="E8" t="s">
        <v>67</v>
      </c>
      <c r="F8" t="s">
        <v>15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54</v>
      </c>
      <c r="M8">
        <v>1971</v>
      </c>
      <c r="N8" s="5">
        <f>ROUNDUP(Clean_Data[[#This Row],[Year_Num]]/100,0)</f>
        <v>20</v>
      </c>
      <c r="O8" s="5" t="str" cm="1">
        <f t="array" ref="O8">_xlfn.LET(_xlpm.y,Clean_Data[[#This Row],[Year_Num]],_xlfn.IFS(_xlpm.y&lt;500,"Ancient",_xlpm.y&lt;1500,"Medieval",_xlpm.y&lt;1800,"Early Modern",_xlpm.y&lt;1946,"Modern",TRUE,"Contemporary"))</f>
        <v>Contemporary</v>
      </c>
      <c r="P8" s="5" t="str">
        <f>_xlfn.XLOOKUP(Clean_Data[[#This Row],[Country]],country_region[Country],country_region[Country_Standard],"Not found")</f>
        <v>India</v>
      </c>
      <c r="Q8" s="5" t="str">
        <f>_xlfn.XLOOKUP(Clean_Data[[#This Row],[Country]],country_region[Country],country_region[Region],"Not found")</f>
        <v>South Asia</v>
      </c>
      <c r="R8" s="5" t="str">
        <f>_xlfn.XLOOKUP(Clean_Data[[#This Row],[Type of Event]],event_type_category[Type of Event],event_type_category[Category],"Not found")</f>
        <v>War &amp; Conflict</v>
      </c>
    </row>
    <row r="9" spans="1:18">
      <c r="A9">
        <v>11</v>
      </c>
      <c r="B9" t="s">
        <v>4825</v>
      </c>
      <c r="C9" t="s">
        <v>74</v>
      </c>
      <c r="D9" t="s">
        <v>47</v>
      </c>
      <c r="E9" t="s">
        <v>75</v>
      </c>
      <c r="F9" t="s">
        <v>15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36</v>
      </c>
      <c r="M9">
        <v>1998</v>
      </c>
      <c r="N9" s="5">
        <f>ROUNDUP(Clean_Data[[#This Row],[Year_Num]]/100,0)</f>
        <v>20</v>
      </c>
      <c r="O9" s="5" t="str" cm="1">
        <f t="array" ref="O9">_xlfn.LET(_xlpm.y,Clean_Data[[#This Row],[Year_Num]],_xlfn.IFS(_xlpm.y&lt;500,"Ancient",_xlpm.y&lt;1500,"Medieval",_xlpm.y&lt;1800,"Early Modern",_xlpm.y&lt;1946,"Modern",TRUE,"Contemporary"))</f>
        <v>Contemporary</v>
      </c>
      <c r="P9" s="5" t="str">
        <f>_xlfn.XLOOKUP(Clean_Data[[#This Row],[Country]],country_region[Country],country_region[Country_Standard],"Not found")</f>
        <v>India</v>
      </c>
      <c r="Q9" s="5" t="str">
        <f>_xlfn.XLOOKUP(Clean_Data[[#This Row],[Country]],country_region[Country],country_region[Region],"Not found")</f>
        <v>South Asia</v>
      </c>
      <c r="R9" s="5" t="str">
        <f>_xlfn.XLOOKUP(Clean_Data[[#This Row],[Type of Event]],event_type_category[Type of Event],event_type_category[Category],"Not found")</f>
        <v>War &amp; Conflict</v>
      </c>
    </row>
    <row r="10" spans="1:18">
      <c r="A10">
        <v>12</v>
      </c>
      <c r="B10" t="s">
        <v>81</v>
      </c>
      <c r="C10" t="s">
        <v>82</v>
      </c>
      <c r="D10" t="s">
        <v>83</v>
      </c>
      <c r="E10" t="s">
        <v>84</v>
      </c>
      <c r="F10" t="s">
        <v>15</v>
      </c>
      <c r="G10" t="s">
        <v>85</v>
      </c>
      <c r="H10" t="s">
        <v>86</v>
      </c>
      <c r="I10" t="s">
        <v>87</v>
      </c>
      <c r="J10" t="s">
        <v>88</v>
      </c>
      <c r="K10" t="s">
        <v>4826</v>
      </c>
      <c r="L10" t="s">
        <v>54</v>
      </c>
      <c r="M10">
        <v>2008</v>
      </c>
      <c r="N10" s="5">
        <f>ROUNDUP(Clean_Data[[#This Row],[Year_Num]]/100,0)</f>
        <v>21</v>
      </c>
      <c r="O10" s="5" t="str" cm="1">
        <f t="array" ref="O10">_xlfn.LET(_xlpm.y,Clean_Data[[#This Row],[Year_Num]],_xlfn.IFS(_xlpm.y&lt;500,"Ancient",_xlpm.y&lt;1500,"Medieval",_xlpm.y&lt;1800,"Early Modern",_xlpm.y&lt;1946,"Modern",TRUE,"Contemporary"))</f>
        <v>Contemporary</v>
      </c>
      <c r="P10" s="5" t="str">
        <f>_xlfn.XLOOKUP(Clean_Data[[#This Row],[Country]],country_region[Country],country_region[Country_Standard],"Not found")</f>
        <v>India</v>
      </c>
      <c r="Q10" s="5" t="str">
        <f>_xlfn.XLOOKUP(Clean_Data[[#This Row],[Country]],country_region[Country],country_region[Region],"Not found")</f>
        <v>South Asia</v>
      </c>
      <c r="R10" s="5" t="str">
        <f>_xlfn.XLOOKUP(Clean_Data[[#This Row],[Type of Event]],event_type_category[Type of Event],event_type_category[Category],"Not found")</f>
        <v>War &amp; Conflict</v>
      </c>
    </row>
    <row r="11" spans="1:18">
      <c r="A11">
        <v>13</v>
      </c>
      <c r="B11" t="s">
        <v>90</v>
      </c>
      <c r="C11" t="s">
        <v>91</v>
      </c>
      <c r="D11" t="s">
        <v>47</v>
      </c>
      <c r="E11" t="s">
        <v>92</v>
      </c>
      <c r="F11" t="s">
        <v>15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54</v>
      </c>
      <c r="M11">
        <v>1498</v>
      </c>
      <c r="N11" s="5">
        <f>ROUNDUP(Clean_Data[[#This Row],[Year_Num]]/100,0)</f>
        <v>15</v>
      </c>
      <c r="O11" s="5" t="str" cm="1">
        <f t="array" ref="O11">_xlfn.LET(_xlpm.y,Clean_Data[[#This Row],[Year_Num]],_xlfn.IFS(_xlpm.y&lt;500,"Ancient",_xlpm.y&lt;1500,"Medieval",_xlpm.y&lt;1800,"Early Modern",_xlpm.y&lt;1946,"Modern",TRUE,"Contemporary"))</f>
        <v>Medieval</v>
      </c>
      <c r="P11" s="5" t="str">
        <f>_xlfn.XLOOKUP(Clean_Data[[#This Row],[Country]],country_region[Country],country_region[Country_Standard],"Not found")</f>
        <v>India</v>
      </c>
      <c r="Q11" s="5" t="str">
        <f>_xlfn.XLOOKUP(Clean_Data[[#This Row],[Country]],country_region[Country],country_region[Region],"Not found")</f>
        <v>South Asia</v>
      </c>
      <c r="R11" s="5" t="str">
        <f>_xlfn.XLOOKUP(Clean_Data[[#This Row],[Type of Event]],event_type_category[Type of Event],event_type_category[Category],"Not found")</f>
        <v>Science, Technology &amp; Exploration</v>
      </c>
    </row>
    <row r="12" spans="1:18">
      <c r="A12">
        <v>14</v>
      </c>
      <c r="B12" t="s">
        <v>98</v>
      </c>
      <c r="C12" t="s">
        <v>99</v>
      </c>
      <c r="D12" t="s">
        <v>100</v>
      </c>
      <c r="E12" t="s">
        <v>101</v>
      </c>
      <c r="F12" t="s">
        <v>15</v>
      </c>
      <c r="G12" t="s">
        <v>24</v>
      </c>
      <c r="H12" t="s">
        <v>102</v>
      </c>
      <c r="I12" t="s">
        <v>103</v>
      </c>
      <c r="J12" t="s">
        <v>104</v>
      </c>
      <c r="K12" t="s">
        <v>105</v>
      </c>
      <c r="L12" t="s">
        <v>54</v>
      </c>
      <c r="M12">
        <v>1757</v>
      </c>
      <c r="N12" s="5">
        <f>ROUNDUP(Clean_Data[[#This Row],[Year_Num]]/100,0)</f>
        <v>18</v>
      </c>
      <c r="O12" s="5" t="str" cm="1">
        <f t="array" ref="O12">_xlfn.LET(_xlpm.y,Clean_Data[[#This Row],[Year_Num]],_xlfn.IFS(_xlpm.y&lt;500,"Ancient",_xlpm.y&lt;1500,"Medieval",_xlpm.y&lt;1800,"Early Modern",_xlpm.y&lt;1946,"Modern",TRUE,"Contemporary"))</f>
        <v>Early Modern</v>
      </c>
      <c r="P12" s="5" t="str">
        <f>_xlfn.XLOOKUP(Clean_Data[[#This Row],[Country]],country_region[Country],country_region[Country_Standard],"Not found")</f>
        <v>India</v>
      </c>
      <c r="Q12" s="5" t="str">
        <f>_xlfn.XLOOKUP(Clean_Data[[#This Row],[Country]],country_region[Country],country_region[Region],"Not found")</f>
        <v>South Asia</v>
      </c>
      <c r="R12" s="5" t="str">
        <f>_xlfn.XLOOKUP(Clean_Data[[#This Row],[Type of Event]],event_type_category[Type of Event],event_type_category[Category],"Not found")</f>
        <v>War &amp; Conflict</v>
      </c>
    </row>
    <row r="13" spans="1:18">
      <c r="A13">
        <v>15</v>
      </c>
      <c r="B13" t="s">
        <v>106</v>
      </c>
      <c r="C13" t="s">
        <v>107</v>
      </c>
      <c r="D13" t="s">
        <v>47</v>
      </c>
      <c r="E13" t="s">
        <v>108</v>
      </c>
      <c r="F13" t="s">
        <v>15</v>
      </c>
      <c r="G13" t="s">
        <v>109</v>
      </c>
      <c r="H13" t="s">
        <v>110</v>
      </c>
      <c r="I13" t="s">
        <v>4827</v>
      </c>
      <c r="J13" t="s">
        <v>112</v>
      </c>
      <c r="K13" t="s">
        <v>113</v>
      </c>
      <c r="L13" t="s">
        <v>54</v>
      </c>
      <c r="M13">
        <v>1857</v>
      </c>
      <c r="N13" s="5">
        <f>ROUNDUP(Clean_Data[[#This Row],[Year_Num]]/100,0)</f>
        <v>19</v>
      </c>
      <c r="O13" s="5" t="str" cm="1">
        <f t="array" ref="O13">_xlfn.LET(_xlpm.y,Clean_Data[[#This Row],[Year_Num]],_xlfn.IFS(_xlpm.y&lt;500,"Ancient",_xlpm.y&lt;1500,"Medieval",_xlpm.y&lt;1800,"Early Modern",_xlpm.y&lt;1946,"Modern",TRUE,"Contemporary"))</f>
        <v>Modern</v>
      </c>
      <c r="P13" s="5" t="str">
        <f>_xlfn.XLOOKUP(Clean_Data[[#This Row],[Country]],country_region[Country],country_region[Country_Standard],"Not found")</f>
        <v>India</v>
      </c>
      <c r="Q13" s="5" t="str">
        <f>_xlfn.XLOOKUP(Clean_Data[[#This Row],[Country]],country_region[Country],country_region[Region],"Not found")</f>
        <v>South Asia</v>
      </c>
      <c r="R13" s="5" t="str">
        <f>_xlfn.XLOOKUP(Clean_Data[[#This Row],[Type of Event]],event_type_category[Type of Event],event_type_category[Category],"Not found")</f>
        <v>War &amp; Conflict</v>
      </c>
    </row>
    <row r="14" spans="1:18">
      <c r="A14">
        <v>16</v>
      </c>
      <c r="B14" t="s">
        <v>114</v>
      </c>
      <c r="C14" t="s">
        <v>115</v>
      </c>
      <c r="D14" t="s">
        <v>57</v>
      </c>
      <c r="E14" t="s">
        <v>116</v>
      </c>
      <c r="F14" t="s">
        <v>15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21</v>
      </c>
      <c r="M14">
        <v>1905</v>
      </c>
      <c r="N14" s="5">
        <f>ROUNDUP(Clean_Data[[#This Row],[Year_Num]]/100,0)</f>
        <v>20</v>
      </c>
      <c r="O14" s="5" t="str" cm="1">
        <f t="array" ref="O14">_xlfn.LET(_xlpm.y,Clean_Data[[#This Row],[Year_Num]],_xlfn.IFS(_xlpm.y&lt;500,"Ancient",_xlpm.y&lt;1500,"Medieval",_xlpm.y&lt;1800,"Early Modern",_xlpm.y&lt;1946,"Modern",TRUE,"Contemporary"))</f>
        <v>Modern</v>
      </c>
      <c r="P14" s="5" t="str">
        <f>_xlfn.XLOOKUP(Clean_Data[[#This Row],[Country]],country_region[Country],country_region[Country_Standard],"Not found")</f>
        <v>India</v>
      </c>
      <c r="Q14" s="5" t="str">
        <f>_xlfn.XLOOKUP(Clean_Data[[#This Row],[Country]],country_region[Country],country_region[Region],"Not found")</f>
        <v>South Asia</v>
      </c>
      <c r="R14" s="5" t="str">
        <f>_xlfn.XLOOKUP(Clean_Data[[#This Row],[Type of Event]],event_type_category[Type of Event],event_type_category[Category],"Not found")</f>
        <v>Independence &amp; Nation-Building</v>
      </c>
    </row>
    <row r="15" spans="1:18">
      <c r="A15">
        <v>17</v>
      </c>
      <c r="B15" t="s">
        <v>122</v>
      </c>
      <c r="E15" t="s">
        <v>123</v>
      </c>
      <c r="F15" t="s">
        <v>15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21</v>
      </c>
      <c r="M15">
        <v>1960</v>
      </c>
      <c r="N15" s="5">
        <f>ROUNDUP(Clean_Data[[#This Row],[Year_Num]]/100,0)</f>
        <v>20</v>
      </c>
      <c r="O15" s="5" t="str" cm="1">
        <f t="array" ref="O15">_xlfn.LET(_xlpm.y,Clean_Data[[#This Row],[Year_Num]],_xlfn.IFS(_xlpm.y&lt;500,"Ancient",_xlpm.y&lt;1500,"Medieval",_xlpm.y&lt;1800,"Early Modern",_xlpm.y&lt;1946,"Modern",TRUE,"Contemporary"))</f>
        <v>Contemporary</v>
      </c>
      <c r="P15" s="5" t="str">
        <f>_xlfn.XLOOKUP(Clean_Data[[#This Row],[Country]],country_region[Country],country_region[Country_Standard],"Not found")</f>
        <v>India</v>
      </c>
      <c r="Q15" s="5" t="str">
        <f>_xlfn.XLOOKUP(Clean_Data[[#This Row],[Country]],country_region[Country],country_region[Region],"Not found")</f>
        <v>South Asia</v>
      </c>
      <c r="R15" s="5" t="str">
        <f>_xlfn.XLOOKUP(Clean_Data[[#This Row],[Type of Event]],event_type_category[Type of Event],event_type_category[Category],"Not found")</f>
        <v>Economy &amp; Infrastructure</v>
      </c>
    </row>
    <row r="16" spans="1:18">
      <c r="A16">
        <v>18</v>
      </c>
      <c r="B16" t="s">
        <v>129</v>
      </c>
      <c r="C16" t="s">
        <v>46</v>
      </c>
      <c r="D16" t="s">
        <v>100</v>
      </c>
      <c r="E16" t="s">
        <v>130</v>
      </c>
      <c r="F16" t="s">
        <v>15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54</v>
      </c>
      <c r="M16">
        <v>1984</v>
      </c>
      <c r="N16" s="5">
        <f>ROUNDUP(Clean_Data[[#This Row],[Year_Num]]/100,0)</f>
        <v>20</v>
      </c>
      <c r="O16" s="5" t="str" cm="1">
        <f t="array" ref="O16">_xlfn.LET(_xlpm.y,Clean_Data[[#This Row],[Year_Num]],_xlfn.IFS(_xlpm.y&lt;500,"Ancient",_xlpm.y&lt;1500,"Medieval",_xlpm.y&lt;1800,"Early Modern",_xlpm.y&lt;1946,"Modern",TRUE,"Contemporary"))</f>
        <v>Contemporary</v>
      </c>
      <c r="P16" s="5" t="str">
        <f>_xlfn.XLOOKUP(Clean_Data[[#This Row],[Country]],country_region[Country],country_region[Country_Standard],"Not found")</f>
        <v>India</v>
      </c>
      <c r="Q16" s="5" t="str">
        <f>_xlfn.XLOOKUP(Clean_Data[[#This Row],[Country]],country_region[Country],country_region[Region],"Not found")</f>
        <v>South Asia</v>
      </c>
      <c r="R16" s="5" t="str">
        <f>_xlfn.XLOOKUP(Clean_Data[[#This Row],[Type of Event]],event_type_category[Type of Event],event_type_category[Category],"Not found")</f>
        <v>War &amp; Conflict</v>
      </c>
    </row>
    <row r="17" spans="1:18">
      <c r="A17">
        <v>19</v>
      </c>
      <c r="B17" t="s">
        <v>136</v>
      </c>
      <c r="D17" t="s">
        <v>47</v>
      </c>
      <c r="E17" t="s">
        <v>137</v>
      </c>
      <c r="F17" t="s">
        <v>15</v>
      </c>
      <c r="G17" t="s">
        <v>138</v>
      </c>
      <c r="H17" t="s">
        <v>139</v>
      </c>
      <c r="I17" t="s">
        <v>140</v>
      </c>
      <c r="J17" t="s">
        <v>141</v>
      </c>
      <c r="K17" t="s">
        <v>142</v>
      </c>
      <c r="L17" t="s">
        <v>21</v>
      </c>
      <c r="M17">
        <v>1999</v>
      </c>
      <c r="N17" s="5">
        <f>ROUNDUP(Clean_Data[[#This Row],[Year_Num]]/100,0)</f>
        <v>20</v>
      </c>
      <c r="O17" s="5" t="str" cm="1">
        <f t="array" ref="O17">_xlfn.LET(_xlpm.y,Clean_Data[[#This Row],[Year_Num]],_xlfn.IFS(_xlpm.y&lt;500,"Ancient",_xlpm.y&lt;1500,"Medieval",_xlpm.y&lt;1800,"Early Modern",_xlpm.y&lt;1946,"Modern",TRUE,"Contemporary"))</f>
        <v>Contemporary</v>
      </c>
      <c r="P17" s="5" t="str">
        <f>_xlfn.XLOOKUP(Clean_Data[[#This Row],[Country]],country_region[Country],country_region[Country_Standard],"Not found")</f>
        <v>India</v>
      </c>
      <c r="Q17" s="5" t="str">
        <f>_xlfn.XLOOKUP(Clean_Data[[#This Row],[Country]],country_region[Country],country_region[Region],"Not found")</f>
        <v>South Asia</v>
      </c>
      <c r="R17" s="5" t="str">
        <f>_xlfn.XLOOKUP(Clean_Data[[#This Row],[Type of Event]],event_type_category[Type of Event],event_type_category[Category],"Not found")</f>
        <v>War &amp; Conflict</v>
      </c>
    </row>
    <row r="18" spans="1:18">
      <c r="A18">
        <v>20</v>
      </c>
      <c r="B18" t="s">
        <v>143</v>
      </c>
      <c r="C18" t="s">
        <v>56</v>
      </c>
      <c r="D18" t="s">
        <v>100</v>
      </c>
      <c r="E18" t="s">
        <v>144</v>
      </c>
      <c r="F18" t="s">
        <v>15</v>
      </c>
      <c r="G18" t="s">
        <v>145</v>
      </c>
      <c r="H18" t="s">
        <v>15</v>
      </c>
      <c r="I18" t="s">
        <v>146</v>
      </c>
      <c r="J18" t="s">
        <v>147</v>
      </c>
      <c r="K18" t="s">
        <v>148</v>
      </c>
      <c r="L18" t="s">
        <v>21</v>
      </c>
      <c r="M18">
        <v>2005</v>
      </c>
      <c r="N18" s="5">
        <f>ROUNDUP(Clean_Data[[#This Row],[Year_Num]]/100,0)</f>
        <v>21</v>
      </c>
      <c r="O18" s="5" t="str" cm="1">
        <f t="array" ref="O18">_xlfn.LET(_xlpm.y,Clean_Data[[#This Row],[Year_Num]],_xlfn.IFS(_xlpm.y&lt;500,"Ancient",_xlpm.y&lt;1500,"Medieval",_xlpm.y&lt;1800,"Early Modern",_xlpm.y&lt;1946,"Modern",TRUE,"Contemporary"))</f>
        <v>Contemporary</v>
      </c>
      <c r="P18" s="5" t="str">
        <f>_xlfn.XLOOKUP(Clean_Data[[#This Row],[Country]],country_region[Country],country_region[Country_Standard],"Not found")</f>
        <v>India</v>
      </c>
      <c r="Q18" s="5" t="str">
        <f>_xlfn.XLOOKUP(Clean_Data[[#This Row],[Country]],country_region[Country],country_region[Region],"Not found")</f>
        <v>South Asia</v>
      </c>
      <c r="R18" s="5" t="str">
        <f>_xlfn.XLOOKUP(Clean_Data[[#This Row],[Type of Event]],event_type_category[Type of Event],event_type_category[Category],"Not found")</f>
        <v>Politics &amp; Law</v>
      </c>
    </row>
    <row r="19" spans="1:18">
      <c r="A19">
        <v>21</v>
      </c>
      <c r="B19" t="s">
        <v>149</v>
      </c>
      <c r="C19" t="s">
        <v>150</v>
      </c>
      <c r="D19" t="s">
        <v>66</v>
      </c>
      <c r="E19" t="s">
        <v>151</v>
      </c>
      <c r="F19" t="s">
        <v>15</v>
      </c>
      <c r="G19" t="s">
        <v>152</v>
      </c>
      <c r="H19" t="s">
        <v>153</v>
      </c>
      <c r="I19" t="s">
        <v>154</v>
      </c>
      <c r="J19" t="s">
        <v>155</v>
      </c>
      <c r="K19" t="s">
        <v>156</v>
      </c>
      <c r="L19" t="s">
        <v>21</v>
      </c>
      <c r="M19">
        <v>2012</v>
      </c>
      <c r="N19" s="5">
        <f>ROUNDUP(Clean_Data[[#This Row],[Year_Num]]/100,0)</f>
        <v>21</v>
      </c>
      <c r="O19" s="5" t="str" cm="1">
        <f t="array" ref="O19">_xlfn.LET(_xlpm.y,Clean_Data[[#This Row],[Year_Num]],_xlfn.IFS(_xlpm.y&lt;500,"Ancient",_xlpm.y&lt;1500,"Medieval",_xlpm.y&lt;1800,"Early Modern",_xlpm.y&lt;1946,"Modern",TRUE,"Contemporary"))</f>
        <v>Contemporary</v>
      </c>
      <c r="P19" s="5" t="str">
        <f>_xlfn.XLOOKUP(Clean_Data[[#This Row],[Country]],country_region[Country],country_region[Country_Standard],"Not found")</f>
        <v>India</v>
      </c>
      <c r="Q19" s="5" t="str">
        <f>_xlfn.XLOOKUP(Clean_Data[[#This Row],[Country]],country_region[Country],country_region[Region],"Not found")</f>
        <v>South Asia</v>
      </c>
      <c r="R19" s="5" t="str">
        <f>_xlfn.XLOOKUP(Clean_Data[[#This Row],[Type of Event]],event_type_category[Type of Event],event_type_category[Category],"Not found")</f>
        <v>War &amp; Conflict</v>
      </c>
    </row>
    <row r="20" spans="1:18">
      <c r="A20">
        <v>22</v>
      </c>
      <c r="B20" t="s">
        <v>157</v>
      </c>
      <c r="D20" t="s">
        <v>158</v>
      </c>
      <c r="E20" t="s">
        <v>159</v>
      </c>
      <c r="F20" t="s">
        <v>15</v>
      </c>
      <c r="G20" t="s">
        <v>160</v>
      </c>
      <c r="H20" t="s">
        <v>15</v>
      </c>
      <c r="I20" t="s">
        <v>161</v>
      </c>
      <c r="J20" t="s">
        <v>162</v>
      </c>
      <c r="K20" t="s">
        <v>163</v>
      </c>
      <c r="L20" t="s">
        <v>21</v>
      </c>
      <c r="M20">
        <v>2022</v>
      </c>
      <c r="N20" s="5">
        <f>ROUNDUP(Clean_Data[[#This Row],[Year_Num]]/100,0)</f>
        <v>21</v>
      </c>
      <c r="O20" s="5" t="str" cm="1">
        <f t="array" ref="O20">_xlfn.LET(_xlpm.y,Clean_Data[[#This Row],[Year_Num]],_xlfn.IFS(_xlpm.y&lt;500,"Ancient",_xlpm.y&lt;1500,"Medieval",_xlpm.y&lt;1800,"Early Modern",_xlpm.y&lt;1946,"Modern",TRUE,"Contemporary"))</f>
        <v>Contemporary</v>
      </c>
      <c r="P20" s="5" t="str">
        <f>_xlfn.XLOOKUP(Clean_Data[[#This Row],[Country]],country_region[Country],country_region[Country_Standard],"Not found")</f>
        <v>India</v>
      </c>
      <c r="Q20" s="5" t="str">
        <f>_xlfn.XLOOKUP(Clean_Data[[#This Row],[Country]],country_region[Country],country_region[Region],"Not found")</f>
        <v>South Asia</v>
      </c>
      <c r="R20" s="5" t="str">
        <f>_xlfn.XLOOKUP(Clean_Data[[#This Row],[Type of Event]],event_type_category[Type of Event],event_type_category[Category],"Not found")</f>
        <v>Science, Technology &amp; Exploration</v>
      </c>
    </row>
    <row r="21" spans="1:18">
      <c r="A21">
        <v>23</v>
      </c>
      <c r="B21" t="s">
        <v>164</v>
      </c>
      <c r="C21" t="s">
        <v>165</v>
      </c>
      <c r="D21" t="s">
        <v>57</v>
      </c>
      <c r="E21" t="s">
        <v>166</v>
      </c>
      <c r="F21" t="s">
        <v>15</v>
      </c>
      <c r="G21" t="s">
        <v>167</v>
      </c>
      <c r="H21" t="s">
        <v>168</v>
      </c>
      <c r="I21" t="s">
        <v>169</v>
      </c>
      <c r="J21" t="s">
        <v>170</v>
      </c>
      <c r="K21" t="s">
        <v>171</v>
      </c>
      <c r="L21" t="s">
        <v>21</v>
      </c>
      <c r="M21">
        <v>2020</v>
      </c>
      <c r="N21" s="5">
        <f>ROUNDUP(Clean_Data[[#This Row],[Year_Num]]/100,0)</f>
        <v>21</v>
      </c>
      <c r="O21" s="5" t="str" cm="1">
        <f t="array" ref="O21">_xlfn.LET(_xlpm.y,Clean_Data[[#This Row],[Year_Num]],_xlfn.IFS(_xlpm.y&lt;500,"Ancient",_xlpm.y&lt;1500,"Medieval",_xlpm.y&lt;1800,"Early Modern",_xlpm.y&lt;1946,"Modern",TRUE,"Contemporary"))</f>
        <v>Contemporary</v>
      </c>
      <c r="P21" s="5" t="str">
        <f>_xlfn.XLOOKUP(Clean_Data[[#This Row],[Country]],country_region[Country],country_region[Country_Standard],"Not found")</f>
        <v>India</v>
      </c>
      <c r="Q21" s="5" t="str">
        <f>_xlfn.XLOOKUP(Clean_Data[[#This Row],[Country]],country_region[Country],country_region[Region],"Not found")</f>
        <v>South Asia</v>
      </c>
      <c r="R21" s="5" t="str">
        <f>_xlfn.XLOOKUP(Clean_Data[[#This Row],[Type of Event]],event_type_category[Type of Event],event_type_category[Category],"Not found")</f>
        <v>Culture, Religion &amp; Sport</v>
      </c>
    </row>
    <row r="22" spans="1:18">
      <c r="A22">
        <v>24</v>
      </c>
      <c r="B22" t="s">
        <v>172</v>
      </c>
      <c r="D22" t="s">
        <v>173</v>
      </c>
      <c r="E22" t="s">
        <v>174</v>
      </c>
      <c r="F22" t="s">
        <v>15</v>
      </c>
      <c r="G22" t="s">
        <v>175</v>
      </c>
      <c r="H22" t="s">
        <v>176</v>
      </c>
      <c r="I22" t="s">
        <v>4828</v>
      </c>
      <c r="J22" t="s">
        <v>178</v>
      </c>
      <c r="K22" t="s">
        <v>179</v>
      </c>
      <c r="L22" t="s">
        <v>21</v>
      </c>
      <c r="M22">
        <v>2018</v>
      </c>
      <c r="N22" s="5">
        <f>ROUNDUP(Clean_Data[[#This Row],[Year_Num]]/100,0)</f>
        <v>21</v>
      </c>
      <c r="O22" s="5" t="str" cm="1">
        <f t="array" ref="O22">_xlfn.LET(_xlpm.y,Clean_Data[[#This Row],[Year_Num]],_xlfn.IFS(_xlpm.y&lt;500,"Ancient",_xlpm.y&lt;1500,"Medieval",_xlpm.y&lt;1800,"Early Modern",_xlpm.y&lt;1946,"Modern",TRUE,"Contemporary"))</f>
        <v>Contemporary</v>
      </c>
      <c r="P22" s="5" t="str">
        <f>_xlfn.XLOOKUP(Clean_Data[[#This Row],[Country]],country_region[Country],country_region[Country_Standard],"Not found")</f>
        <v>India</v>
      </c>
      <c r="Q22" s="5" t="str">
        <f>_xlfn.XLOOKUP(Clean_Data[[#This Row],[Country]],country_region[Country],country_region[Region],"Not found")</f>
        <v>South Asia</v>
      </c>
      <c r="R22" s="5" t="str">
        <f>_xlfn.XLOOKUP(Clean_Data[[#This Row],[Type of Event]],event_type_category[Type of Event],event_type_category[Category],"Not found")</f>
        <v>Economy &amp; Infrastructure</v>
      </c>
    </row>
    <row r="23" spans="1:18">
      <c r="A23">
        <v>25</v>
      </c>
      <c r="B23" t="s">
        <v>180</v>
      </c>
      <c r="C23" t="s">
        <v>56</v>
      </c>
      <c r="D23" t="s">
        <v>57</v>
      </c>
      <c r="E23" t="s">
        <v>58</v>
      </c>
      <c r="F23" t="s">
        <v>15</v>
      </c>
      <c r="G23" t="s">
        <v>31</v>
      </c>
      <c r="H23" t="s">
        <v>15</v>
      </c>
      <c r="I23" t="s">
        <v>181</v>
      </c>
      <c r="J23" t="s">
        <v>182</v>
      </c>
      <c r="K23" t="s">
        <v>183</v>
      </c>
      <c r="L23" t="s">
        <v>21</v>
      </c>
      <c r="M23">
        <v>1947</v>
      </c>
      <c r="N23" s="5">
        <f>ROUNDUP(Clean_Data[[#This Row],[Year_Num]]/100,0)</f>
        <v>20</v>
      </c>
      <c r="O23" s="5" t="str" cm="1">
        <f t="array" ref="O23">_xlfn.LET(_xlpm.y,Clean_Data[[#This Row],[Year_Num]],_xlfn.IFS(_xlpm.y&lt;500,"Ancient",_xlpm.y&lt;1500,"Medieval",_xlpm.y&lt;1800,"Early Modern",_xlpm.y&lt;1946,"Modern",TRUE,"Contemporary"))</f>
        <v>Contemporary</v>
      </c>
      <c r="P23" s="5" t="str">
        <f>_xlfn.XLOOKUP(Clean_Data[[#This Row],[Country]],country_region[Country],country_region[Country_Standard],"Not found")</f>
        <v>India</v>
      </c>
      <c r="Q23" s="5" t="str">
        <f>_xlfn.XLOOKUP(Clean_Data[[#This Row],[Country]],country_region[Country],country_region[Region],"Not found")</f>
        <v>South Asia</v>
      </c>
      <c r="R23" s="5" t="str">
        <f>_xlfn.XLOOKUP(Clean_Data[[#This Row],[Type of Event]],event_type_category[Type of Event],event_type_category[Category],"Not found")</f>
        <v>Politics &amp; Law</v>
      </c>
    </row>
    <row r="24" spans="1:18">
      <c r="A24">
        <v>26</v>
      </c>
      <c r="B24" t="s">
        <v>184</v>
      </c>
      <c r="D24" t="s">
        <v>158</v>
      </c>
      <c r="E24" t="s">
        <v>185</v>
      </c>
      <c r="F24" t="s">
        <v>15</v>
      </c>
      <c r="G24" t="s">
        <v>31</v>
      </c>
      <c r="H24" t="s">
        <v>15</v>
      </c>
      <c r="I24" t="s">
        <v>186</v>
      </c>
      <c r="J24" t="s">
        <v>187</v>
      </c>
      <c r="K24" t="s">
        <v>148</v>
      </c>
      <c r="L24" t="s">
        <v>21</v>
      </c>
      <c r="M24">
        <v>1951</v>
      </c>
      <c r="N24" s="5">
        <f>ROUNDUP(Clean_Data[[#This Row],[Year_Num]]/100,0)</f>
        <v>20</v>
      </c>
      <c r="O24" s="5" t="str" cm="1">
        <f t="array" ref="O24">_xlfn.LET(_xlpm.y,Clean_Data[[#This Row],[Year_Num]],_xlfn.IFS(_xlpm.y&lt;500,"Ancient",_xlpm.y&lt;1500,"Medieval",_xlpm.y&lt;1800,"Early Modern",_xlpm.y&lt;1946,"Modern",TRUE,"Contemporary"))</f>
        <v>Contemporary</v>
      </c>
      <c r="P24" s="5" t="str">
        <f>_xlfn.XLOOKUP(Clean_Data[[#This Row],[Country]],country_region[Country],country_region[Country_Standard],"Not found")</f>
        <v>India</v>
      </c>
      <c r="Q24" s="5" t="str">
        <f>_xlfn.XLOOKUP(Clean_Data[[#This Row],[Country]],country_region[Country],country_region[Region],"Not found")</f>
        <v>South Asia</v>
      </c>
      <c r="R24" s="5" t="str">
        <f>_xlfn.XLOOKUP(Clean_Data[[#This Row],[Type of Event]],event_type_category[Type of Event],event_type_category[Category],"Not found")</f>
        <v>Politics &amp; Law</v>
      </c>
    </row>
    <row r="25" spans="1:18">
      <c r="A25">
        <v>27</v>
      </c>
      <c r="B25" t="s">
        <v>4829</v>
      </c>
      <c r="C25" t="s">
        <v>91</v>
      </c>
      <c r="D25" t="s">
        <v>158</v>
      </c>
      <c r="E25" t="s">
        <v>189</v>
      </c>
      <c r="F25" t="s">
        <v>15</v>
      </c>
      <c r="G25" t="s">
        <v>138</v>
      </c>
      <c r="H25" t="s">
        <v>190</v>
      </c>
      <c r="I25" t="s">
        <v>191</v>
      </c>
      <c r="J25" t="s">
        <v>192</v>
      </c>
      <c r="K25" t="s">
        <v>193</v>
      </c>
      <c r="L25" t="s">
        <v>54</v>
      </c>
      <c r="M25">
        <v>1962</v>
      </c>
      <c r="N25" s="5">
        <f>ROUNDUP(Clean_Data[[#This Row],[Year_Num]]/100,0)</f>
        <v>20</v>
      </c>
      <c r="O25" s="5" t="str" cm="1">
        <f t="array" ref="O25">_xlfn.LET(_xlpm.y,Clean_Data[[#This Row],[Year_Num]],_xlfn.IFS(_xlpm.y&lt;500,"Ancient",_xlpm.y&lt;1500,"Medieval",_xlpm.y&lt;1800,"Early Modern",_xlpm.y&lt;1946,"Modern",TRUE,"Contemporary"))</f>
        <v>Contemporary</v>
      </c>
      <c r="P25" s="5" t="str">
        <f>_xlfn.XLOOKUP(Clean_Data[[#This Row],[Country]],country_region[Country],country_region[Country_Standard],"Not found")</f>
        <v>India</v>
      </c>
      <c r="Q25" s="5" t="str">
        <f>_xlfn.XLOOKUP(Clean_Data[[#This Row],[Country]],country_region[Country],country_region[Region],"Not found")</f>
        <v>South Asia</v>
      </c>
      <c r="R25" s="5" t="str">
        <f>_xlfn.XLOOKUP(Clean_Data[[#This Row],[Type of Event]],event_type_category[Type of Event],event_type_category[Category],"Not found")</f>
        <v>War &amp; Conflict</v>
      </c>
    </row>
    <row r="26" spans="1:18">
      <c r="A26">
        <v>28</v>
      </c>
      <c r="B26" t="s">
        <v>194</v>
      </c>
      <c r="C26" t="s">
        <v>195</v>
      </c>
      <c r="D26" t="s">
        <v>47</v>
      </c>
      <c r="E26" t="s">
        <v>196</v>
      </c>
      <c r="F26" t="s">
        <v>15</v>
      </c>
      <c r="G26" t="s">
        <v>76</v>
      </c>
      <c r="H26" t="s">
        <v>197</v>
      </c>
      <c r="I26" t="s">
        <v>198</v>
      </c>
      <c r="J26" t="s">
        <v>79</v>
      </c>
      <c r="K26" t="s">
        <v>148</v>
      </c>
      <c r="L26" t="s">
        <v>36</v>
      </c>
      <c r="M26">
        <v>1974</v>
      </c>
      <c r="N26" s="5">
        <f>ROUNDUP(Clean_Data[[#This Row],[Year_Num]]/100,0)</f>
        <v>20</v>
      </c>
      <c r="O26" s="5" t="str" cm="1">
        <f t="array" ref="O26">_xlfn.LET(_xlpm.y,Clean_Data[[#This Row],[Year_Num]],_xlfn.IFS(_xlpm.y&lt;500,"Ancient",_xlpm.y&lt;1500,"Medieval",_xlpm.y&lt;1800,"Early Modern",_xlpm.y&lt;1946,"Modern",TRUE,"Contemporary"))</f>
        <v>Contemporary</v>
      </c>
      <c r="P26" s="5" t="str">
        <f>_xlfn.XLOOKUP(Clean_Data[[#This Row],[Country]],country_region[Country],country_region[Country_Standard],"Not found")</f>
        <v>India</v>
      </c>
      <c r="Q26" s="5" t="str">
        <f>_xlfn.XLOOKUP(Clean_Data[[#This Row],[Country]],country_region[Country],country_region[Region],"Not found")</f>
        <v>South Asia</v>
      </c>
      <c r="R26" s="5" t="str">
        <f>_xlfn.XLOOKUP(Clean_Data[[#This Row],[Type of Event]],event_type_category[Type of Event],event_type_category[Category],"Not found")</f>
        <v>War &amp; Conflict</v>
      </c>
    </row>
    <row r="27" spans="1:18">
      <c r="A27">
        <v>29</v>
      </c>
      <c r="B27" t="s">
        <v>199</v>
      </c>
      <c r="C27" t="s">
        <v>200</v>
      </c>
      <c r="D27" t="s">
        <v>100</v>
      </c>
      <c r="E27" t="s">
        <v>201</v>
      </c>
      <c r="F27" t="s">
        <v>15</v>
      </c>
      <c r="G27" t="s">
        <v>31</v>
      </c>
      <c r="H27" t="s">
        <v>15</v>
      </c>
      <c r="I27" t="s">
        <v>202</v>
      </c>
      <c r="J27" t="s">
        <v>147</v>
      </c>
      <c r="K27" t="s">
        <v>203</v>
      </c>
      <c r="L27" t="s">
        <v>54</v>
      </c>
      <c r="M27">
        <v>1975</v>
      </c>
      <c r="N27" s="5">
        <f>ROUNDUP(Clean_Data[[#This Row],[Year_Num]]/100,0)</f>
        <v>20</v>
      </c>
      <c r="O27" s="5" t="str" cm="1">
        <f t="array" ref="O27">_xlfn.LET(_xlpm.y,Clean_Data[[#This Row],[Year_Num]],_xlfn.IFS(_xlpm.y&lt;500,"Ancient",_xlpm.y&lt;1500,"Medieval",_xlpm.y&lt;1800,"Early Modern",_xlpm.y&lt;1946,"Modern",TRUE,"Contemporary"))</f>
        <v>Contemporary</v>
      </c>
      <c r="P27" s="5" t="str">
        <f>_xlfn.XLOOKUP(Clean_Data[[#This Row],[Country]],country_region[Country],country_region[Country_Standard],"Not found")</f>
        <v>India</v>
      </c>
      <c r="Q27" s="5" t="str">
        <f>_xlfn.XLOOKUP(Clean_Data[[#This Row],[Country]],country_region[Country],country_region[Region],"Not found")</f>
        <v>South Asia</v>
      </c>
      <c r="R27" s="5" t="str">
        <f>_xlfn.XLOOKUP(Clean_Data[[#This Row],[Type of Event]],event_type_category[Type of Event],event_type_category[Category],"Not found")</f>
        <v>Politics &amp; Law</v>
      </c>
    </row>
    <row r="28" spans="1:18">
      <c r="A28">
        <v>30</v>
      </c>
      <c r="B28" t="s">
        <v>204</v>
      </c>
      <c r="C28" t="s">
        <v>65</v>
      </c>
      <c r="D28" t="s">
        <v>66</v>
      </c>
      <c r="E28" t="s">
        <v>130</v>
      </c>
      <c r="F28" t="s">
        <v>15</v>
      </c>
      <c r="G28" t="s">
        <v>205</v>
      </c>
      <c r="H28" t="s">
        <v>206</v>
      </c>
      <c r="I28" t="s">
        <v>207</v>
      </c>
      <c r="J28" t="s">
        <v>208</v>
      </c>
      <c r="K28" t="s">
        <v>209</v>
      </c>
      <c r="L28" t="s">
        <v>54</v>
      </c>
      <c r="M28">
        <v>1984</v>
      </c>
      <c r="N28" s="5">
        <f>ROUNDUP(Clean_Data[[#This Row],[Year_Num]]/100,0)</f>
        <v>20</v>
      </c>
      <c r="O28" s="5" t="str" cm="1">
        <f t="array" ref="O28">_xlfn.LET(_xlpm.y,Clean_Data[[#This Row],[Year_Num]],_xlfn.IFS(_xlpm.y&lt;500,"Ancient",_xlpm.y&lt;1500,"Medieval",_xlpm.y&lt;1800,"Early Modern",_xlpm.y&lt;1946,"Modern",TRUE,"Contemporary"))</f>
        <v>Contemporary</v>
      </c>
      <c r="P28" s="5" t="str">
        <f>_xlfn.XLOOKUP(Clean_Data[[#This Row],[Country]],country_region[Country],country_region[Country_Standard],"Not found")</f>
        <v>India</v>
      </c>
      <c r="Q28" s="5" t="str">
        <f>_xlfn.XLOOKUP(Clean_Data[[#This Row],[Country]],country_region[Country],country_region[Region],"Not found")</f>
        <v>South Asia</v>
      </c>
      <c r="R28" s="5" t="str">
        <f>_xlfn.XLOOKUP(Clean_Data[[#This Row],[Type of Event]],event_type_category[Type of Event],event_type_category[Category],"Not found")</f>
        <v>Disasters &amp; Accidents</v>
      </c>
    </row>
    <row r="29" spans="1:18">
      <c r="A29">
        <v>31</v>
      </c>
      <c r="B29" t="s">
        <v>210</v>
      </c>
      <c r="D29" t="s">
        <v>211</v>
      </c>
      <c r="E29" t="s">
        <v>212</v>
      </c>
      <c r="F29" t="s">
        <v>15</v>
      </c>
      <c r="G29" t="s">
        <v>213</v>
      </c>
      <c r="H29" t="s">
        <v>15</v>
      </c>
      <c r="I29" t="s">
        <v>214</v>
      </c>
      <c r="J29" t="s">
        <v>215</v>
      </c>
      <c r="K29" t="s">
        <v>216</v>
      </c>
      <c r="L29" t="s">
        <v>21</v>
      </c>
      <c r="M29">
        <v>1991</v>
      </c>
      <c r="N29" s="5">
        <f>ROUNDUP(Clean_Data[[#This Row],[Year_Num]]/100,0)</f>
        <v>20</v>
      </c>
      <c r="O29" s="5" t="str" cm="1">
        <f t="array" ref="O29">_xlfn.LET(_xlpm.y,Clean_Data[[#This Row],[Year_Num]],_xlfn.IFS(_xlpm.y&lt;500,"Ancient",_xlpm.y&lt;1500,"Medieval",_xlpm.y&lt;1800,"Early Modern",_xlpm.y&lt;1946,"Modern",TRUE,"Contemporary"))</f>
        <v>Contemporary</v>
      </c>
      <c r="P29" s="5" t="str">
        <f>_xlfn.XLOOKUP(Clean_Data[[#This Row],[Country]],country_region[Country],country_region[Country_Standard],"Not found")</f>
        <v>India</v>
      </c>
      <c r="Q29" s="5" t="str">
        <f>_xlfn.XLOOKUP(Clean_Data[[#This Row],[Country]],country_region[Country],country_region[Region],"Not found")</f>
        <v>South Asia</v>
      </c>
      <c r="R29" s="5" t="str">
        <f>_xlfn.XLOOKUP(Clean_Data[[#This Row],[Type of Event]],event_type_category[Type of Event],event_type_category[Category],"Not found")</f>
        <v>Economy &amp; Infrastructure</v>
      </c>
    </row>
    <row r="30" spans="1:18">
      <c r="A30">
        <v>32</v>
      </c>
      <c r="B30" t="s">
        <v>217</v>
      </c>
      <c r="C30" t="s">
        <v>218</v>
      </c>
      <c r="D30" t="s">
        <v>66</v>
      </c>
      <c r="E30" t="s">
        <v>137</v>
      </c>
      <c r="F30" t="s">
        <v>15</v>
      </c>
      <c r="G30" t="s">
        <v>85</v>
      </c>
      <c r="H30" t="s">
        <v>219</v>
      </c>
      <c r="I30" t="s">
        <v>220</v>
      </c>
      <c r="J30" t="s">
        <v>221</v>
      </c>
      <c r="K30" t="s">
        <v>222</v>
      </c>
      <c r="L30" t="s">
        <v>54</v>
      </c>
      <c r="M30">
        <v>1999</v>
      </c>
      <c r="N30" s="5">
        <f>ROUNDUP(Clean_Data[[#This Row],[Year_Num]]/100,0)</f>
        <v>20</v>
      </c>
      <c r="O30" s="5" t="str" cm="1">
        <f t="array" ref="O30">_xlfn.LET(_xlpm.y,Clean_Data[[#This Row],[Year_Num]],_xlfn.IFS(_xlpm.y&lt;500,"Ancient",_xlpm.y&lt;1500,"Medieval",_xlpm.y&lt;1800,"Early Modern",_xlpm.y&lt;1946,"Modern",TRUE,"Contemporary"))</f>
        <v>Contemporary</v>
      </c>
      <c r="P30" s="5" t="str">
        <f>_xlfn.XLOOKUP(Clean_Data[[#This Row],[Country]],country_region[Country],country_region[Country_Standard],"Not found")</f>
        <v>India</v>
      </c>
      <c r="Q30" s="5" t="str">
        <f>_xlfn.XLOOKUP(Clean_Data[[#This Row],[Country]],country_region[Country],country_region[Region],"Not found")</f>
        <v>South Asia</v>
      </c>
      <c r="R30" s="5" t="str">
        <f>_xlfn.XLOOKUP(Clean_Data[[#This Row],[Type of Event]],event_type_category[Type of Event],event_type_category[Category],"Not found")</f>
        <v>War &amp; Conflict</v>
      </c>
    </row>
    <row r="31" spans="1:18">
      <c r="A31">
        <v>33</v>
      </c>
      <c r="B31" t="s">
        <v>223</v>
      </c>
      <c r="C31" t="s">
        <v>224</v>
      </c>
      <c r="D31" t="s">
        <v>66</v>
      </c>
      <c r="E31" t="s">
        <v>225</v>
      </c>
      <c r="F31" t="s">
        <v>15</v>
      </c>
      <c r="G31" t="s">
        <v>85</v>
      </c>
      <c r="H31" t="s">
        <v>153</v>
      </c>
      <c r="I31" t="s">
        <v>226</v>
      </c>
      <c r="J31" t="s">
        <v>227</v>
      </c>
      <c r="K31" t="s">
        <v>228</v>
      </c>
      <c r="L31" t="s">
        <v>54</v>
      </c>
      <c r="M31">
        <v>2001</v>
      </c>
      <c r="N31" s="5">
        <f>ROUNDUP(Clean_Data[[#This Row],[Year_Num]]/100,0)</f>
        <v>21</v>
      </c>
      <c r="O31" s="5" t="str" cm="1">
        <f t="array" ref="O31">_xlfn.LET(_xlpm.y,Clean_Data[[#This Row],[Year_Num]],_xlfn.IFS(_xlpm.y&lt;500,"Ancient",_xlpm.y&lt;1500,"Medieval",_xlpm.y&lt;1800,"Early Modern",_xlpm.y&lt;1946,"Modern",TRUE,"Contemporary"))</f>
        <v>Contemporary</v>
      </c>
      <c r="P31" s="5" t="str">
        <f>_xlfn.XLOOKUP(Clean_Data[[#This Row],[Country]],country_region[Country],country_region[Country_Standard],"Not found")</f>
        <v>India</v>
      </c>
      <c r="Q31" s="5" t="str">
        <f>_xlfn.XLOOKUP(Clean_Data[[#This Row],[Country]],country_region[Country],country_region[Region],"Not found")</f>
        <v>South Asia</v>
      </c>
      <c r="R31" s="5" t="str">
        <f>_xlfn.XLOOKUP(Clean_Data[[#This Row],[Type of Event]],event_type_category[Type of Event],event_type_category[Category],"Not found")</f>
        <v>War &amp; Conflict</v>
      </c>
    </row>
    <row r="32" spans="1:18">
      <c r="A32">
        <v>34</v>
      </c>
      <c r="B32" t="s">
        <v>229</v>
      </c>
      <c r="C32" t="s">
        <v>230</v>
      </c>
      <c r="D32" t="s">
        <v>57</v>
      </c>
      <c r="E32" t="s">
        <v>231</v>
      </c>
      <c r="F32" t="s">
        <v>15</v>
      </c>
      <c r="G32" t="s">
        <v>145</v>
      </c>
      <c r="H32" t="s">
        <v>15</v>
      </c>
      <c r="I32" t="s">
        <v>232</v>
      </c>
      <c r="J32" t="s">
        <v>233</v>
      </c>
      <c r="K32" t="s">
        <v>148</v>
      </c>
      <c r="L32" t="s">
        <v>21</v>
      </c>
      <c r="M32">
        <v>2009</v>
      </c>
      <c r="N32" s="5">
        <f>ROUNDUP(Clean_Data[[#This Row],[Year_Num]]/100,0)</f>
        <v>21</v>
      </c>
      <c r="O32" s="5" t="str" cm="1">
        <f t="array" ref="O32">_xlfn.LET(_xlpm.y,Clean_Data[[#This Row],[Year_Num]],_xlfn.IFS(_xlpm.y&lt;500,"Ancient",_xlpm.y&lt;1500,"Medieval",_xlpm.y&lt;1800,"Early Modern",_xlpm.y&lt;1946,"Modern",TRUE,"Contemporary"))</f>
        <v>Contemporary</v>
      </c>
      <c r="P32" s="5" t="str">
        <f>_xlfn.XLOOKUP(Clean_Data[[#This Row],[Country]],country_region[Country],country_region[Country_Standard],"Not found")</f>
        <v>India</v>
      </c>
      <c r="Q32" s="5" t="str">
        <f>_xlfn.XLOOKUP(Clean_Data[[#This Row],[Country]],country_region[Country],country_region[Region],"Not found")</f>
        <v>South Asia</v>
      </c>
      <c r="R32" s="5" t="str">
        <f>_xlfn.XLOOKUP(Clean_Data[[#This Row],[Type of Event]],event_type_category[Type of Event],event_type_category[Category],"Not found")</f>
        <v>Politics &amp; Law</v>
      </c>
    </row>
    <row r="33" spans="1:18">
      <c r="A33">
        <v>35</v>
      </c>
      <c r="B33" t="s">
        <v>234</v>
      </c>
      <c r="C33" t="s">
        <v>165</v>
      </c>
      <c r="D33" t="s">
        <v>57</v>
      </c>
      <c r="E33" t="s">
        <v>235</v>
      </c>
      <c r="F33" t="s">
        <v>15</v>
      </c>
      <c r="G33" t="s">
        <v>31</v>
      </c>
      <c r="H33" t="s">
        <v>236</v>
      </c>
      <c r="I33" t="s">
        <v>237</v>
      </c>
      <c r="J33" t="s">
        <v>238</v>
      </c>
      <c r="K33" t="s">
        <v>148</v>
      </c>
      <c r="L33" t="s">
        <v>36</v>
      </c>
      <c r="M33">
        <v>2019</v>
      </c>
      <c r="N33" s="5">
        <f>ROUNDUP(Clean_Data[[#This Row],[Year_Num]]/100,0)</f>
        <v>21</v>
      </c>
      <c r="O33" s="5" t="str" cm="1">
        <f t="array" ref="O33">_xlfn.LET(_xlpm.y,Clean_Data[[#This Row],[Year_Num]],_xlfn.IFS(_xlpm.y&lt;500,"Ancient",_xlpm.y&lt;1500,"Medieval",_xlpm.y&lt;1800,"Early Modern",_xlpm.y&lt;1946,"Modern",TRUE,"Contemporary"))</f>
        <v>Contemporary</v>
      </c>
      <c r="P33" s="5" t="str">
        <f>_xlfn.XLOOKUP(Clean_Data[[#This Row],[Country]],country_region[Country],country_region[Country_Standard],"Not found")</f>
        <v>India</v>
      </c>
      <c r="Q33" s="5" t="str">
        <f>_xlfn.XLOOKUP(Clean_Data[[#This Row],[Country]],country_region[Country],country_region[Region],"Not found")</f>
        <v>South Asia</v>
      </c>
      <c r="R33" s="5" t="str">
        <f>_xlfn.XLOOKUP(Clean_Data[[#This Row],[Type of Event]],event_type_category[Type of Event],event_type_category[Category],"Not found")</f>
        <v>Politics &amp; Law</v>
      </c>
    </row>
    <row r="34" spans="1:18">
      <c r="A34">
        <v>36</v>
      </c>
      <c r="B34" t="s">
        <v>239</v>
      </c>
      <c r="C34" t="s">
        <v>240</v>
      </c>
      <c r="D34" t="s">
        <v>83</v>
      </c>
      <c r="E34" t="s">
        <v>235</v>
      </c>
      <c r="F34" t="s">
        <v>15</v>
      </c>
      <c r="G34" t="s">
        <v>241</v>
      </c>
      <c r="H34" t="s">
        <v>168</v>
      </c>
      <c r="I34" t="s">
        <v>242</v>
      </c>
      <c r="J34" t="s">
        <v>243</v>
      </c>
      <c r="K34" t="s">
        <v>244</v>
      </c>
      <c r="L34" t="s">
        <v>36</v>
      </c>
      <c r="M34">
        <v>2019</v>
      </c>
      <c r="N34" s="5">
        <f>ROUNDUP(Clean_Data[[#This Row],[Year_Num]]/100,0)</f>
        <v>21</v>
      </c>
      <c r="O34" s="5" t="str" cm="1">
        <f t="array" ref="O34">_xlfn.LET(_xlpm.y,Clean_Data[[#This Row],[Year_Num]],_xlfn.IFS(_xlpm.y&lt;500,"Ancient",_xlpm.y&lt;1500,"Medieval",_xlpm.y&lt;1800,"Early Modern",_xlpm.y&lt;1946,"Modern",TRUE,"Contemporary"))</f>
        <v>Contemporary</v>
      </c>
      <c r="P34" s="5" t="str">
        <f>_xlfn.XLOOKUP(Clean_Data[[#This Row],[Country]],country_region[Country],country_region[Country_Standard],"Not found")</f>
        <v>India</v>
      </c>
      <c r="Q34" s="5" t="str">
        <f>_xlfn.XLOOKUP(Clean_Data[[#This Row],[Country]],country_region[Country],country_region[Region],"Not found")</f>
        <v>South Asia</v>
      </c>
      <c r="R34" s="5" t="str">
        <f>_xlfn.XLOOKUP(Clean_Data[[#This Row],[Type of Event]],event_type_category[Type of Event],event_type_category[Category],"Not found")</f>
        <v>Politics &amp; Law</v>
      </c>
    </row>
    <row r="35" spans="1:18">
      <c r="A35">
        <v>37</v>
      </c>
      <c r="B35" t="s">
        <v>4830</v>
      </c>
      <c r="C35" t="s">
        <v>246</v>
      </c>
      <c r="D35" t="s">
        <v>100</v>
      </c>
      <c r="E35" t="s">
        <v>231</v>
      </c>
      <c r="F35" t="s">
        <v>15</v>
      </c>
      <c r="G35" t="s">
        <v>175</v>
      </c>
      <c r="H35" t="s">
        <v>86</v>
      </c>
      <c r="I35" t="s">
        <v>247</v>
      </c>
      <c r="J35" t="s">
        <v>248</v>
      </c>
      <c r="K35" t="s">
        <v>249</v>
      </c>
      <c r="L35" t="s">
        <v>21</v>
      </c>
      <c r="M35">
        <v>2009</v>
      </c>
      <c r="N35" s="5">
        <f>ROUNDUP(Clean_Data[[#This Row],[Year_Num]]/100,0)</f>
        <v>21</v>
      </c>
      <c r="O35" s="5" t="str" cm="1">
        <f t="array" ref="O35">_xlfn.LET(_xlpm.y,Clean_Data[[#This Row],[Year_Num]],_xlfn.IFS(_xlpm.y&lt;500,"Ancient",_xlpm.y&lt;1500,"Medieval",_xlpm.y&lt;1800,"Early Modern",_xlpm.y&lt;1946,"Modern",TRUE,"Contemporary"))</f>
        <v>Contemporary</v>
      </c>
      <c r="P35" s="5" t="str">
        <f>_xlfn.XLOOKUP(Clean_Data[[#This Row],[Country]],country_region[Country],country_region[Country_Standard],"Not found")</f>
        <v>India</v>
      </c>
      <c r="Q35" s="5" t="str">
        <f>_xlfn.XLOOKUP(Clean_Data[[#This Row],[Country]],country_region[Country],country_region[Region],"Not found")</f>
        <v>South Asia</v>
      </c>
      <c r="R35" s="5" t="str">
        <f>_xlfn.XLOOKUP(Clean_Data[[#This Row],[Type of Event]],event_type_category[Type of Event],event_type_category[Category],"Not found")</f>
        <v>Economy &amp; Infrastructure</v>
      </c>
    </row>
    <row r="36" spans="1:18">
      <c r="A36">
        <v>38</v>
      </c>
      <c r="B36" t="s">
        <v>250</v>
      </c>
      <c r="C36" t="s">
        <v>251</v>
      </c>
      <c r="D36" t="s">
        <v>158</v>
      </c>
      <c r="E36" t="s">
        <v>174</v>
      </c>
      <c r="F36" t="s">
        <v>15</v>
      </c>
      <c r="G36" t="s">
        <v>252</v>
      </c>
      <c r="H36" t="s">
        <v>253</v>
      </c>
      <c r="I36" t="s">
        <v>254</v>
      </c>
      <c r="J36" t="s">
        <v>147</v>
      </c>
      <c r="K36" t="s">
        <v>148</v>
      </c>
      <c r="L36" t="s">
        <v>21</v>
      </c>
      <c r="M36">
        <v>2018</v>
      </c>
      <c r="N36" s="5">
        <f>ROUNDUP(Clean_Data[[#This Row],[Year_Num]]/100,0)</f>
        <v>21</v>
      </c>
      <c r="O36" s="5" t="str" cm="1">
        <f t="array" ref="O36">_xlfn.LET(_xlpm.y,Clean_Data[[#This Row],[Year_Num]],_xlfn.IFS(_xlpm.y&lt;500,"Ancient",_xlpm.y&lt;1500,"Medieval",_xlpm.y&lt;1800,"Early Modern",_xlpm.y&lt;1946,"Modern",TRUE,"Contemporary"))</f>
        <v>Contemporary</v>
      </c>
      <c r="P36" s="5" t="str">
        <f>_xlfn.XLOOKUP(Clean_Data[[#This Row],[Country]],country_region[Country],country_region[Country_Standard],"Not found")</f>
        <v>India</v>
      </c>
      <c r="Q36" s="5" t="str">
        <f>_xlfn.XLOOKUP(Clean_Data[[#This Row],[Country]],country_region[Country],country_region[Region],"Not found")</f>
        <v>South Asia</v>
      </c>
      <c r="R36" s="5" t="str">
        <f>_xlfn.XLOOKUP(Clean_Data[[#This Row],[Type of Event]],event_type_category[Type of Event],event_type_category[Category],"Not found")</f>
        <v>Culture, Religion &amp; Sport</v>
      </c>
    </row>
    <row r="37" spans="1:18">
      <c r="A37">
        <v>39</v>
      </c>
      <c r="B37" t="s">
        <v>255</v>
      </c>
      <c r="C37" t="s">
        <v>246</v>
      </c>
      <c r="D37" t="s">
        <v>211</v>
      </c>
      <c r="E37" t="s">
        <v>235</v>
      </c>
      <c r="F37" t="s">
        <v>15</v>
      </c>
      <c r="G37" t="s">
        <v>145</v>
      </c>
      <c r="H37" t="s">
        <v>15</v>
      </c>
      <c r="I37" t="s">
        <v>256</v>
      </c>
      <c r="J37" t="s">
        <v>257</v>
      </c>
      <c r="K37" t="s">
        <v>258</v>
      </c>
      <c r="L37" t="s">
        <v>21</v>
      </c>
      <c r="M37">
        <v>2019</v>
      </c>
      <c r="N37" s="5">
        <f>ROUNDUP(Clean_Data[[#This Row],[Year_Num]]/100,0)</f>
        <v>21</v>
      </c>
      <c r="O37" s="5" t="str" cm="1">
        <f t="array" ref="O37">_xlfn.LET(_xlpm.y,Clean_Data[[#This Row],[Year_Num]],_xlfn.IFS(_xlpm.y&lt;500,"Ancient",_xlpm.y&lt;1500,"Medieval",_xlpm.y&lt;1800,"Early Modern",_xlpm.y&lt;1946,"Modern",TRUE,"Contemporary"))</f>
        <v>Contemporary</v>
      </c>
      <c r="P37" s="5" t="str">
        <f>_xlfn.XLOOKUP(Clean_Data[[#This Row],[Country]],country_region[Country],country_region[Country_Standard],"Not found")</f>
        <v>India</v>
      </c>
      <c r="Q37" s="5" t="str">
        <f>_xlfn.XLOOKUP(Clean_Data[[#This Row],[Country]],country_region[Country],country_region[Region],"Not found")</f>
        <v>South Asia</v>
      </c>
      <c r="R37" s="5" t="str">
        <f>_xlfn.XLOOKUP(Clean_Data[[#This Row],[Type of Event]],event_type_category[Type of Event],event_type_category[Category],"Not found")</f>
        <v>Politics &amp; Law</v>
      </c>
    </row>
    <row r="38" spans="1:18">
      <c r="A38">
        <v>40</v>
      </c>
      <c r="B38" t="s">
        <v>259</v>
      </c>
      <c r="D38" t="s">
        <v>260</v>
      </c>
      <c r="E38" t="s">
        <v>166</v>
      </c>
      <c r="F38" t="s">
        <v>15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L38" t="s">
        <v>21</v>
      </c>
      <c r="M38">
        <v>2020</v>
      </c>
      <c r="N38" s="5">
        <f>ROUNDUP(Clean_Data[[#This Row],[Year_Num]]/100,0)</f>
        <v>21</v>
      </c>
      <c r="O38" s="5" t="str" cm="1">
        <f t="array" ref="O38">_xlfn.LET(_xlpm.y,Clean_Data[[#This Row],[Year_Num]],_xlfn.IFS(_xlpm.y&lt;500,"Ancient",_xlpm.y&lt;1500,"Medieval",_xlpm.y&lt;1800,"Early Modern",_xlpm.y&lt;1946,"Modern",TRUE,"Contemporary"))</f>
        <v>Contemporary</v>
      </c>
      <c r="P38" s="5" t="str">
        <f>_xlfn.XLOOKUP(Clean_Data[[#This Row],[Country]],country_region[Country],country_region[Country_Standard],"Not found")</f>
        <v>India</v>
      </c>
      <c r="Q38" s="5" t="str">
        <f>_xlfn.XLOOKUP(Clean_Data[[#This Row],[Country]],country_region[Country],country_region[Region],"Not found")</f>
        <v>South Asia</v>
      </c>
      <c r="R38" s="5" t="str">
        <f>_xlfn.XLOOKUP(Clean_Data[[#This Row],[Type of Event]],event_type_category[Type of Event],event_type_category[Category],"Not found")</f>
        <v>Society &amp; Health</v>
      </c>
    </row>
    <row r="39" spans="1:18">
      <c r="A39">
        <v>41</v>
      </c>
      <c r="B39" t="s">
        <v>4831</v>
      </c>
      <c r="C39" t="s">
        <v>218</v>
      </c>
      <c r="D39" t="s">
        <v>267</v>
      </c>
      <c r="E39" t="s">
        <v>166</v>
      </c>
      <c r="F39" t="s">
        <v>15</v>
      </c>
      <c r="G39" t="s">
        <v>268</v>
      </c>
      <c r="H39" t="s">
        <v>15</v>
      </c>
      <c r="I39" t="s">
        <v>4832</v>
      </c>
      <c r="J39" t="s">
        <v>270</v>
      </c>
      <c r="K39" t="s">
        <v>148</v>
      </c>
      <c r="L39" t="s">
        <v>54</v>
      </c>
      <c r="M39">
        <v>2020</v>
      </c>
      <c r="N39" s="5">
        <f>ROUNDUP(Clean_Data[[#This Row],[Year_Num]]/100,0)</f>
        <v>21</v>
      </c>
      <c r="O39" s="5" t="str" cm="1">
        <f t="array" ref="O39">_xlfn.LET(_xlpm.y,Clean_Data[[#This Row],[Year_Num]],_xlfn.IFS(_xlpm.y&lt;500,"Ancient",_xlpm.y&lt;1500,"Medieval",_xlpm.y&lt;1800,"Early Modern",_xlpm.y&lt;1946,"Modern",TRUE,"Contemporary"))</f>
        <v>Contemporary</v>
      </c>
      <c r="P39" s="5" t="str">
        <f>_xlfn.XLOOKUP(Clean_Data[[#This Row],[Country]],country_region[Country],country_region[Country_Standard],"Not found")</f>
        <v>India</v>
      </c>
      <c r="Q39" s="5" t="str">
        <f>_xlfn.XLOOKUP(Clean_Data[[#This Row],[Country]],country_region[Country],country_region[Region],"Not found")</f>
        <v>South Asia</v>
      </c>
      <c r="R39" s="5" t="str">
        <f>_xlfn.XLOOKUP(Clean_Data[[#This Row],[Type of Event]],event_type_category[Type of Event],event_type_category[Category],"Not found")</f>
        <v>Society &amp; Health</v>
      </c>
    </row>
    <row r="40" spans="1:18">
      <c r="A40">
        <v>42</v>
      </c>
      <c r="B40" t="s">
        <v>271</v>
      </c>
      <c r="C40" t="s">
        <v>200</v>
      </c>
      <c r="D40" t="s">
        <v>100</v>
      </c>
      <c r="E40" t="s">
        <v>272</v>
      </c>
      <c r="F40" t="s">
        <v>15</v>
      </c>
      <c r="G40" t="s">
        <v>273</v>
      </c>
      <c r="H40" t="s">
        <v>274</v>
      </c>
      <c r="I40" t="s">
        <v>275</v>
      </c>
      <c r="J40" t="s">
        <v>276</v>
      </c>
      <c r="K40" t="s">
        <v>277</v>
      </c>
      <c r="L40" t="s">
        <v>21</v>
      </c>
      <c r="M40">
        <v>1983</v>
      </c>
      <c r="N40" s="5">
        <f>ROUNDUP(Clean_Data[[#This Row],[Year_Num]]/100,0)</f>
        <v>20</v>
      </c>
      <c r="O40" s="5" t="str" cm="1">
        <f t="array" ref="O40">_xlfn.LET(_xlpm.y,Clean_Data[[#This Row],[Year_Num]],_xlfn.IFS(_xlpm.y&lt;500,"Ancient",_xlpm.y&lt;1500,"Medieval",_xlpm.y&lt;1800,"Early Modern",_xlpm.y&lt;1946,"Modern",TRUE,"Contemporary"))</f>
        <v>Contemporary</v>
      </c>
      <c r="P40" s="5" t="str">
        <f>_xlfn.XLOOKUP(Clean_Data[[#This Row],[Country]],country_region[Country],country_region[Country_Standard],"Not found")</f>
        <v>India</v>
      </c>
      <c r="Q40" s="5" t="str">
        <f>_xlfn.XLOOKUP(Clean_Data[[#This Row],[Country]],country_region[Country],country_region[Region],"Not found")</f>
        <v>South Asia</v>
      </c>
      <c r="R40" s="5" t="str">
        <f>_xlfn.XLOOKUP(Clean_Data[[#This Row],[Type of Event]],event_type_category[Type of Event],event_type_category[Category],"Not found")</f>
        <v>Culture, Religion &amp; Sport</v>
      </c>
    </row>
    <row r="41" spans="1:18">
      <c r="A41">
        <v>43</v>
      </c>
      <c r="B41" t="s">
        <v>278</v>
      </c>
      <c r="D41" t="s">
        <v>100</v>
      </c>
      <c r="E41" t="s">
        <v>279</v>
      </c>
      <c r="F41" t="s">
        <v>15</v>
      </c>
      <c r="G41" t="s">
        <v>280</v>
      </c>
      <c r="H41" t="s">
        <v>281</v>
      </c>
      <c r="I41" t="s">
        <v>282</v>
      </c>
      <c r="J41" t="s">
        <v>283</v>
      </c>
      <c r="K41" t="s">
        <v>284</v>
      </c>
      <c r="L41" t="s">
        <v>54</v>
      </c>
      <c r="M41">
        <v>2013</v>
      </c>
      <c r="N41" s="5">
        <f>ROUNDUP(Clean_Data[[#This Row],[Year_Num]]/100,0)</f>
        <v>21</v>
      </c>
      <c r="O41" s="5" t="str" cm="1">
        <f t="array" ref="O41">_xlfn.LET(_xlpm.y,Clean_Data[[#This Row],[Year_Num]],_xlfn.IFS(_xlpm.y&lt;500,"Ancient",_xlpm.y&lt;1500,"Medieval",_xlpm.y&lt;1800,"Early Modern",_xlpm.y&lt;1946,"Modern",TRUE,"Contemporary"))</f>
        <v>Contemporary</v>
      </c>
      <c r="P41" s="5" t="str">
        <f>_xlfn.XLOOKUP(Clean_Data[[#This Row],[Country]],country_region[Country],country_region[Country_Standard],"Not found")</f>
        <v>India</v>
      </c>
      <c r="Q41" s="5" t="str">
        <f>_xlfn.XLOOKUP(Clean_Data[[#This Row],[Country]],country_region[Country],country_region[Region],"Not found")</f>
        <v>South Asia</v>
      </c>
      <c r="R41" s="5" t="str">
        <f>_xlfn.XLOOKUP(Clean_Data[[#This Row],[Type of Event]],event_type_category[Type of Event],event_type_category[Category],"Not found")</f>
        <v>Disasters &amp; Accidents</v>
      </c>
    </row>
    <row r="42" spans="1:18">
      <c r="A42">
        <v>44</v>
      </c>
      <c r="B42" t="s">
        <v>285</v>
      </c>
      <c r="C42" t="s">
        <v>218</v>
      </c>
      <c r="D42" t="s">
        <v>286</v>
      </c>
      <c r="E42" t="s">
        <v>287</v>
      </c>
      <c r="F42" t="s">
        <v>15</v>
      </c>
      <c r="G42" t="s">
        <v>288</v>
      </c>
      <c r="H42" t="s">
        <v>289</v>
      </c>
      <c r="I42" t="s">
        <v>290</v>
      </c>
      <c r="J42" t="s">
        <v>291</v>
      </c>
      <c r="K42" t="s">
        <v>292</v>
      </c>
      <c r="L42" t="s">
        <v>21</v>
      </c>
      <c r="M42">
        <v>2014</v>
      </c>
      <c r="N42" s="5">
        <f>ROUNDUP(Clean_Data[[#This Row],[Year_Num]]/100,0)</f>
        <v>21</v>
      </c>
      <c r="O42" s="5" t="str" cm="1">
        <f t="array" ref="O42">_xlfn.LET(_xlpm.y,Clean_Data[[#This Row],[Year_Num]],_xlfn.IFS(_xlpm.y&lt;500,"Ancient",_xlpm.y&lt;1500,"Medieval",_xlpm.y&lt;1800,"Early Modern",_xlpm.y&lt;1946,"Modern",TRUE,"Contemporary"))</f>
        <v>Contemporary</v>
      </c>
      <c r="P42" s="5" t="str">
        <f>_xlfn.XLOOKUP(Clean_Data[[#This Row],[Country]],country_region[Country],country_region[Country_Standard],"Not found")</f>
        <v>India</v>
      </c>
      <c r="Q42" s="5" t="str">
        <f>_xlfn.XLOOKUP(Clean_Data[[#This Row],[Country]],country_region[Country],country_region[Region],"Not found")</f>
        <v>South Asia</v>
      </c>
      <c r="R42" s="5" t="str">
        <f>_xlfn.XLOOKUP(Clean_Data[[#This Row],[Type of Event]],event_type_category[Type of Event],event_type_category[Category],"Not found")</f>
        <v>Science, Technology &amp; Exploration</v>
      </c>
    </row>
    <row r="43" spans="1:18">
      <c r="A43">
        <v>45</v>
      </c>
      <c r="B43" t="s">
        <v>293</v>
      </c>
      <c r="C43" t="s">
        <v>218</v>
      </c>
      <c r="D43" t="s">
        <v>286</v>
      </c>
      <c r="E43" t="s">
        <v>294</v>
      </c>
      <c r="F43" t="s">
        <v>15</v>
      </c>
      <c r="G43" t="s">
        <v>273</v>
      </c>
      <c r="H43" t="s">
        <v>295</v>
      </c>
      <c r="I43" t="s">
        <v>296</v>
      </c>
      <c r="J43" t="s">
        <v>276</v>
      </c>
      <c r="K43" t="s">
        <v>277</v>
      </c>
      <c r="L43" t="s">
        <v>21</v>
      </c>
      <c r="M43">
        <v>2007</v>
      </c>
      <c r="N43" s="5">
        <f>ROUNDUP(Clean_Data[[#This Row],[Year_Num]]/100,0)</f>
        <v>21</v>
      </c>
      <c r="O43" s="5" t="str" cm="1">
        <f t="array" ref="O43">_xlfn.LET(_xlpm.y,Clean_Data[[#This Row],[Year_Num]],_xlfn.IFS(_xlpm.y&lt;500,"Ancient",_xlpm.y&lt;1500,"Medieval",_xlpm.y&lt;1800,"Early Modern",_xlpm.y&lt;1946,"Modern",TRUE,"Contemporary"))</f>
        <v>Contemporary</v>
      </c>
      <c r="P43" s="5" t="str">
        <f>_xlfn.XLOOKUP(Clean_Data[[#This Row],[Country]],country_region[Country],country_region[Country_Standard],"Not found")</f>
        <v>India</v>
      </c>
      <c r="Q43" s="5" t="str">
        <f>_xlfn.XLOOKUP(Clean_Data[[#This Row],[Country]],country_region[Country],country_region[Region],"Not found")</f>
        <v>South Asia</v>
      </c>
      <c r="R43" s="5" t="str">
        <f>_xlfn.XLOOKUP(Clean_Data[[#This Row],[Type of Event]],event_type_category[Type of Event],event_type_category[Category],"Not found")</f>
        <v>Culture, Religion &amp; Sport</v>
      </c>
    </row>
    <row r="44" spans="1:18">
      <c r="A44">
        <v>46</v>
      </c>
      <c r="B44" t="s">
        <v>297</v>
      </c>
      <c r="C44" t="s">
        <v>298</v>
      </c>
      <c r="D44" t="s">
        <v>83</v>
      </c>
      <c r="E44" t="s">
        <v>299</v>
      </c>
      <c r="F44" t="s">
        <v>15</v>
      </c>
      <c r="G44" t="s">
        <v>213</v>
      </c>
      <c r="H44" t="s">
        <v>300</v>
      </c>
      <c r="I44" t="s">
        <v>301</v>
      </c>
      <c r="J44" t="s">
        <v>270</v>
      </c>
      <c r="K44" t="s">
        <v>302</v>
      </c>
      <c r="L44" t="s">
        <v>36</v>
      </c>
      <c r="M44">
        <v>2016</v>
      </c>
      <c r="N44" s="5">
        <f>ROUNDUP(Clean_Data[[#This Row],[Year_Num]]/100,0)</f>
        <v>21</v>
      </c>
      <c r="O44" s="5" t="str" cm="1">
        <f t="array" ref="O44">_xlfn.LET(_xlpm.y,Clean_Data[[#This Row],[Year_Num]],_xlfn.IFS(_xlpm.y&lt;500,"Ancient",_xlpm.y&lt;1500,"Medieval",_xlpm.y&lt;1800,"Early Modern",_xlpm.y&lt;1946,"Modern",TRUE,"Contemporary"))</f>
        <v>Contemporary</v>
      </c>
      <c r="P44" s="5" t="str">
        <f>_xlfn.XLOOKUP(Clean_Data[[#This Row],[Country]],country_region[Country],country_region[Country_Standard],"Not found")</f>
        <v>India</v>
      </c>
      <c r="Q44" s="5" t="str">
        <f>_xlfn.XLOOKUP(Clean_Data[[#This Row],[Country]],country_region[Country],country_region[Region],"Not found")</f>
        <v>South Asia</v>
      </c>
      <c r="R44" s="5" t="str">
        <f>_xlfn.XLOOKUP(Clean_Data[[#This Row],[Type of Event]],event_type_category[Type of Event],event_type_category[Category],"Not found")</f>
        <v>Economy &amp; Infrastructure</v>
      </c>
    </row>
    <row r="45" spans="1:18">
      <c r="A45">
        <v>47</v>
      </c>
      <c r="B45" t="s">
        <v>303</v>
      </c>
      <c r="D45" t="s">
        <v>39</v>
      </c>
      <c r="E45" t="s">
        <v>299</v>
      </c>
      <c r="F45" t="s">
        <v>15</v>
      </c>
      <c r="G45" t="s">
        <v>304</v>
      </c>
      <c r="H45" t="s">
        <v>300</v>
      </c>
      <c r="I45" t="s">
        <v>305</v>
      </c>
      <c r="J45" t="s">
        <v>162</v>
      </c>
      <c r="K45" t="s">
        <v>306</v>
      </c>
      <c r="L45" t="s">
        <v>21</v>
      </c>
      <c r="M45">
        <v>2016</v>
      </c>
      <c r="N45" s="5">
        <f>ROUNDUP(Clean_Data[[#This Row],[Year_Num]]/100,0)</f>
        <v>21</v>
      </c>
      <c r="O45" s="5" t="str" cm="1">
        <f t="array" ref="O45">_xlfn.LET(_xlpm.y,Clean_Data[[#This Row],[Year_Num]],_xlfn.IFS(_xlpm.y&lt;500,"Ancient",_xlpm.y&lt;1500,"Medieval",_xlpm.y&lt;1800,"Early Modern",_xlpm.y&lt;1946,"Modern",TRUE,"Contemporary"))</f>
        <v>Contemporary</v>
      </c>
      <c r="P45" s="5" t="str">
        <f>_xlfn.XLOOKUP(Clean_Data[[#This Row],[Country]],country_region[Country],country_region[Country_Standard],"Not found")</f>
        <v>India</v>
      </c>
      <c r="Q45" s="5" t="str">
        <f>_xlfn.XLOOKUP(Clean_Data[[#This Row],[Country]],country_region[Country],country_region[Region],"Not found")</f>
        <v>South Asia</v>
      </c>
      <c r="R45" s="5" t="str">
        <f>_xlfn.XLOOKUP(Clean_Data[[#This Row],[Type of Event]],event_type_category[Type of Event],event_type_category[Category],"Not found")</f>
        <v>Science, Technology &amp; Exploration</v>
      </c>
    </row>
    <row r="46" spans="1:18">
      <c r="A46">
        <v>48</v>
      </c>
      <c r="B46" t="s">
        <v>307</v>
      </c>
      <c r="C46" t="s">
        <v>165</v>
      </c>
      <c r="D46" t="s">
        <v>286</v>
      </c>
      <c r="E46" t="s">
        <v>299</v>
      </c>
      <c r="F46" t="s">
        <v>15</v>
      </c>
      <c r="G46" t="s">
        <v>308</v>
      </c>
      <c r="H46" t="s">
        <v>300</v>
      </c>
      <c r="I46" t="s">
        <v>309</v>
      </c>
      <c r="J46" t="s">
        <v>310</v>
      </c>
      <c r="K46" t="s">
        <v>311</v>
      </c>
      <c r="L46" t="s">
        <v>21</v>
      </c>
      <c r="M46">
        <v>2016</v>
      </c>
      <c r="N46" s="5">
        <f>ROUNDUP(Clean_Data[[#This Row],[Year_Num]]/100,0)</f>
        <v>21</v>
      </c>
      <c r="O46" s="5" t="str" cm="1">
        <f t="array" ref="O46">_xlfn.LET(_xlpm.y,Clean_Data[[#This Row],[Year_Num]],_xlfn.IFS(_xlpm.y&lt;500,"Ancient",_xlpm.y&lt;1500,"Medieval",_xlpm.y&lt;1800,"Early Modern",_xlpm.y&lt;1946,"Modern",TRUE,"Contemporary"))</f>
        <v>Contemporary</v>
      </c>
      <c r="P46" s="5" t="str">
        <f>_xlfn.XLOOKUP(Clean_Data[[#This Row],[Country]],country_region[Country],country_region[Country_Standard],"Not found")</f>
        <v>India</v>
      </c>
      <c r="Q46" s="5" t="str">
        <f>_xlfn.XLOOKUP(Clean_Data[[#This Row],[Country]],country_region[Country],country_region[Region],"Not found")</f>
        <v>South Asia</v>
      </c>
      <c r="R46" s="5" t="str">
        <f>_xlfn.XLOOKUP(Clean_Data[[#This Row],[Type of Event]],event_type_category[Type of Event],event_type_category[Category],"Not found")</f>
        <v>Science, Technology &amp; Exploration</v>
      </c>
    </row>
    <row r="47" spans="1:18">
      <c r="A47">
        <v>49</v>
      </c>
      <c r="B47" t="s">
        <v>312</v>
      </c>
      <c r="C47" t="s">
        <v>246</v>
      </c>
      <c r="D47" t="s">
        <v>211</v>
      </c>
      <c r="E47" t="s">
        <v>235</v>
      </c>
      <c r="F47" t="s">
        <v>15</v>
      </c>
      <c r="G47" t="s">
        <v>313</v>
      </c>
      <c r="H47" t="s">
        <v>300</v>
      </c>
      <c r="I47" t="s">
        <v>314</v>
      </c>
      <c r="J47" t="s">
        <v>257</v>
      </c>
      <c r="K47" t="s">
        <v>258</v>
      </c>
      <c r="L47" t="s">
        <v>21</v>
      </c>
      <c r="M47">
        <v>2019</v>
      </c>
      <c r="N47" s="5">
        <f>ROUNDUP(Clean_Data[[#This Row],[Year_Num]]/100,0)</f>
        <v>21</v>
      </c>
      <c r="O47" s="5" t="str" cm="1">
        <f t="array" ref="O47">_xlfn.LET(_xlpm.y,Clean_Data[[#This Row],[Year_Num]],_xlfn.IFS(_xlpm.y&lt;500,"Ancient",_xlpm.y&lt;1500,"Medieval",_xlpm.y&lt;1800,"Early Modern",_xlpm.y&lt;1946,"Modern",TRUE,"Contemporary"))</f>
        <v>Contemporary</v>
      </c>
      <c r="P47" s="5" t="str">
        <f>_xlfn.XLOOKUP(Clean_Data[[#This Row],[Country]],country_region[Country],country_region[Country_Standard],"Not found")</f>
        <v>India</v>
      </c>
      <c r="Q47" s="5" t="str">
        <f>_xlfn.XLOOKUP(Clean_Data[[#This Row],[Country]],country_region[Country],country_region[Region],"Not found")</f>
        <v>South Asia</v>
      </c>
      <c r="R47" s="5" t="str">
        <f>_xlfn.XLOOKUP(Clean_Data[[#This Row],[Type of Event]],event_type_category[Type of Event],event_type_category[Category],"Not found")</f>
        <v>Politics &amp; Law</v>
      </c>
    </row>
    <row r="48" spans="1:18">
      <c r="A48">
        <v>50</v>
      </c>
      <c r="B48" t="s">
        <v>315</v>
      </c>
      <c r="D48" t="s">
        <v>47</v>
      </c>
      <c r="E48" t="s">
        <v>166</v>
      </c>
      <c r="F48" t="s">
        <v>15</v>
      </c>
      <c r="G48" t="s">
        <v>316</v>
      </c>
      <c r="H48" t="s">
        <v>253</v>
      </c>
      <c r="I48" t="s">
        <v>317</v>
      </c>
      <c r="J48" t="s">
        <v>318</v>
      </c>
      <c r="K48" t="s">
        <v>319</v>
      </c>
      <c r="L48" t="s">
        <v>21</v>
      </c>
      <c r="M48">
        <v>2020</v>
      </c>
      <c r="N48" s="5">
        <f>ROUNDUP(Clean_Data[[#This Row],[Year_Num]]/100,0)</f>
        <v>21</v>
      </c>
      <c r="O48" s="5" t="str" cm="1">
        <f t="array" ref="O48">_xlfn.LET(_xlpm.y,Clean_Data[[#This Row],[Year_Num]],_xlfn.IFS(_xlpm.y&lt;500,"Ancient",_xlpm.y&lt;1500,"Medieval",_xlpm.y&lt;1800,"Early Modern",_xlpm.y&lt;1946,"Modern",TRUE,"Contemporary"))</f>
        <v>Contemporary</v>
      </c>
      <c r="P48" s="5" t="str">
        <f>_xlfn.XLOOKUP(Clean_Data[[#This Row],[Country]],country_region[Country],country_region[Country_Standard],"Not found")</f>
        <v>India</v>
      </c>
      <c r="Q48" s="5" t="str">
        <f>_xlfn.XLOOKUP(Clean_Data[[#This Row],[Country]],country_region[Country],country_region[Region],"Not found")</f>
        <v>South Asia</v>
      </c>
      <c r="R48" s="5" t="str">
        <f>_xlfn.XLOOKUP(Clean_Data[[#This Row],[Type of Event]],event_type_category[Type of Event],event_type_category[Category],"Not found")</f>
        <v>Society &amp; Health</v>
      </c>
    </row>
    <row r="49" spans="1:18">
      <c r="A49">
        <v>51</v>
      </c>
      <c r="B49" t="s">
        <v>320</v>
      </c>
      <c r="C49" t="s">
        <v>321</v>
      </c>
      <c r="D49" t="s">
        <v>286</v>
      </c>
      <c r="E49" t="s">
        <v>174</v>
      </c>
      <c r="F49" t="s">
        <v>15</v>
      </c>
      <c r="G49" t="s">
        <v>313</v>
      </c>
      <c r="H49" t="s">
        <v>300</v>
      </c>
      <c r="I49" t="s">
        <v>322</v>
      </c>
      <c r="J49" t="s">
        <v>323</v>
      </c>
      <c r="K49" t="s">
        <v>244</v>
      </c>
      <c r="L49" t="s">
        <v>21</v>
      </c>
      <c r="M49">
        <v>2018</v>
      </c>
      <c r="N49" s="5">
        <f>ROUNDUP(Clean_Data[[#This Row],[Year_Num]]/100,0)</f>
        <v>21</v>
      </c>
      <c r="O49" s="5" t="str" cm="1">
        <f t="array" ref="O49">_xlfn.LET(_xlpm.y,Clean_Data[[#This Row],[Year_Num]],_xlfn.IFS(_xlpm.y&lt;500,"Ancient",_xlpm.y&lt;1500,"Medieval",_xlpm.y&lt;1800,"Early Modern",_xlpm.y&lt;1946,"Modern",TRUE,"Contemporary"))</f>
        <v>Contemporary</v>
      </c>
      <c r="P49" s="5" t="str">
        <f>_xlfn.XLOOKUP(Clean_Data[[#This Row],[Country]],country_region[Country],country_region[Country_Standard],"Not found")</f>
        <v>India</v>
      </c>
      <c r="Q49" s="5" t="str">
        <f>_xlfn.XLOOKUP(Clean_Data[[#This Row],[Country]],country_region[Country],country_region[Region],"Not found")</f>
        <v>South Asia</v>
      </c>
      <c r="R49" s="5" t="str">
        <f>_xlfn.XLOOKUP(Clean_Data[[#This Row],[Type of Event]],event_type_category[Type of Event],event_type_category[Category],"Not found")</f>
        <v>Politics &amp; Law</v>
      </c>
    </row>
    <row r="50" spans="1:18">
      <c r="A50">
        <v>52</v>
      </c>
      <c r="B50" t="s">
        <v>4833</v>
      </c>
      <c r="C50" t="s">
        <v>325</v>
      </c>
      <c r="D50" t="s">
        <v>158</v>
      </c>
      <c r="E50" t="s">
        <v>84</v>
      </c>
      <c r="F50" t="s">
        <v>15</v>
      </c>
      <c r="G50" t="s">
        <v>288</v>
      </c>
      <c r="H50" t="s">
        <v>326</v>
      </c>
      <c r="I50" t="s">
        <v>327</v>
      </c>
      <c r="J50" t="s">
        <v>328</v>
      </c>
      <c r="K50" t="s">
        <v>329</v>
      </c>
      <c r="L50" t="s">
        <v>21</v>
      </c>
      <c r="M50">
        <v>2008</v>
      </c>
      <c r="N50" s="5">
        <f>ROUNDUP(Clean_Data[[#This Row],[Year_Num]]/100,0)</f>
        <v>21</v>
      </c>
      <c r="O50" s="5" t="str" cm="1">
        <f t="array" ref="O50">_xlfn.LET(_xlpm.y,Clean_Data[[#This Row],[Year_Num]],_xlfn.IFS(_xlpm.y&lt;500,"Ancient",_xlpm.y&lt;1500,"Medieval",_xlpm.y&lt;1800,"Early Modern",_xlpm.y&lt;1946,"Modern",TRUE,"Contemporary"))</f>
        <v>Contemporary</v>
      </c>
      <c r="P50" s="5" t="str">
        <f>_xlfn.XLOOKUP(Clean_Data[[#This Row],[Country]],country_region[Country],country_region[Country_Standard],"Not found")</f>
        <v>India</v>
      </c>
      <c r="Q50" s="5" t="str">
        <f>_xlfn.XLOOKUP(Clean_Data[[#This Row],[Country]],country_region[Country],country_region[Region],"Not found")</f>
        <v>South Asia</v>
      </c>
      <c r="R50" s="5" t="str">
        <f>_xlfn.XLOOKUP(Clean_Data[[#This Row],[Type of Event]],event_type_category[Type of Event],event_type_category[Category],"Not found")</f>
        <v>Science, Technology &amp; Exploration</v>
      </c>
    </row>
    <row r="51" spans="1:18">
      <c r="A51">
        <v>53</v>
      </c>
      <c r="B51" t="s">
        <v>330</v>
      </c>
      <c r="C51" t="s">
        <v>331</v>
      </c>
      <c r="D51" t="s">
        <v>158</v>
      </c>
      <c r="E51" t="s">
        <v>287</v>
      </c>
      <c r="F51" t="s">
        <v>15</v>
      </c>
      <c r="G51" t="s">
        <v>332</v>
      </c>
      <c r="H51" t="s">
        <v>300</v>
      </c>
      <c r="I51" t="s">
        <v>333</v>
      </c>
      <c r="J51" t="s">
        <v>310</v>
      </c>
      <c r="K51" t="s">
        <v>302</v>
      </c>
      <c r="L51" t="s">
        <v>21</v>
      </c>
      <c r="M51">
        <v>2014</v>
      </c>
      <c r="N51" s="5">
        <f>ROUNDUP(Clean_Data[[#This Row],[Year_Num]]/100,0)</f>
        <v>21</v>
      </c>
      <c r="O51" s="5" t="str" cm="1">
        <f t="array" ref="O51">_xlfn.LET(_xlpm.y,Clean_Data[[#This Row],[Year_Num]],_xlfn.IFS(_xlpm.y&lt;500,"Ancient",_xlpm.y&lt;1500,"Medieval",_xlpm.y&lt;1800,"Early Modern",_xlpm.y&lt;1946,"Modern",TRUE,"Contemporary"))</f>
        <v>Contemporary</v>
      </c>
      <c r="P51" s="5" t="str">
        <f>_xlfn.XLOOKUP(Clean_Data[[#This Row],[Country]],country_region[Country],country_region[Country_Standard],"Not found")</f>
        <v>India</v>
      </c>
      <c r="Q51" s="5" t="str">
        <f>_xlfn.XLOOKUP(Clean_Data[[#This Row],[Country]],country_region[Country],country_region[Region],"Not found")</f>
        <v>South Asia</v>
      </c>
      <c r="R51" s="5" t="str">
        <f>_xlfn.XLOOKUP(Clean_Data[[#This Row],[Type of Event]],event_type_category[Type of Event],event_type_category[Category],"Not found")</f>
        <v>Society &amp; Health</v>
      </c>
    </row>
    <row r="52" spans="1:18">
      <c r="A52">
        <v>54</v>
      </c>
      <c r="B52" t="s">
        <v>334</v>
      </c>
      <c r="C52" t="s">
        <v>335</v>
      </c>
      <c r="D52" t="s">
        <v>173</v>
      </c>
      <c r="E52" t="s">
        <v>235</v>
      </c>
      <c r="F52" t="s">
        <v>15</v>
      </c>
      <c r="G52" t="s">
        <v>85</v>
      </c>
      <c r="H52" t="s">
        <v>336</v>
      </c>
      <c r="I52" t="s">
        <v>337</v>
      </c>
      <c r="J52" t="s">
        <v>338</v>
      </c>
      <c r="K52" t="s">
        <v>4834</v>
      </c>
      <c r="L52" t="s">
        <v>54</v>
      </c>
      <c r="M52">
        <v>2019</v>
      </c>
      <c r="N52" s="5">
        <f>ROUNDUP(Clean_Data[[#This Row],[Year_Num]]/100,0)</f>
        <v>21</v>
      </c>
      <c r="O52" s="5" t="str" cm="1">
        <f t="array" ref="O52">_xlfn.LET(_xlpm.y,Clean_Data[[#This Row],[Year_Num]],_xlfn.IFS(_xlpm.y&lt;500,"Ancient",_xlpm.y&lt;1500,"Medieval",_xlpm.y&lt;1800,"Early Modern",_xlpm.y&lt;1946,"Modern",TRUE,"Contemporary"))</f>
        <v>Contemporary</v>
      </c>
      <c r="P52" s="5" t="str">
        <f>_xlfn.XLOOKUP(Clean_Data[[#This Row],[Country]],country_region[Country],country_region[Country_Standard],"Not found")</f>
        <v>India</v>
      </c>
      <c r="Q52" s="5" t="str">
        <f>_xlfn.XLOOKUP(Clean_Data[[#This Row],[Country]],country_region[Country],country_region[Region],"Not found")</f>
        <v>South Asia</v>
      </c>
      <c r="R52" s="5" t="str">
        <f>_xlfn.XLOOKUP(Clean_Data[[#This Row],[Type of Event]],event_type_category[Type of Event],event_type_category[Category],"Not found")</f>
        <v>War &amp; Conflict</v>
      </c>
    </row>
    <row r="53" spans="1:18">
      <c r="A53">
        <v>55</v>
      </c>
      <c r="B53" t="s">
        <v>340</v>
      </c>
      <c r="C53" t="s">
        <v>246</v>
      </c>
      <c r="D53" t="s">
        <v>83</v>
      </c>
      <c r="E53" t="s">
        <v>341</v>
      </c>
      <c r="F53" t="s">
        <v>15</v>
      </c>
      <c r="G53" t="s">
        <v>342</v>
      </c>
      <c r="H53" t="s">
        <v>343</v>
      </c>
      <c r="I53" t="s">
        <v>4835</v>
      </c>
      <c r="J53" t="s">
        <v>345</v>
      </c>
      <c r="K53" t="s">
        <v>346</v>
      </c>
      <c r="L53" t="s">
        <v>21</v>
      </c>
      <c r="M53">
        <v>2015</v>
      </c>
      <c r="N53" s="5">
        <f>ROUNDUP(Clean_Data[[#This Row],[Year_Num]]/100,0)</f>
        <v>21</v>
      </c>
      <c r="O53" s="5" t="str" cm="1">
        <f t="array" ref="O53">_xlfn.LET(_xlpm.y,Clean_Data[[#This Row],[Year_Num]],_xlfn.IFS(_xlpm.y&lt;500,"Ancient",_xlpm.y&lt;1500,"Medieval",_xlpm.y&lt;1800,"Early Modern",_xlpm.y&lt;1946,"Modern",TRUE,"Contemporary"))</f>
        <v>Contemporary</v>
      </c>
      <c r="P53" s="5" t="str">
        <f>_xlfn.XLOOKUP(Clean_Data[[#This Row],[Country]],country_region[Country],country_region[Country_Standard],"Not found")</f>
        <v>India</v>
      </c>
      <c r="Q53" s="5" t="str">
        <f>_xlfn.XLOOKUP(Clean_Data[[#This Row],[Country]],country_region[Country],country_region[Region],"Not found")</f>
        <v>South Asia</v>
      </c>
      <c r="R53" s="5" t="str">
        <f>_xlfn.XLOOKUP(Clean_Data[[#This Row],[Type of Event]],event_type_category[Type of Event],event_type_category[Category],"Not found")</f>
        <v>Diplomacy &amp; International Relations</v>
      </c>
    </row>
    <row r="54" spans="1:18">
      <c r="A54">
        <v>56</v>
      </c>
      <c r="B54" t="s">
        <v>347</v>
      </c>
      <c r="C54" t="s">
        <v>46</v>
      </c>
      <c r="D54" t="s">
        <v>211</v>
      </c>
      <c r="E54" t="s">
        <v>348</v>
      </c>
      <c r="F54" t="s">
        <v>15</v>
      </c>
      <c r="G54" t="s">
        <v>349</v>
      </c>
      <c r="H54" t="s">
        <v>300</v>
      </c>
      <c r="I54" t="s">
        <v>350</v>
      </c>
      <c r="J54" t="s">
        <v>351</v>
      </c>
      <c r="K54" t="s">
        <v>148</v>
      </c>
      <c r="L54" t="s">
        <v>21</v>
      </c>
      <c r="M54">
        <v>2017</v>
      </c>
      <c r="N54" s="5">
        <f>ROUNDUP(Clean_Data[[#This Row],[Year_Num]]/100,0)</f>
        <v>21</v>
      </c>
      <c r="O54" s="5" t="str" cm="1">
        <f t="array" ref="O54">_xlfn.LET(_xlpm.y,Clean_Data[[#This Row],[Year_Num]],_xlfn.IFS(_xlpm.y&lt;500,"Ancient",_xlpm.y&lt;1500,"Medieval",_xlpm.y&lt;1800,"Early Modern",_xlpm.y&lt;1946,"Modern",TRUE,"Contemporary"))</f>
        <v>Contemporary</v>
      </c>
      <c r="P54" s="5" t="str">
        <f>_xlfn.XLOOKUP(Clean_Data[[#This Row],[Country]],country_region[Country],country_region[Country_Standard],"Not found")</f>
        <v>India</v>
      </c>
      <c r="Q54" s="5" t="str">
        <f>_xlfn.XLOOKUP(Clean_Data[[#This Row],[Country]],country_region[Country],country_region[Region],"Not found")</f>
        <v>South Asia</v>
      </c>
      <c r="R54" s="5" t="str">
        <f>_xlfn.XLOOKUP(Clean_Data[[#This Row],[Type of Event]],event_type_category[Type of Event],event_type_category[Category],"Not found")</f>
        <v>Economy &amp; Infrastructure</v>
      </c>
    </row>
    <row r="55" spans="1:18">
      <c r="A55">
        <v>57</v>
      </c>
      <c r="B55" t="s">
        <v>352</v>
      </c>
      <c r="C55" t="s">
        <v>353</v>
      </c>
      <c r="D55" t="s">
        <v>66</v>
      </c>
      <c r="E55" t="s">
        <v>235</v>
      </c>
      <c r="F55" t="s">
        <v>15</v>
      </c>
      <c r="G55" t="s">
        <v>145</v>
      </c>
      <c r="H55" t="s">
        <v>300</v>
      </c>
      <c r="I55" t="s">
        <v>354</v>
      </c>
      <c r="J55" t="s">
        <v>147</v>
      </c>
      <c r="K55" t="s">
        <v>148</v>
      </c>
      <c r="L55" t="s">
        <v>36</v>
      </c>
      <c r="M55">
        <v>2019</v>
      </c>
      <c r="N55" s="5">
        <f>ROUNDUP(Clean_Data[[#This Row],[Year_Num]]/100,0)</f>
        <v>21</v>
      </c>
      <c r="O55" s="5" t="str" cm="1">
        <f t="array" ref="O55">_xlfn.LET(_xlpm.y,Clean_Data[[#This Row],[Year_Num]],_xlfn.IFS(_xlpm.y&lt;500,"Ancient",_xlpm.y&lt;1500,"Medieval",_xlpm.y&lt;1800,"Early Modern",_xlpm.y&lt;1946,"Modern",TRUE,"Contemporary"))</f>
        <v>Contemporary</v>
      </c>
      <c r="P55" s="5" t="str">
        <f>_xlfn.XLOOKUP(Clean_Data[[#This Row],[Country]],country_region[Country],country_region[Country_Standard],"Not found")</f>
        <v>India</v>
      </c>
      <c r="Q55" s="5" t="str">
        <f>_xlfn.XLOOKUP(Clean_Data[[#This Row],[Country]],country_region[Country],country_region[Region],"Not found")</f>
        <v>South Asia</v>
      </c>
      <c r="R55" s="5" t="str">
        <f>_xlfn.XLOOKUP(Clean_Data[[#This Row],[Type of Event]],event_type_category[Type of Event],event_type_category[Category],"Not found")</f>
        <v>Politics &amp; Law</v>
      </c>
    </row>
    <row r="56" spans="1:18">
      <c r="A56">
        <v>58</v>
      </c>
      <c r="B56" t="s">
        <v>355</v>
      </c>
      <c r="C56" t="s">
        <v>195</v>
      </c>
      <c r="D56" t="s">
        <v>286</v>
      </c>
      <c r="E56" t="s">
        <v>299</v>
      </c>
      <c r="F56" t="s">
        <v>15</v>
      </c>
      <c r="G56" t="s">
        <v>356</v>
      </c>
      <c r="H56" t="s">
        <v>357</v>
      </c>
      <c r="I56" t="s">
        <v>4836</v>
      </c>
      <c r="J56" t="s">
        <v>359</v>
      </c>
      <c r="K56" t="s">
        <v>360</v>
      </c>
      <c r="L56" t="s">
        <v>36</v>
      </c>
      <c r="M56">
        <v>2016</v>
      </c>
      <c r="N56" s="5">
        <f>ROUNDUP(Clean_Data[[#This Row],[Year_Num]]/100,0)</f>
        <v>21</v>
      </c>
      <c r="O56" s="5" t="str" cm="1">
        <f t="array" ref="O56">_xlfn.LET(_xlpm.y,Clean_Data[[#This Row],[Year_Num]],_xlfn.IFS(_xlpm.y&lt;500,"Ancient",_xlpm.y&lt;1500,"Medieval",_xlpm.y&lt;1800,"Early Modern",_xlpm.y&lt;1946,"Modern",TRUE,"Contemporary"))</f>
        <v>Contemporary</v>
      </c>
      <c r="P56" s="5" t="str">
        <f>_xlfn.XLOOKUP(Clean_Data[[#This Row],[Country]],country_region[Country],country_region[Country_Standard],"Not found")</f>
        <v>India</v>
      </c>
      <c r="Q56" s="5" t="str">
        <f>_xlfn.XLOOKUP(Clean_Data[[#This Row],[Country]],country_region[Country],country_region[Region],"Not found")</f>
        <v>South Asia</v>
      </c>
      <c r="R56" s="5" t="str">
        <f>_xlfn.XLOOKUP(Clean_Data[[#This Row],[Type of Event]],event_type_category[Type of Event],event_type_category[Category],"Not found")</f>
        <v>War &amp; Conflict</v>
      </c>
    </row>
    <row r="57" spans="1:18">
      <c r="A57">
        <v>59</v>
      </c>
      <c r="B57" t="s">
        <v>361</v>
      </c>
      <c r="C57" t="s">
        <v>362</v>
      </c>
      <c r="D57" t="s">
        <v>66</v>
      </c>
      <c r="E57" t="s">
        <v>363</v>
      </c>
      <c r="F57" t="s">
        <v>15</v>
      </c>
      <c r="G57" t="s">
        <v>364</v>
      </c>
      <c r="H57" t="s">
        <v>365</v>
      </c>
      <c r="I57" t="s">
        <v>366</v>
      </c>
      <c r="J57" t="s">
        <v>367</v>
      </c>
      <c r="K57" t="s">
        <v>368</v>
      </c>
      <c r="L57" t="s">
        <v>21</v>
      </c>
      <c r="M57">
        <v>1885</v>
      </c>
      <c r="N57" s="5">
        <f>ROUNDUP(Clean_Data[[#This Row],[Year_Num]]/100,0)</f>
        <v>19</v>
      </c>
      <c r="O57" s="5" t="str" cm="1">
        <f t="array" ref="O57">_xlfn.LET(_xlpm.y,Clean_Data[[#This Row],[Year_Num]],_xlfn.IFS(_xlpm.y&lt;500,"Ancient",_xlpm.y&lt;1500,"Medieval",_xlpm.y&lt;1800,"Early Modern",_xlpm.y&lt;1946,"Modern",TRUE,"Contemporary"))</f>
        <v>Modern</v>
      </c>
      <c r="P57" s="5" t="str">
        <f>_xlfn.XLOOKUP(Clean_Data[[#This Row],[Country]],country_region[Country],country_region[Country_Standard],"Not found")</f>
        <v>India</v>
      </c>
      <c r="Q57" s="5" t="str">
        <f>_xlfn.XLOOKUP(Clean_Data[[#This Row],[Country]],country_region[Country],country_region[Region],"Not found")</f>
        <v>South Asia</v>
      </c>
      <c r="R57" s="5" t="str">
        <f>_xlfn.XLOOKUP(Clean_Data[[#This Row],[Type of Event]],event_type_category[Type of Event],event_type_category[Category],"Not found")</f>
        <v>Independence &amp; Nation-Building</v>
      </c>
    </row>
    <row r="58" spans="1:18">
      <c r="A58">
        <v>60</v>
      </c>
      <c r="B58" t="s">
        <v>369</v>
      </c>
      <c r="C58" t="s">
        <v>150</v>
      </c>
      <c r="D58" t="s">
        <v>158</v>
      </c>
      <c r="E58" t="s">
        <v>116</v>
      </c>
      <c r="F58" t="s">
        <v>15</v>
      </c>
      <c r="G58" t="s">
        <v>370</v>
      </c>
      <c r="H58" t="s">
        <v>118</v>
      </c>
      <c r="I58" t="s">
        <v>371</v>
      </c>
      <c r="J58" t="s">
        <v>372</v>
      </c>
      <c r="K58" t="s">
        <v>373</v>
      </c>
      <c r="L58" t="s">
        <v>54</v>
      </c>
      <c r="M58">
        <v>1905</v>
      </c>
      <c r="N58" s="5">
        <f>ROUNDUP(Clean_Data[[#This Row],[Year_Num]]/100,0)</f>
        <v>20</v>
      </c>
      <c r="O58" s="5" t="str" cm="1">
        <f t="array" ref="O58">_xlfn.LET(_xlpm.y,Clean_Data[[#This Row],[Year_Num]],_xlfn.IFS(_xlpm.y&lt;500,"Ancient",_xlpm.y&lt;1500,"Medieval",_xlpm.y&lt;1800,"Early Modern",_xlpm.y&lt;1946,"Modern",TRUE,"Contemporary"))</f>
        <v>Modern</v>
      </c>
      <c r="P58" s="5" t="str">
        <f>_xlfn.XLOOKUP(Clean_Data[[#This Row],[Country]],country_region[Country],country_region[Country_Standard],"Not found")</f>
        <v>India</v>
      </c>
      <c r="Q58" s="5" t="str">
        <f>_xlfn.XLOOKUP(Clean_Data[[#This Row],[Country]],country_region[Country],country_region[Region],"Not found")</f>
        <v>South Asia</v>
      </c>
      <c r="R58" s="5" t="str">
        <f>_xlfn.XLOOKUP(Clean_Data[[#This Row],[Type of Event]],event_type_category[Type of Event],event_type_category[Category],"Not found")</f>
        <v>Politics &amp; Law</v>
      </c>
    </row>
    <row r="59" spans="1:18">
      <c r="A59">
        <v>61</v>
      </c>
      <c r="B59" t="s">
        <v>374</v>
      </c>
      <c r="C59" t="s">
        <v>224</v>
      </c>
      <c r="D59" t="s">
        <v>39</v>
      </c>
      <c r="E59" t="s">
        <v>375</v>
      </c>
      <c r="F59" t="s">
        <v>15</v>
      </c>
      <c r="G59" t="s">
        <v>376</v>
      </c>
      <c r="H59" t="s">
        <v>132</v>
      </c>
      <c r="I59" t="s">
        <v>377</v>
      </c>
      <c r="J59" t="s">
        <v>378</v>
      </c>
      <c r="K59" t="s">
        <v>379</v>
      </c>
      <c r="L59" t="s">
        <v>54</v>
      </c>
      <c r="M59">
        <v>1919</v>
      </c>
      <c r="N59" s="5">
        <f>ROUNDUP(Clean_Data[[#This Row],[Year_Num]]/100,0)</f>
        <v>20</v>
      </c>
      <c r="O59" s="5" t="str" cm="1">
        <f t="array" ref="O59">_xlfn.LET(_xlpm.y,Clean_Data[[#This Row],[Year_Num]],_xlfn.IFS(_xlpm.y&lt;500,"Ancient",_xlpm.y&lt;1500,"Medieval",_xlpm.y&lt;1800,"Early Modern",_xlpm.y&lt;1946,"Modern",TRUE,"Contemporary"))</f>
        <v>Modern</v>
      </c>
      <c r="P59" s="5" t="str">
        <f>_xlfn.XLOOKUP(Clean_Data[[#This Row],[Country]],country_region[Country],country_region[Country_Standard],"Not found")</f>
        <v>India</v>
      </c>
      <c r="Q59" s="5" t="str">
        <f>_xlfn.XLOOKUP(Clean_Data[[#This Row],[Country]],country_region[Country],country_region[Region],"Not found")</f>
        <v>South Asia</v>
      </c>
      <c r="R59" s="5" t="str">
        <f>_xlfn.XLOOKUP(Clean_Data[[#This Row],[Type of Event]],event_type_category[Type of Event],event_type_category[Category],"Not found")</f>
        <v>War &amp; Conflict</v>
      </c>
    </row>
    <row r="60" spans="1:18">
      <c r="A60">
        <v>62</v>
      </c>
      <c r="B60" t="s">
        <v>4837</v>
      </c>
      <c r="C60" t="s">
        <v>46</v>
      </c>
      <c r="D60" t="s">
        <v>57</v>
      </c>
      <c r="E60" t="s">
        <v>381</v>
      </c>
      <c r="F60" t="s">
        <v>15</v>
      </c>
      <c r="G60" t="s">
        <v>382</v>
      </c>
      <c r="H60" t="s">
        <v>300</v>
      </c>
      <c r="I60" t="s">
        <v>4838</v>
      </c>
      <c r="J60" t="s">
        <v>384</v>
      </c>
      <c r="K60" t="s">
        <v>385</v>
      </c>
      <c r="L60" t="s">
        <v>21</v>
      </c>
      <c r="M60">
        <v>1920</v>
      </c>
      <c r="N60" s="5">
        <f>ROUNDUP(Clean_Data[[#This Row],[Year_Num]]/100,0)</f>
        <v>20</v>
      </c>
      <c r="O60" s="5" t="str" cm="1">
        <f t="array" ref="O60">_xlfn.LET(_xlpm.y,Clean_Data[[#This Row],[Year_Num]],_xlfn.IFS(_xlpm.y&lt;500,"Ancient",_xlpm.y&lt;1500,"Medieval",_xlpm.y&lt;1800,"Early Modern",_xlpm.y&lt;1946,"Modern",TRUE,"Contemporary"))</f>
        <v>Modern</v>
      </c>
      <c r="P60" s="5" t="str">
        <f>_xlfn.XLOOKUP(Clean_Data[[#This Row],[Country]],country_region[Country],country_region[Country_Standard],"Not found")</f>
        <v>India</v>
      </c>
      <c r="Q60" s="5" t="str">
        <f>_xlfn.XLOOKUP(Clean_Data[[#This Row],[Country]],country_region[Country],country_region[Region],"Not found")</f>
        <v>South Asia</v>
      </c>
      <c r="R60" s="5" t="str">
        <f>_xlfn.XLOOKUP(Clean_Data[[#This Row],[Type of Event]],event_type_category[Type of Event],event_type_category[Category],"Not found")</f>
        <v>Society &amp; Health</v>
      </c>
    </row>
    <row r="61" spans="1:18">
      <c r="A61">
        <v>63</v>
      </c>
      <c r="B61" t="s">
        <v>386</v>
      </c>
      <c r="C61" t="s">
        <v>230</v>
      </c>
      <c r="D61" t="s">
        <v>173</v>
      </c>
      <c r="E61" t="s">
        <v>387</v>
      </c>
      <c r="F61" t="s">
        <v>15</v>
      </c>
      <c r="G61" t="s">
        <v>388</v>
      </c>
      <c r="H61" t="s">
        <v>389</v>
      </c>
      <c r="I61" t="s">
        <v>4839</v>
      </c>
      <c r="J61" t="s">
        <v>391</v>
      </c>
      <c r="K61" t="s">
        <v>392</v>
      </c>
      <c r="L61" t="s">
        <v>54</v>
      </c>
      <c r="M61">
        <v>1922</v>
      </c>
      <c r="N61" s="5">
        <f>ROUNDUP(Clean_Data[[#This Row],[Year_Num]]/100,0)</f>
        <v>20</v>
      </c>
      <c r="O61" s="5" t="str" cm="1">
        <f t="array" ref="O61">_xlfn.LET(_xlpm.y,Clean_Data[[#This Row],[Year_Num]],_xlfn.IFS(_xlpm.y&lt;500,"Ancient",_xlpm.y&lt;1500,"Medieval",_xlpm.y&lt;1800,"Early Modern",_xlpm.y&lt;1946,"Modern",TRUE,"Contemporary"))</f>
        <v>Modern</v>
      </c>
      <c r="P61" s="5" t="str">
        <f>_xlfn.XLOOKUP(Clean_Data[[#This Row],[Country]],country_region[Country],country_region[Country_Standard],"Not found")</f>
        <v>India</v>
      </c>
      <c r="Q61" s="5" t="str">
        <f>_xlfn.XLOOKUP(Clean_Data[[#This Row],[Country]],country_region[Country],country_region[Region],"Not found")</f>
        <v>South Asia</v>
      </c>
      <c r="R61" s="5" t="str">
        <f>_xlfn.XLOOKUP(Clean_Data[[#This Row],[Type of Event]],event_type_category[Type of Event],event_type_category[Category],"Not found")</f>
        <v>Society &amp; Health</v>
      </c>
    </row>
    <row r="62" spans="1:18">
      <c r="A62">
        <v>64</v>
      </c>
      <c r="B62" t="s">
        <v>393</v>
      </c>
      <c r="C62" t="s">
        <v>353</v>
      </c>
      <c r="D62" t="s">
        <v>267</v>
      </c>
      <c r="E62" t="s">
        <v>394</v>
      </c>
      <c r="F62" t="s">
        <v>15</v>
      </c>
      <c r="G62" t="s">
        <v>395</v>
      </c>
      <c r="H62" t="s">
        <v>396</v>
      </c>
      <c r="I62" t="s">
        <v>397</v>
      </c>
      <c r="J62" t="s">
        <v>398</v>
      </c>
      <c r="K62" t="s">
        <v>385</v>
      </c>
      <c r="L62" t="s">
        <v>21</v>
      </c>
      <c r="M62">
        <v>1930</v>
      </c>
      <c r="N62" s="5">
        <f>ROUNDUP(Clean_Data[[#This Row],[Year_Num]]/100,0)</f>
        <v>20</v>
      </c>
      <c r="O62" s="5" t="str" cm="1">
        <f t="array" ref="O62">_xlfn.LET(_xlpm.y,Clean_Data[[#This Row],[Year_Num]],_xlfn.IFS(_xlpm.y&lt;500,"Ancient",_xlpm.y&lt;1500,"Medieval",_xlpm.y&lt;1800,"Early Modern",_xlpm.y&lt;1946,"Modern",TRUE,"Contemporary"))</f>
        <v>Modern</v>
      </c>
      <c r="P62" s="5" t="str">
        <f>_xlfn.XLOOKUP(Clean_Data[[#This Row],[Country]],country_region[Country],country_region[Country_Standard],"Not found")</f>
        <v>India</v>
      </c>
      <c r="Q62" s="5" t="str">
        <f>_xlfn.XLOOKUP(Clean_Data[[#This Row],[Country]],country_region[Country],country_region[Region],"Not found")</f>
        <v>South Asia</v>
      </c>
      <c r="R62" s="5" t="str">
        <f>_xlfn.XLOOKUP(Clean_Data[[#This Row],[Type of Event]],event_type_category[Type of Event],event_type_category[Category],"Not found")</f>
        <v>Society &amp; Health</v>
      </c>
    </row>
    <row r="63" spans="1:18">
      <c r="A63">
        <v>65</v>
      </c>
      <c r="B63" t="s">
        <v>399</v>
      </c>
      <c r="D63" t="s">
        <v>83</v>
      </c>
      <c r="E63" t="s">
        <v>394</v>
      </c>
      <c r="F63" t="s">
        <v>400</v>
      </c>
      <c r="G63" t="s">
        <v>401</v>
      </c>
      <c r="H63" t="s">
        <v>402</v>
      </c>
      <c r="I63" t="s">
        <v>403</v>
      </c>
      <c r="J63" t="s">
        <v>404</v>
      </c>
      <c r="K63" t="s">
        <v>405</v>
      </c>
      <c r="L63" t="s">
        <v>36</v>
      </c>
      <c r="M63">
        <v>1930</v>
      </c>
      <c r="N63" s="5">
        <f>ROUNDUP(Clean_Data[[#This Row],[Year_Num]]/100,0)</f>
        <v>20</v>
      </c>
      <c r="O63" s="5" t="str" cm="1">
        <f t="array" ref="O63">_xlfn.LET(_xlpm.y,Clean_Data[[#This Row],[Year_Num]],_xlfn.IFS(_xlpm.y&lt;500,"Ancient",_xlpm.y&lt;1500,"Medieval",_xlpm.y&lt;1800,"Early Modern",_xlpm.y&lt;1946,"Modern",TRUE,"Contemporary"))</f>
        <v>Modern</v>
      </c>
      <c r="P63" s="5" t="str">
        <f>_xlfn.XLOOKUP(Clean_Data[[#This Row],[Country]],country_region[Country],country_region[Country_Standard],"Not found")</f>
        <v>UK</v>
      </c>
      <c r="Q63" s="5" t="str">
        <f>_xlfn.XLOOKUP(Clean_Data[[#This Row],[Country]],country_region[Country],country_region[Region],"Not found")</f>
        <v>Europe</v>
      </c>
      <c r="R63" s="5" t="str">
        <f>_xlfn.XLOOKUP(Clean_Data[[#This Row],[Type of Event]],event_type_category[Type of Event],event_type_category[Category],"Not found")</f>
        <v>Diplomacy &amp; International Relations</v>
      </c>
    </row>
    <row r="64" spans="1:18">
      <c r="A64">
        <v>66</v>
      </c>
      <c r="B64" t="s">
        <v>406</v>
      </c>
      <c r="C64" t="s">
        <v>82</v>
      </c>
      <c r="D64" t="s">
        <v>260</v>
      </c>
      <c r="E64" t="s">
        <v>394</v>
      </c>
      <c r="F64" t="s">
        <v>15</v>
      </c>
      <c r="G64" t="s">
        <v>407</v>
      </c>
      <c r="H64" t="s">
        <v>408</v>
      </c>
      <c r="I64" t="s">
        <v>409</v>
      </c>
      <c r="J64" t="s">
        <v>121</v>
      </c>
      <c r="K64" t="s">
        <v>121</v>
      </c>
      <c r="L64" t="s">
        <v>21</v>
      </c>
      <c r="M64">
        <v>1930</v>
      </c>
      <c r="N64" s="5">
        <f>ROUNDUP(Clean_Data[[#This Row],[Year_Num]]/100,0)</f>
        <v>20</v>
      </c>
      <c r="O64" s="5" t="str" cm="1">
        <f t="array" ref="O64">_xlfn.LET(_xlpm.y,Clean_Data[[#This Row],[Year_Num]],_xlfn.IFS(_xlpm.y&lt;500,"Ancient",_xlpm.y&lt;1500,"Medieval",_xlpm.y&lt;1800,"Early Modern",_xlpm.y&lt;1946,"Modern",TRUE,"Contemporary"))</f>
        <v>Modern</v>
      </c>
      <c r="P64" s="5" t="str">
        <f>_xlfn.XLOOKUP(Clean_Data[[#This Row],[Country]],country_region[Country],country_region[Country_Standard],"Not found")</f>
        <v>India</v>
      </c>
      <c r="Q64" s="5" t="str">
        <f>_xlfn.XLOOKUP(Clean_Data[[#This Row],[Country]],country_region[Country],country_region[Region],"Not found")</f>
        <v>South Asia</v>
      </c>
      <c r="R64" s="5" t="str">
        <f>_xlfn.XLOOKUP(Clean_Data[[#This Row],[Type of Event]],event_type_category[Type of Event],event_type_category[Category],"Not found")</f>
        <v>Politics &amp; Law</v>
      </c>
    </row>
    <row r="65" spans="1:18">
      <c r="A65">
        <v>67</v>
      </c>
      <c r="B65" t="s">
        <v>410</v>
      </c>
      <c r="C65" t="s">
        <v>298</v>
      </c>
      <c r="D65" t="s">
        <v>57</v>
      </c>
      <c r="E65" t="s">
        <v>411</v>
      </c>
      <c r="F65" t="s">
        <v>15</v>
      </c>
      <c r="G65" t="s">
        <v>412</v>
      </c>
      <c r="H65" t="s">
        <v>365</v>
      </c>
      <c r="I65" t="s">
        <v>413</v>
      </c>
      <c r="J65" t="s">
        <v>414</v>
      </c>
      <c r="K65" t="s">
        <v>415</v>
      </c>
      <c r="L65" t="s">
        <v>21</v>
      </c>
      <c r="M65">
        <v>1942</v>
      </c>
      <c r="N65" s="5">
        <f>ROUNDUP(Clean_Data[[#This Row],[Year_Num]]/100,0)</f>
        <v>20</v>
      </c>
      <c r="O65" s="5" t="str" cm="1">
        <f t="array" ref="O65">_xlfn.LET(_xlpm.y,Clean_Data[[#This Row],[Year_Num]],_xlfn.IFS(_xlpm.y&lt;500,"Ancient",_xlpm.y&lt;1500,"Medieval",_xlpm.y&lt;1800,"Early Modern",_xlpm.y&lt;1946,"Modern",TRUE,"Contemporary"))</f>
        <v>Modern</v>
      </c>
      <c r="P65" s="5" t="str">
        <f>_xlfn.XLOOKUP(Clean_Data[[#This Row],[Country]],country_region[Country],country_region[Country_Standard],"Not found")</f>
        <v>India</v>
      </c>
      <c r="Q65" s="5" t="str">
        <f>_xlfn.XLOOKUP(Clean_Data[[#This Row],[Country]],country_region[Country],country_region[Region],"Not found")</f>
        <v>South Asia</v>
      </c>
      <c r="R65" s="5" t="str">
        <f>_xlfn.XLOOKUP(Clean_Data[[#This Row],[Type of Event]],event_type_category[Type of Event],event_type_category[Category],"Not found")</f>
        <v>Society &amp; Health</v>
      </c>
    </row>
    <row r="66" spans="1:18">
      <c r="A66">
        <v>68</v>
      </c>
      <c r="B66" t="s">
        <v>416</v>
      </c>
      <c r="D66" t="s">
        <v>267</v>
      </c>
      <c r="E66" t="s">
        <v>411</v>
      </c>
      <c r="F66" t="s">
        <v>15</v>
      </c>
      <c r="G66" t="s">
        <v>417</v>
      </c>
      <c r="H66" t="s">
        <v>153</v>
      </c>
      <c r="I66" t="s">
        <v>418</v>
      </c>
      <c r="J66" t="s">
        <v>419</v>
      </c>
      <c r="K66" t="s">
        <v>420</v>
      </c>
      <c r="L66" t="s">
        <v>54</v>
      </c>
      <c r="M66">
        <v>1942</v>
      </c>
      <c r="N66" s="5">
        <f>ROUNDUP(Clean_Data[[#This Row],[Year_Num]]/100,0)</f>
        <v>20</v>
      </c>
      <c r="O66" s="5" t="str" cm="1">
        <f t="array" ref="O66">_xlfn.LET(_xlpm.y,Clean_Data[[#This Row],[Year_Num]],_xlfn.IFS(_xlpm.y&lt;500,"Ancient",_xlpm.y&lt;1500,"Medieval",_xlpm.y&lt;1800,"Early Modern",_xlpm.y&lt;1946,"Modern",TRUE,"Contemporary"))</f>
        <v>Modern</v>
      </c>
      <c r="P66" s="5" t="str">
        <f>_xlfn.XLOOKUP(Clean_Data[[#This Row],[Country]],country_region[Country],country_region[Country_Standard],"Not found")</f>
        <v>India</v>
      </c>
      <c r="Q66" s="5" t="str">
        <f>_xlfn.XLOOKUP(Clean_Data[[#This Row],[Country]],country_region[Country],country_region[Region],"Not found")</f>
        <v>South Asia</v>
      </c>
      <c r="R66" s="5" t="str">
        <f>_xlfn.XLOOKUP(Clean_Data[[#This Row],[Type of Event]],event_type_category[Type of Event],event_type_category[Category],"Not found")</f>
        <v>Diplomacy &amp; International Relations</v>
      </c>
    </row>
    <row r="67" spans="1:18">
      <c r="A67">
        <v>69</v>
      </c>
      <c r="B67" t="s">
        <v>421</v>
      </c>
      <c r="E67" t="s">
        <v>422</v>
      </c>
      <c r="F67" t="s">
        <v>15</v>
      </c>
      <c r="G67" t="s">
        <v>423</v>
      </c>
      <c r="H67" t="s">
        <v>118</v>
      </c>
      <c r="I67" t="s">
        <v>424</v>
      </c>
      <c r="J67" t="s">
        <v>372</v>
      </c>
      <c r="K67" t="s">
        <v>425</v>
      </c>
      <c r="L67" t="s">
        <v>54</v>
      </c>
      <c r="M67">
        <v>1943</v>
      </c>
      <c r="N67" s="5">
        <f>ROUNDUP(Clean_Data[[#This Row],[Year_Num]]/100,0)</f>
        <v>20</v>
      </c>
      <c r="O67" s="5" t="str" cm="1">
        <f t="array" ref="O67">_xlfn.LET(_xlpm.y,Clean_Data[[#This Row],[Year_Num]],_xlfn.IFS(_xlpm.y&lt;500,"Ancient",_xlpm.y&lt;1500,"Medieval",_xlpm.y&lt;1800,"Early Modern",_xlpm.y&lt;1946,"Modern",TRUE,"Contemporary"))</f>
        <v>Modern</v>
      </c>
      <c r="P67" s="5" t="str">
        <f>_xlfn.XLOOKUP(Clean_Data[[#This Row],[Country]],country_region[Country],country_region[Country_Standard],"Not found")</f>
        <v>India</v>
      </c>
      <c r="Q67" s="5" t="str">
        <f>_xlfn.XLOOKUP(Clean_Data[[#This Row],[Country]],country_region[Country],country_region[Region],"Not found")</f>
        <v>South Asia</v>
      </c>
      <c r="R67" s="5" t="str">
        <f>_xlfn.XLOOKUP(Clean_Data[[#This Row],[Type of Event]],event_type_category[Type of Event],event_type_category[Category],"Not found")</f>
        <v>Disasters &amp; Accidents</v>
      </c>
    </row>
    <row r="68" spans="1:18">
      <c r="A68">
        <v>70</v>
      </c>
      <c r="B68" t="s">
        <v>426</v>
      </c>
      <c r="C68" t="s">
        <v>65</v>
      </c>
      <c r="D68" t="s">
        <v>100</v>
      </c>
      <c r="E68" t="s">
        <v>58</v>
      </c>
      <c r="F68" t="s">
        <v>15</v>
      </c>
      <c r="G68" t="s">
        <v>427</v>
      </c>
      <c r="H68" t="s">
        <v>153</v>
      </c>
      <c r="I68" t="s">
        <v>428</v>
      </c>
      <c r="J68" t="s">
        <v>429</v>
      </c>
      <c r="K68" t="s">
        <v>430</v>
      </c>
      <c r="L68" t="s">
        <v>54</v>
      </c>
      <c r="M68">
        <v>1947</v>
      </c>
      <c r="N68" s="5">
        <f>ROUNDUP(Clean_Data[[#This Row],[Year_Num]]/100,0)</f>
        <v>20</v>
      </c>
      <c r="O68" s="5" t="str" cm="1">
        <f t="array" ref="O68">_xlfn.LET(_xlpm.y,Clean_Data[[#This Row],[Year_Num]],_xlfn.IFS(_xlpm.y&lt;500,"Ancient",_xlpm.y&lt;1500,"Medieval",_xlpm.y&lt;1800,"Early Modern",_xlpm.y&lt;1946,"Modern",TRUE,"Contemporary"))</f>
        <v>Contemporary</v>
      </c>
      <c r="P68" s="5" t="str">
        <f>_xlfn.XLOOKUP(Clean_Data[[#This Row],[Country]],country_region[Country],country_region[Country_Standard],"Not found")</f>
        <v>India</v>
      </c>
      <c r="Q68" s="5" t="str">
        <f>_xlfn.XLOOKUP(Clean_Data[[#This Row],[Country]],country_region[Country],country_region[Region],"Not found")</f>
        <v>South Asia</v>
      </c>
      <c r="R68" s="5" t="str">
        <f>_xlfn.XLOOKUP(Clean_Data[[#This Row],[Type of Event]],event_type_category[Type of Event],event_type_category[Category],"Not found")</f>
        <v>Politics &amp; Law</v>
      </c>
    </row>
    <row r="69" spans="1:18">
      <c r="A69">
        <v>71</v>
      </c>
      <c r="B69" t="s">
        <v>431</v>
      </c>
      <c r="E69" t="s">
        <v>58</v>
      </c>
      <c r="F69" t="s">
        <v>15</v>
      </c>
      <c r="G69" t="s">
        <v>432</v>
      </c>
      <c r="H69" t="s">
        <v>433</v>
      </c>
      <c r="I69" t="s">
        <v>434</v>
      </c>
      <c r="J69" t="s">
        <v>435</v>
      </c>
      <c r="K69" t="s">
        <v>436</v>
      </c>
      <c r="L69" t="s">
        <v>21</v>
      </c>
      <c r="M69">
        <v>1947</v>
      </c>
      <c r="N69" s="5">
        <f>ROUNDUP(Clean_Data[[#This Row],[Year_Num]]/100,0)</f>
        <v>20</v>
      </c>
      <c r="O69" s="5" t="str" cm="1">
        <f t="array" ref="O69">_xlfn.LET(_xlpm.y,Clean_Data[[#This Row],[Year_Num]],_xlfn.IFS(_xlpm.y&lt;500,"Ancient",_xlpm.y&lt;1500,"Medieval",_xlpm.y&lt;1800,"Early Modern",_xlpm.y&lt;1946,"Modern",TRUE,"Contemporary"))</f>
        <v>Contemporary</v>
      </c>
      <c r="P69" s="5" t="str">
        <f>_xlfn.XLOOKUP(Clean_Data[[#This Row],[Country]],country_region[Country],country_region[Country_Standard],"Not found")</f>
        <v>India</v>
      </c>
      <c r="Q69" s="5" t="str">
        <f>_xlfn.XLOOKUP(Clean_Data[[#This Row],[Country]],country_region[Country],country_region[Region],"Not found")</f>
        <v>South Asia</v>
      </c>
      <c r="R69" s="5" t="str">
        <f>_xlfn.XLOOKUP(Clean_Data[[#This Row],[Type of Event]],event_type_category[Type of Event],event_type_category[Category],"Not found")</f>
        <v>Independence &amp; Nation-Building</v>
      </c>
    </row>
    <row r="70" spans="1:18">
      <c r="A70">
        <v>72</v>
      </c>
      <c r="B70" t="s">
        <v>437</v>
      </c>
      <c r="C70" t="s">
        <v>82</v>
      </c>
      <c r="D70" t="s">
        <v>260</v>
      </c>
      <c r="E70" t="s">
        <v>438</v>
      </c>
      <c r="F70" t="s">
        <v>15</v>
      </c>
      <c r="G70" t="s">
        <v>439</v>
      </c>
      <c r="H70" t="s">
        <v>153</v>
      </c>
      <c r="I70" t="s">
        <v>440</v>
      </c>
      <c r="J70" t="s">
        <v>147</v>
      </c>
      <c r="K70" t="s">
        <v>441</v>
      </c>
      <c r="L70" t="s">
        <v>21</v>
      </c>
      <c r="M70">
        <v>1950</v>
      </c>
      <c r="N70" s="5">
        <f>ROUNDUP(Clean_Data[[#This Row],[Year_Num]]/100,0)</f>
        <v>20</v>
      </c>
      <c r="O70" s="5" t="str" cm="1">
        <f t="array" ref="O70">_xlfn.LET(_xlpm.y,Clean_Data[[#This Row],[Year_Num]],_xlfn.IFS(_xlpm.y&lt;500,"Ancient",_xlpm.y&lt;1500,"Medieval",_xlpm.y&lt;1800,"Early Modern",_xlpm.y&lt;1946,"Modern",TRUE,"Contemporary"))</f>
        <v>Contemporary</v>
      </c>
      <c r="P70" s="5" t="str">
        <f>_xlfn.XLOOKUP(Clean_Data[[#This Row],[Country]],country_region[Country],country_region[Country_Standard],"Not found")</f>
        <v>India</v>
      </c>
      <c r="Q70" s="5" t="str">
        <f>_xlfn.XLOOKUP(Clean_Data[[#This Row],[Country]],country_region[Country],country_region[Region],"Not found")</f>
        <v>South Asia</v>
      </c>
      <c r="R70" s="5" t="str">
        <f>_xlfn.XLOOKUP(Clean_Data[[#This Row],[Type of Event]],event_type_category[Type of Event],event_type_category[Category],"Not found")</f>
        <v>Politics &amp; Law</v>
      </c>
    </row>
    <row r="71" spans="1:18">
      <c r="A71">
        <v>79</v>
      </c>
      <c r="B71" t="s">
        <v>442</v>
      </c>
      <c r="C71" t="s">
        <v>46</v>
      </c>
      <c r="D71" t="s">
        <v>39</v>
      </c>
      <c r="E71" t="s">
        <v>443</v>
      </c>
      <c r="F71" t="s">
        <v>15</v>
      </c>
      <c r="G71" t="s">
        <v>444</v>
      </c>
      <c r="H71" t="s">
        <v>445</v>
      </c>
      <c r="I71" t="s">
        <v>446</v>
      </c>
      <c r="J71" t="s">
        <v>447</v>
      </c>
      <c r="K71" t="s">
        <v>4840</v>
      </c>
      <c r="L71" t="s">
        <v>21</v>
      </c>
      <c r="M71">
        <v>1935</v>
      </c>
      <c r="N71" s="5">
        <f>ROUNDUP(Clean_Data[[#This Row],[Year_Num]]/100,0)</f>
        <v>20</v>
      </c>
      <c r="O71" s="5" t="str" cm="1">
        <f t="array" ref="O71">_xlfn.LET(_xlpm.y,Clean_Data[[#This Row],[Year_Num]],_xlfn.IFS(_xlpm.y&lt;500,"Ancient",_xlpm.y&lt;1500,"Medieval",_xlpm.y&lt;1800,"Early Modern",_xlpm.y&lt;1946,"Modern",TRUE,"Contemporary"))</f>
        <v>Modern</v>
      </c>
      <c r="P71" s="5" t="str">
        <f>_xlfn.XLOOKUP(Clean_Data[[#This Row],[Country]],country_region[Country],country_region[Country_Standard],"Not found")</f>
        <v>India</v>
      </c>
      <c r="Q71" s="5" t="str">
        <f>_xlfn.XLOOKUP(Clean_Data[[#This Row],[Country]],country_region[Country],country_region[Region],"Not found")</f>
        <v>South Asia</v>
      </c>
      <c r="R71" s="5" t="str">
        <f>_xlfn.XLOOKUP(Clean_Data[[#This Row],[Type of Event]],event_type_category[Type of Event],event_type_category[Category],"Not found")</f>
        <v>Economy &amp; Infrastructure</v>
      </c>
    </row>
    <row r="72" spans="1:18">
      <c r="A72">
        <v>80</v>
      </c>
      <c r="B72" t="s">
        <v>329</v>
      </c>
      <c r="C72" t="s">
        <v>56</v>
      </c>
      <c r="D72" t="s">
        <v>57</v>
      </c>
      <c r="E72" t="s">
        <v>449</v>
      </c>
      <c r="F72" t="s">
        <v>15</v>
      </c>
      <c r="G72" t="s">
        <v>450</v>
      </c>
      <c r="H72" t="s">
        <v>451</v>
      </c>
      <c r="I72" t="s">
        <v>452</v>
      </c>
      <c r="J72" t="s">
        <v>453</v>
      </c>
      <c r="K72" t="s">
        <v>148</v>
      </c>
      <c r="L72" t="s">
        <v>21</v>
      </c>
      <c r="M72">
        <v>1969</v>
      </c>
      <c r="N72" s="5">
        <f>ROUNDUP(Clean_Data[[#This Row],[Year_Num]]/100,0)</f>
        <v>20</v>
      </c>
      <c r="O72" s="5" t="str" cm="1">
        <f t="array" ref="O72">_xlfn.LET(_xlpm.y,Clean_Data[[#This Row],[Year_Num]],_xlfn.IFS(_xlpm.y&lt;500,"Ancient",_xlpm.y&lt;1500,"Medieval",_xlpm.y&lt;1800,"Early Modern",_xlpm.y&lt;1946,"Modern",TRUE,"Contemporary"))</f>
        <v>Contemporary</v>
      </c>
      <c r="P72" s="5" t="str">
        <f>_xlfn.XLOOKUP(Clean_Data[[#This Row],[Country]],country_region[Country],country_region[Country_Standard],"Not found")</f>
        <v>India</v>
      </c>
      <c r="Q72" s="5" t="str">
        <f>_xlfn.XLOOKUP(Clean_Data[[#This Row],[Country]],country_region[Country],country_region[Region],"Not found")</f>
        <v>South Asia</v>
      </c>
      <c r="R72" s="5" t="str">
        <f>_xlfn.XLOOKUP(Clean_Data[[#This Row],[Type of Event]],event_type_category[Type of Event],event_type_category[Category],"Not found")</f>
        <v>Science, Technology &amp; Exploration</v>
      </c>
    </row>
    <row r="73" spans="1:18">
      <c r="A73">
        <v>81</v>
      </c>
      <c r="B73" t="s">
        <v>454</v>
      </c>
      <c r="C73" t="s">
        <v>321</v>
      </c>
      <c r="D73" t="s">
        <v>39</v>
      </c>
      <c r="E73" t="s">
        <v>455</v>
      </c>
      <c r="F73" t="s">
        <v>15</v>
      </c>
      <c r="G73" t="s">
        <v>456</v>
      </c>
      <c r="H73" t="s">
        <v>153</v>
      </c>
      <c r="I73" t="s">
        <v>457</v>
      </c>
      <c r="J73" t="s">
        <v>147</v>
      </c>
      <c r="K73" t="s">
        <v>458</v>
      </c>
      <c r="L73" t="s">
        <v>21</v>
      </c>
      <c r="M73">
        <v>1980</v>
      </c>
      <c r="N73" s="5">
        <f>ROUNDUP(Clean_Data[[#This Row],[Year_Num]]/100,0)</f>
        <v>20</v>
      </c>
      <c r="O73" s="5" t="str" cm="1">
        <f t="array" ref="O73">_xlfn.LET(_xlpm.y,Clean_Data[[#This Row],[Year_Num]],_xlfn.IFS(_xlpm.y&lt;500,"Ancient",_xlpm.y&lt;1500,"Medieval",_xlpm.y&lt;1800,"Early Modern",_xlpm.y&lt;1946,"Modern",TRUE,"Contemporary"))</f>
        <v>Contemporary</v>
      </c>
      <c r="P73" s="5" t="str">
        <f>_xlfn.XLOOKUP(Clean_Data[[#This Row],[Country]],country_region[Country],country_region[Country_Standard],"Not found")</f>
        <v>India</v>
      </c>
      <c r="Q73" s="5" t="str">
        <f>_xlfn.XLOOKUP(Clean_Data[[#This Row],[Country]],country_region[Country],country_region[Region],"Not found")</f>
        <v>South Asia</v>
      </c>
      <c r="R73" s="5" t="str">
        <f>_xlfn.XLOOKUP(Clean_Data[[#This Row],[Type of Event]],event_type_category[Type of Event],event_type_category[Category],"Not found")</f>
        <v>Politics &amp; Law</v>
      </c>
    </row>
    <row r="74" spans="1:18">
      <c r="A74">
        <v>82</v>
      </c>
      <c r="B74" t="s">
        <v>459</v>
      </c>
      <c r="C74" t="s">
        <v>353</v>
      </c>
      <c r="D74" t="s">
        <v>39</v>
      </c>
      <c r="E74" t="s">
        <v>460</v>
      </c>
      <c r="F74" t="s">
        <v>15</v>
      </c>
      <c r="G74" t="s">
        <v>461</v>
      </c>
      <c r="H74" t="s">
        <v>86</v>
      </c>
      <c r="I74" t="s">
        <v>462</v>
      </c>
      <c r="J74" t="s">
        <v>463</v>
      </c>
      <c r="K74" t="s">
        <v>148</v>
      </c>
      <c r="L74" t="s">
        <v>21</v>
      </c>
      <c r="M74">
        <v>1988</v>
      </c>
      <c r="N74" s="5">
        <f>ROUNDUP(Clean_Data[[#This Row],[Year_Num]]/100,0)</f>
        <v>20</v>
      </c>
      <c r="O74" s="5" t="str" cm="1">
        <f t="array" ref="O74">_xlfn.LET(_xlpm.y,Clean_Data[[#This Row],[Year_Num]],_xlfn.IFS(_xlpm.y&lt;500,"Ancient",_xlpm.y&lt;1500,"Medieval",_xlpm.y&lt;1800,"Early Modern",_xlpm.y&lt;1946,"Modern",TRUE,"Contemporary"))</f>
        <v>Contemporary</v>
      </c>
      <c r="P74" s="5" t="str">
        <f>_xlfn.XLOOKUP(Clean_Data[[#This Row],[Country]],country_region[Country],country_region[Country_Standard],"Not found")</f>
        <v>India</v>
      </c>
      <c r="Q74" s="5" t="str">
        <f>_xlfn.XLOOKUP(Clean_Data[[#This Row],[Country]],country_region[Country],country_region[Region],"Not found")</f>
        <v>South Asia</v>
      </c>
      <c r="R74" s="5" t="str">
        <f>_xlfn.XLOOKUP(Clean_Data[[#This Row],[Type of Event]],event_type_category[Type of Event],event_type_category[Category],"Not found")</f>
        <v>Politics &amp; Law</v>
      </c>
    </row>
    <row r="75" spans="1:18">
      <c r="A75">
        <v>83</v>
      </c>
      <c r="B75" t="s">
        <v>464</v>
      </c>
      <c r="E75" t="s">
        <v>465</v>
      </c>
      <c r="F75" t="s">
        <v>15</v>
      </c>
      <c r="G75" t="s">
        <v>466</v>
      </c>
      <c r="H75" t="s">
        <v>467</v>
      </c>
      <c r="I75" t="s">
        <v>468</v>
      </c>
      <c r="J75" t="s">
        <v>469</v>
      </c>
      <c r="K75" t="s">
        <v>470</v>
      </c>
      <c r="L75" t="s">
        <v>21</v>
      </c>
      <c r="M75">
        <v>1653</v>
      </c>
      <c r="N75" s="5">
        <f>ROUNDUP(Clean_Data[[#This Row],[Year_Num]]/100,0)</f>
        <v>17</v>
      </c>
      <c r="O75" s="5" t="str" cm="1">
        <f t="array" ref="O75">_xlfn.LET(_xlpm.y,Clean_Data[[#This Row],[Year_Num]],_xlfn.IFS(_xlpm.y&lt;500,"Ancient",_xlpm.y&lt;1500,"Medieval",_xlpm.y&lt;1800,"Early Modern",_xlpm.y&lt;1946,"Modern",TRUE,"Contemporary"))</f>
        <v>Early Modern</v>
      </c>
      <c r="P75" s="5" t="str">
        <f>_xlfn.XLOOKUP(Clean_Data[[#This Row],[Country]],country_region[Country],country_region[Country_Standard],"Not found")</f>
        <v>India</v>
      </c>
      <c r="Q75" s="5" t="str">
        <f>_xlfn.XLOOKUP(Clean_Data[[#This Row],[Country]],country_region[Country],country_region[Region],"Not found")</f>
        <v>South Asia</v>
      </c>
      <c r="R75" s="5" t="str">
        <f>_xlfn.XLOOKUP(Clean_Data[[#This Row],[Type of Event]],event_type_category[Type of Event],event_type_category[Category],"Not found")</f>
        <v>Culture, Religion &amp; Sport</v>
      </c>
    </row>
    <row r="76" spans="1:18">
      <c r="A76">
        <v>84</v>
      </c>
      <c r="B76" t="s">
        <v>471</v>
      </c>
      <c r="E76" t="s">
        <v>472</v>
      </c>
      <c r="F76" t="s">
        <v>15</v>
      </c>
      <c r="G76" t="s">
        <v>473</v>
      </c>
      <c r="H76" t="s">
        <v>132</v>
      </c>
      <c r="I76" t="s">
        <v>4841</v>
      </c>
      <c r="J76" t="s">
        <v>475</v>
      </c>
      <c r="K76" t="s">
        <v>476</v>
      </c>
      <c r="L76" t="s">
        <v>21</v>
      </c>
      <c r="M76">
        <v>1585</v>
      </c>
      <c r="N76" s="5">
        <f>ROUNDUP(Clean_Data[[#This Row],[Year_Num]]/100,0)</f>
        <v>16</v>
      </c>
      <c r="O76" s="5" t="str" cm="1">
        <f t="array" ref="O76">_xlfn.LET(_xlpm.y,Clean_Data[[#This Row],[Year_Num]],_xlfn.IFS(_xlpm.y&lt;500,"Ancient",_xlpm.y&lt;1500,"Medieval",_xlpm.y&lt;1800,"Early Modern",_xlpm.y&lt;1946,"Modern",TRUE,"Contemporary"))</f>
        <v>Early Modern</v>
      </c>
      <c r="P76" s="5" t="str">
        <f>_xlfn.XLOOKUP(Clean_Data[[#This Row],[Country]],country_region[Country],country_region[Country_Standard],"Not found")</f>
        <v>India</v>
      </c>
      <c r="Q76" s="5" t="str">
        <f>_xlfn.XLOOKUP(Clean_Data[[#This Row],[Country]],country_region[Country],country_region[Region],"Not found")</f>
        <v>South Asia</v>
      </c>
      <c r="R76" s="5" t="str">
        <f>_xlfn.XLOOKUP(Clean_Data[[#This Row],[Type of Event]],event_type_category[Type of Event],event_type_category[Category],"Not found")</f>
        <v>Culture, Religion &amp; Sport</v>
      </c>
    </row>
    <row r="77" spans="1:18">
      <c r="A77">
        <v>85</v>
      </c>
      <c r="B77" t="s">
        <v>477</v>
      </c>
      <c r="C77" t="s">
        <v>335</v>
      </c>
      <c r="D77" t="s">
        <v>57</v>
      </c>
      <c r="E77" t="s">
        <v>58</v>
      </c>
      <c r="F77" t="s">
        <v>478</v>
      </c>
      <c r="G77" t="s">
        <v>479</v>
      </c>
      <c r="H77" t="s">
        <v>478</v>
      </c>
      <c r="I77" t="s">
        <v>480</v>
      </c>
      <c r="J77" t="s">
        <v>481</v>
      </c>
      <c r="K77" t="s">
        <v>482</v>
      </c>
      <c r="L77" t="s">
        <v>21</v>
      </c>
      <c r="M77">
        <v>1947</v>
      </c>
      <c r="N77" s="5">
        <f>ROUNDUP(Clean_Data[[#This Row],[Year_Num]]/100,0)</f>
        <v>20</v>
      </c>
      <c r="O77" s="5" t="str" cm="1">
        <f t="array" ref="O77">_xlfn.LET(_xlpm.y,Clean_Data[[#This Row],[Year_Num]],_xlfn.IFS(_xlpm.y&lt;500,"Ancient",_xlpm.y&lt;1500,"Medieval",_xlpm.y&lt;1800,"Early Modern",_xlpm.y&lt;1946,"Modern",TRUE,"Contemporary"))</f>
        <v>Contemporary</v>
      </c>
      <c r="P77" s="5" t="str">
        <f>_xlfn.XLOOKUP(Clean_Data[[#This Row],[Country]],country_region[Country],country_region[Country_Standard],"Not found")</f>
        <v>Pakistan</v>
      </c>
      <c r="Q77" s="5" t="str">
        <f>_xlfn.XLOOKUP(Clean_Data[[#This Row],[Country]],country_region[Country],country_region[Region],"Not found")</f>
        <v>South Asia</v>
      </c>
      <c r="R77" s="5" t="str">
        <f>_xlfn.XLOOKUP(Clean_Data[[#This Row],[Type of Event]],event_type_category[Type of Event],event_type_category[Category],"Not found")</f>
        <v>Independence &amp; Nation-Building</v>
      </c>
    </row>
    <row r="78" spans="1:18">
      <c r="A78">
        <v>86</v>
      </c>
      <c r="B78" t="s">
        <v>4842</v>
      </c>
      <c r="C78" t="s">
        <v>325</v>
      </c>
      <c r="D78" t="s">
        <v>158</v>
      </c>
      <c r="E78" t="s">
        <v>58</v>
      </c>
      <c r="F78" t="s">
        <v>478</v>
      </c>
      <c r="G78" t="s">
        <v>138</v>
      </c>
      <c r="H78" t="s">
        <v>484</v>
      </c>
      <c r="I78" t="s">
        <v>485</v>
      </c>
      <c r="J78" t="s">
        <v>486</v>
      </c>
      <c r="K78" t="s">
        <v>487</v>
      </c>
      <c r="L78" t="s">
        <v>54</v>
      </c>
      <c r="M78">
        <v>1947</v>
      </c>
      <c r="N78" s="5">
        <f>ROUNDUP(Clean_Data[[#This Row],[Year_Num]]/100,0)</f>
        <v>20</v>
      </c>
      <c r="O78" s="5" t="str" cm="1">
        <f t="array" ref="O78">_xlfn.LET(_xlpm.y,Clean_Data[[#This Row],[Year_Num]],_xlfn.IFS(_xlpm.y&lt;500,"Ancient",_xlpm.y&lt;1500,"Medieval",_xlpm.y&lt;1800,"Early Modern",_xlpm.y&lt;1946,"Modern",TRUE,"Contemporary"))</f>
        <v>Contemporary</v>
      </c>
      <c r="P78" s="5" t="str">
        <f>_xlfn.XLOOKUP(Clean_Data[[#This Row],[Country]],country_region[Country],country_region[Country_Standard],"Not found")</f>
        <v>Pakistan</v>
      </c>
      <c r="Q78" s="5" t="str">
        <f>_xlfn.XLOOKUP(Clean_Data[[#This Row],[Country]],country_region[Country],country_region[Region],"Not found")</f>
        <v>South Asia</v>
      </c>
      <c r="R78" s="5" t="str">
        <f>_xlfn.XLOOKUP(Clean_Data[[#This Row],[Type of Event]],event_type_category[Type of Event],event_type_category[Category],"Not found")</f>
        <v>War &amp; Conflict</v>
      </c>
    </row>
    <row r="79" spans="1:18">
      <c r="A79">
        <v>87</v>
      </c>
      <c r="B79" t="s">
        <v>488</v>
      </c>
      <c r="C79" t="s">
        <v>246</v>
      </c>
      <c r="D79" t="s">
        <v>286</v>
      </c>
      <c r="E79" t="s">
        <v>58</v>
      </c>
      <c r="F79" t="s">
        <v>478</v>
      </c>
      <c r="G79" t="s">
        <v>489</v>
      </c>
      <c r="H79" t="s">
        <v>490</v>
      </c>
      <c r="I79" t="s">
        <v>491</v>
      </c>
      <c r="J79" t="s">
        <v>345</v>
      </c>
      <c r="K79" t="s">
        <v>492</v>
      </c>
      <c r="L79" t="s">
        <v>21</v>
      </c>
      <c r="M79">
        <v>1947</v>
      </c>
      <c r="N79" s="5">
        <f>ROUNDUP(Clean_Data[[#This Row],[Year_Num]]/100,0)</f>
        <v>20</v>
      </c>
      <c r="O79" s="5" t="str" cm="1">
        <f t="array" ref="O79">_xlfn.LET(_xlpm.y,Clean_Data[[#This Row],[Year_Num]],_xlfn.IFS(_xlpm.y&lt;500,"Ancient",_xlpm.y&lt;1500,"Medieval",_xlpm.y&lt;1800,"Early Modern",_xlpm.y&lt;1946,"Modern",TRUE,"Contemporary"))</f>
        <v>Contemporary</v>
      </c>
      <c r="P79" s="5" t="str">
        <f>_xlfn.XLOOKUP(Clean_Data[[#This Row],[Country]],country_region[Country],country_region[Country_Standard],"Not found")</f>
        <v>Pakistan</v>
      </c>
      <c r="Q79" s="5" t="str">
        <f>_xlfn.XLOOKUP(Clean_Data[[#This Row],[Country]],country_region[Country],country_region[Region],"Not found")</f>
        <v>South Asia</v>
      </c>
      <c r="R79" s="5" t="str">
        <f>_xlfn.XLOOKUP(Clean_Data[[#This Row],[Type of Event]],event_type_category[Type of Event],event_type_category[Category],"Not found")</f>
        <v>Diplomacy &amp; International Relations</v>
      </c>
    </row>
    <row r="80" spans="1:18">
      <c r="A80">
        <v>88</v>
      </c>
      <c r="B80" t="s">
        <v>493</v>
      </c>
      <c r="C80" t="s">
        <v>99</v>
      </c>
      <c r="D80" t="s">
        <v>267</v>
      </c>
      <c r="E80" t="s">
        <v>494</v>
      </c>
      <c r="F80" t="s">
        <v>478</v>
      </c>
      <c r="G80" t="s">
        <v>495</v>
      </c>
      <c r="H80" t="s">
        <v>478</v>
      </c>
      <c r="I80" t="s">
        <v>496</v>
      </c>
      <c r="J80" t="s">
        <v>497</v>
      </c>
      <c r="K80" t="s">
        <v>498</v>
      </c>
      <c r="L80" t="s">
        <v>21</v>
      </c>
      <c r="M80">
        <v>1956</v>
      </c>
      <c r="N80" s="5">
        <f>ROUNDUP(Clean_Data[[#This Row],[Year_Num]]/100,0)</f>
        <v>20</v>
      </c>
      <c r="O80" s="5" t="str" cm="1">
        <f t="array" ref="O80">_xlfn.LET(_xlpm.y,Clean_Data[[#This Row],[Year_Num]],_xlfn.IFS(_xlpm.y&lt;500,"Ancient",_xlpm.y&lt;1500,"Medieval",_xlpm.y&lt;1800,"Early Modern",_xlpm.y&lt;1946,"Modern",TRUE,"Contemporary"))</f>
        <v>Contemporary</v>
      </c>
      <c r="P80" s="5" t="str">
        <f>_xlfn.XLOOKUP(Clean_Data[[#This Row],[Country]],country_region[Country],country_region[Country_Standard],"Not found")</f>
        <v>Pakistan</v>
      </c>
      <c r="Q80" s="5" t="str">
        <f>_xlfn.XLOOKUP(Clean_Data[[#This Row],[Country]],country_region[Country],country_region[Region],"Not found")</f>
        <v>South Asia</v>
      </c>
      <c r="R80" s="5" t="str">
        <f>_xlfn.XLOOKUP(Clean_Data[[#This Row],[Type of Event]],event_type_category[Type of Event],event_type_category[Category],"Not found")</f>
        <v>Politics &amp; Law</v>
      </c>
    </row>
    <row r="81" spans="1:18">
      <c r="A81">
        <v>89</v>
      </c>
      <c r="B81" t="s">
        <v>499</v>
      </c>
      <c r="C81" t="s">
        <v>115</v>
      </c>
      <c r="D81" t="s">
        <v>267</v>
      </c>
      <c r="E81" t="s">
        <v>67</v>
      </c>
      <c r="F81" t="s">
        <v>478</v>
      </c>
      <c r="G81" t="s">
        <v>500</v>
      </c>
      <c r="H81" t="s">
        <v>501</v>
      </c>
      <c r="I81" t="s">
        <v>502</v>
      </c>
      <c r="J81" t="s">
        <v>503</v>
      </c>
      <c r="K81" t="s">
        <v>504</v>
      </c>
      <c r="L81" t="s">
        <v>36</v>
      </c>
      <c r="M81">
        <v>1971</v>
      </c>
      <c r="N81" s="5">
        <f>ROUNDUP(Clean_Data[[#This Row],[Year_Num]]/100,0)</f>
        <v>20</v>
      </c>
      <c r="O81" s="5" t="str" cm="1">
        <f t="array" ref="O81">_xlfn.LET(_xlpm.y,Clean_Data[[#This Row],[Year_Num]],_xlfn.IFS(_xlpm.y&lt;500,"Ancient",_xlpm.y&lt;1500,"Medieval",_xlpm.y&lt;1800,"Early Modern",_xlpm.y&lt;1946,"Modern",TRUE,"Contemporary"))</f>
        <v>Contemporary</v>
      </c>
      <c r="P81" s="5" t="str">
        <f>_xlfn.XLOOKUP(Clean_Data[[#This Row],[Country]],country_region[Country],country_region[Country_Standard],"Not found")</f>
        <v>Pakistan</v>
      </c>
      <c r="Q81" s="5" t="str">
        <f>_xlfn.XLOOKUP(Clean_Data[[#This Row],[Country]],country_region[Country],country_region[Region],"Not found")</f>
        <v>South Asia</v>
      </c>
      <c r="R81" s="5" t="str">
        <f>_xlfn.XLOOKUP(Clean_Data[[#This Row],[Type of Event]],event_type_category[Type of Event],event_type_category[Category],"Not found")</f>
        <v>Politics &amp; Law</v>
      </c>
    </row>
    <row r="82" spans="1:18">
      <c r="A82">
        <v>90</v>
      </c>
      <c r="B82" t="s">
        <v>505</v>
      </c>
      <c r="C82" t="s">
        <v>150</v>
      </c>
      <c r="D82" t="s">
        <v>66</v>
      </c>
      <c r="E82" t="s">
        <v>67</v>
      </c>
      <c r="F82" t="s">
        <v>478</v>
      </c>
      <c r="G82" t="s">
        <v>479</v>
      </c>
      <c r="H82" t="s">
        <v>506</v>
      </c>
      <c r="I82" t="s">
        <v>507</v>
      </c>
      <c r="J82" t="s">
        <v>508</v>
      </c>
      <c r="K82" t="s">
        <v>509</v>
      </c>
      <c r="L82" t="s">
        <v>36</v>
      </c>
      <c r="M82">
        <v>1971</v>
      </c>
      <c r="N82" s="5">
        <f>ROUNDUP(Clean_Data[[#This Row],[Year_Num]]/100,0)</f>
        <v>20</v>
      </c>
      <c r="O82" s="5" t="str" cm="1">
        <f t="array" ref="O82">_xlfn.LET(_xlpm.y,Clean_Data[[#This Row],[Year_Num]],_xlfn.IFS(_xlpm.y&lt;500,"Ancient",_xlpm.y&lt;1500,"Medieval",_xlpm.y&lt;1800,"Early Modern",_xlpm.y&lt;1946,"Modern",TRUE,"Contemporary"))</f>
        <v>Contemporary</v>
      </c>
      <c r="P82" s="5" t="str">
        <f>_xlfn.XLOOKUP(Clean_Data[[#This Row],[Country]],country_region[Country],country_region[Country_Standard],"Not found")</f>
        <v>Pakistan</v>
      </c>
      <c r="Q82" s="5" t="str">
        <f>_xlfn.XLOOKUP(Clean_Data[[#This Row],[Country]],country_region[Country],country_region[Region],"Not found")</f>
        <v>South Asia</v>
      </c>
      <c r="R82" s="5" t="str">
        <f>_xlfn.XLOOKUP(Clean_Data[[#This Row],[Type of Event]],event_type_category[Type of Event],event_type_category[Category],"Not found")</f>
        <v>Independence &amp; Nation-Building</v>
      </c>
    </row>
    <row r="83" spans="1:18">
      <c r="A83">
        <v>91</v>
      </c>
      <c r="B83" t="s">
        <v>4843</v>
      </c>
      <c r="C83" t="s">
        <v>362</v>
      </c>
      <c r="D83" t="s">
        <v>47</v>
      </c>
      <c r="E83" t="s">
        <v>75</v>
      </c>
      <c r="F83" t="s">
        <v>478</v>
      </c>
      <c r="G83" t="s">
        <v>76</v>
      </c>
      <c r="H83" t="s">
        <v>511</v>
      </c>
      <c r="I83" t="s">
        <v>512</v>
      </c>
      <c r="J83" t="s">
        <v>79</v>
      </c>
      <c r="K83" t="s">
        <v>492</v>
      </c>
      <c r="L83" t="s">
        <v>36</v>
      </c>
      <c r="M83">
        <v>1998</v>
      </c>
      <c r="N83" s="5">
        <f>ROUNDUP(Clean_Data[[#This Row],[Year_Num]]/100,0)</f>
        <v>20</v>
      </c>
      <c r="O83" s="5" t="str" cm="1">
        <f t="array" ref="O83">_xlfn.LET(_xlpm.y,Clean_Data[[#This Row],[Year_Num]],_xlfn.IFS(_xlpm.y&lt;500,"Ancient",_xlpm.y&lt;1500,"Medieval",_xlpm.y&lt;1800,"Early Modern",_xlpm.y&lt;1946,"Modern",TRUE,"Contemporary"))</f>
        <v>Contemporary</v>
      </c>
      <c r="P83" s="5" t="str">
        <f>_xlfn.XLOOKUP(Clean_Data[[#This Row],[Country]],country_region[Country],country_region[Country_Standard],"Not found")</f>
        <v>Pakistan</v>
      </c>
      <c r="Q83" s="5" t="str">
        <f>_xlfn.XLOOKUP(Clean_Data[[#This Row],[Country]],country_region[Country],country_region[Region],"Not found")</f>
        <v>South Asia</v>
      </c>
      <c r="R83" s="5" t="str">
        <f>_xlfn.XLOOKUP(Clean_Data[[#This Row],[Type of Event]],event_type_category[Type of Event],event_type_category[Category],"Not found")</f>
        <v>War &amp; Conflict</v>
      </c>
    </row>
    <row r="84" spans="1:18">
      <c r="A84">
        <v>92</v>
      </c>
      <c r="B84" t="s">
        <v>513</v>
      </c>
      <c r="E84" t="s">
        <v>137</v>
      </c>
      <c r="F84" t="s">
        <v>478</v>
      </c>
      <c r="G84" t="s">
        <v>138</v>
      </c>
      <c r="H84" t="s">
        <v>514</v>
      </c>
      <c r="I84" t="s">
        <v>515</v>
      </c>
      <c r="J84" t="s">
        <v>516</v>
      </c>
      <c r="K84" t="s">
        <v>487</v>
      </c>
      <c r="L84" t="s">
        <v>54</v>
      </c>
      <c r="M84">
        <v>1999</v>
      </c>
      <c r="N84" s="5">
        <f>ROUNDUP(Clean_Data[[#This Row],[Year_Num]]/100,0)</f>
        <v>20</v>
      </c>
      <c r="O84" s="5" t="str" cm="1">
        <f t="array" ref="O84">_xlfn.LET(_xlpm.y,Clean_Data[[#This Row],[Year_Num]],_xlfn.IFS(_xlpm.y&lt;500,"Ancient",_xlpm.y&lt;1500,"Medieval",_xlpm.y&lt;1800,"Early Modern",_xlpm.y&lt;1946,"Modern",TRUE,"Contemporary"))</f>
        <v>Contemporary</v>
      </c>
      <c r="P84" s="5" t="str">
        <f>_xlfn.XLOOKUP(Clean_Data[[#This Row],[Country]],country_region[Country],country_region[Country_Standard],"Not found")</f>
        <v>Pakistan</v>
      </c>
      <c r="Q84" s="5" t="str">
        <f>_xlfn.XLOOKUP(Clean_Data[[#This Row],[Country]],country_region[Country],country_region[Region],"Not found")</f>
        <v>South Asia</v>
      </c>
      <c r="R84" s="5" t="str">
        <f>_xlfn.XLOOKUP(Clean_Data[[#This Row],[Type of Event]],event_type_category[Type of Event],event_type_category[Category],"Not found")</f>
        <v>War &amp; Conflict</v>
      </c>
    </row>
    <row r="85" spans="1:18">
      <c r="A85">
        <v>93</v>
      </c>
      <c r="B85" t="s">
        <v>517</v>
      </c>
      <c r="C85" t="s">
        <v>298</v>
      </c>
      <c r="D85" t="s">
        <v>158</v>
      </c>
      <c r="E85" t="s">
        <v>144</v>
      </c>
      <c r="F85" t="s">
        <v>478</v>
      </c>
      <c r="G85" t="s">
        <v>280</v>
      </c>
      <c r="H85" t="s">
        <v>518</v>
      </c>
      <c r="I85" t="s">
        <v>519</v>
      </c>
      <c r="J85" t="s">
        <v>486</v>
      </c>
      <c r="K85" t="s">
        <v>520</v>
      </c>
      <c r="L85" t="s">
        <v>54</v>
      </c>
      <c r="M85">
        <v>2005</v>
      </c>
      <c r="N85" s="5">
        <f>ROUNDUP(Clean_Data[[#This Row],[Year_Num]]/100,0)</f>
        <v>21</v>
      </c>
      <c r="O85" s="5" t="str" cm="1">
        <f t="array" ref="O85">_xlfn.LET(_xlpm.y,Clean_Data[[#This Row],[Year_Num]],_xlfn.IFS(_xlpm.y&lt;500,"Ancient",_xlpm.y&lt;1500,"Medieval",_xlpm.y&lt;1800,"Early Modern",_xlpm.y&lt;1946,"Modern",TRUE,"Contemporary"))</f>
        <v>Contemporary</v>
      </c>
      <c r="P85" s="5" t="str">
        <f>_xlfn.XLOOKUP(Clean_Data[[#This Row],[Country]],country_region[Country],country_region[Country_Standard],"Not found")</f>
        <v>Pakistan</v>
      </c>
      <c r="Q85" s="5" t="str">
        <f>_xlfn.XLOOKUP(Clean_Data[[#This Row],[Country]],country_region[Country],country_region[Region],"Not found")</f>
        <v>South Asia</v>
      </c>
      <c r="R85" s="5" t="str">
        <f>_xlfn.XLOOKUP(Clean_Data[[#This Row],[Type of Event]],event_type_category[Type of Event],event_type_category[Category],"Not found")</f>
        <v>Disasters &amp; Accidents</v>
      </c>
    </row>
    <row r="86" spans="1:18">
      <c r="A86">
        <v>94</v>
      </c>
      <c r="B86" t="s">
        <v>521</v>
      </c>
      <c r="C86" t="s">
        <v>522</v>
      </c>
      <c r="D86" t="s">
        <v>66</v>
      </c>
      <c r="E86" t="s">
        <v>294</v>
      </c>
      <c r="F86" t="s">
        <v>478</v>
      </c>
      <c r="G86" t="s">
        <v>31</v>
      </c>
      <c r="H86" t="s">
        <v>523</v>
      </c>
      <c r="I86" t="s">
        <v>524</v>
      </c>
      <c r="J86" t="s">
        <v>497</v>
      </c>
      <c r="K86" t="s">
        <v>525</v>
      </c>
      <c r="L86" t="s">
        <v>54</v>
      </c>
      <c r="M86">
        <v>2007</v>
      </c>
      <c r="N86" s="5">
        <f>ROUNDUP(Clean_Data[[#This Row],[Year_Num]]/100,0)</f>
        <v>21</v>
      </c>
      <c r="O86" s="5" t="str" cm="1">
        <f t="array" ref="O86">_xlfn.LET(_xlpm.y,Clean_Data[[#This Row],[Year_Num]],_xlfn.IFS(_xlpm.y&lt;500,"Ancient",_xlpm.y&lt;1500,"Medieval",_xlpm.y&lt;1800,"Early Modern",_xlpm.y&lt;1946,"Modern",TRUE,"Contemporary"))</f>
        <v>Contemporary</v>
      </c>
      <c r="P86" s="5" t="str">
        <f>_xlfn.XLOOKUP(Clean_Data[[#This Row],[Country]],country_region[Country],country_region[Country_Standard],"Not found")</f>
        <v>Pakistan</v>
      </c>
      <c r="Q86" s="5" t="str">
        <f>_xlfn.XLOOKUP(Clean_Data[[#This Row],[Country]],country_region[Country],country_region[Region],"Not found")</f>
        <v>South Asia</v>
      </c>
      <c r="R86" s="5" t="str">
        <f>_xlfn.XLOOKUP(Clean_Data[[#This Row],[Type of Event]],event_type_category[Type of Event],event_type_category[Category],"Not found")</f>
        <v>Politics &amp; Law</v>
      </c>
    </row>
    <row r="87" spans="1:18">
      <c r="A87">
        <v>95</v>
      </c>
      <c r="B87" t="s">
        <v>4844</v>
      </c>
      <c r="C87" t="s">
        <v>56</v>
      </c>
      <c r="D87" t="s">
        <v>100</v>
      </c>
      <c r="E87" t="s">
        <v>287</v>
      </c>
      <c r="F87" t="s">
        <v>478</v>
      </c>
      <c r="G87" t="s">
        <v>131</v>
      </c>
      <c r="H87" t="s">
        <v>527</v>
      </c>
      <c r="I87" t="s">
        <v>528</v>
      </c>
      <c r="J87" t="s">
        <v>529</v>
      </c>
      <c r="K87" t="s">
        <v>530</v>
      </c>
      <c r="L87" t="s">
        <v>21</v>
      </c>
      <c r="M87">
        <v>2014</v>
      </c>
      <c r="N87" s="5">
        <f>ROUNDUP(Clean_Data[[#This Row],[Year_Num]]/100,0)</f>
        <v>21</v>
      </c>
      <c r="O87" s="5" t="str" cm="1">
        <f t="array" ref="O87">_xlfn.LET(_xlpm.y,Clean_Data[[#This Row],[Year_Num]],_xlfn.IFS(_xlpm.y&lt;500,"Ancient",_xlpm.y&lt;1500,"Medieval",_xlpm.y&lt;1800,"Early Modern",_xlpm.y&lt;1946,"Modern",TRUE,"Contemporary"))</f>
        <v>Contemporary</v>
      </c>
      <c r="P87" s="5" t="str">
        <f>_xlfn.XLOOKUP(Clean_Data[[#This Row],[Country]],country_region[Country],country_region[Country_Standard],"Not found")</f>
        <v>Pakistan</v>
      </c>
      <c r="Q87" s="5" t="str">
        <f>_xlfn.XLOOKUP(Clean_Data[[#This Row],[Country]],country_region[Country],country_region[Region],"Not found")</f>
        <v>South Asia</v>
      </c>
      <c r="R87" s="5" t="str">
        <f>_xlfn.XLOOKUP(Clean_Data[[#This Row],[Type of Event]],event_type_category[Type of Event],event_type_category[Category],"Not found")</f>
        <v>War &amp; Conflict</v>
      </c>
    </row>
    <row r="88" spans="1:18">
      <c r="A88">
        <v>96</v>
      </c>
      <c r="B88" t="s">
        <v>531</v>
      </c>
      <c r="C88" t="s">
        <v>150</v>
      </c>
      <c r="D88" t="s">
        <v>66</v>
      </c>
      <c r="E88" t="s">
        <v>287</v>
      </c>
      <c r="F88" t="s">
        <v>478</v>
      </c>
      <c r="G88" t="s">
        <v>85</v>
      </c>
      <c r="H88" t="s">
        <v>532</v>
      </c>
      <c r="I88" t="s">
        <v>533</v>
      </c>
      <c r="J88" t="s">
        <v>534</v>
      </c>
      <c r="K88" t="s">
        <v>4845</v>
      </c>
      <c r="L88" t="s">
        <v>54</v>
      </c>
      <c r="M88">
        <v>2014</v>
      </c>
      <c r="N88" s="5">
        <f>ROUNDUP(Clean_Data[[#This Row],[Year_Num]]/100,0)</f>
        <v>21</v>
      </c>
      <c r="O88" s="5" t="str" cm="1">
        <f t="array" ref="O88">_xlfn.LET(_xlpm.y,Clean_Data[[#This Row],[Year_Num]],_xlfn.IFS(_xlpm.y&lt;500,"Ancient",_xlpm.y&lt;1500,"Medieval",_xlpm.y&lt;1800,"Early Modern",_xlpm.y&lt;1946,"Modern",TRUE,"Contemporary"))</f>
        <v>Contemporary</v>
      </c>
      <c r="P88" s="5" t="str">
        <f>_xlfn.XLOOKUP(Clean_Data[[#This Row],[Country]],country_region[Country],country_region[Country_Standard],"Not found")</f>
        <v>Pakistan</v>
      </c>
      <c r="Q88" s="5" t="str">
        <f>_xlfn.XLOOKUP(Clean_Data[[#This Row],[Country]],country_region[Country],country_region[Region],"Not found")</f>
        <v>South Asia</v>
      </c>
      <c r="R88" s="5" t="str">
        <f>_xlfn.XLOOKUP(Clean_Data[[#This Row],[Type of Event]],event_type_category[Type of Event],event_type_category[Category],"Not found")</f>
        <v>War &amp; Conflict</v>
      </c>
    </row>
    <row r="89" spans="1:18">
      <c r="A89">
        <v>97</v>
      </c>
      <c r="B89" t="s">
        <v>4846</v>
      </c>
      <c r="C89" t="s">
        <v>91</v>
      </c>
      <c r="D89" t="s">
        <v>39</v>
      </c>
      <c r="E89" t="s">
        <v>341</v>
      </c>
      <c r="F89" t="s">
        <v>478</v>
      </c>
      <c r="G89" t="s">
        <v>537</v>
      </c>
      <c r="H89" t="s">
        <v>478</v>
      </c>
      <c r="I89" t="s">
        <v>538</v>
      </c>
      <c r="J89" t="s">
        <v>497</v>
      </c>
      <c r="K89" t="s">
        <v>539</v>
      </c>
      <c r="L89" t="s">
        <v>21</v>
      </c>
      <c r="M89">
        <v>2015</v>
      </c>
      <c r="N89" s="5">
        <f>ROUNDUP(Clean_Data[[#This Row],[Year_Num]]/100,0)</f>
        <v>21</v>
      </c>
      <c r="O89" s="5" t="str" cm="1">
        <f t="array" ref="O89">_xlfn.LET(_xlpm.y,Clean_Data[[#This Row],[Year_Num]],_xlfn.IFS(_xlpm.y&lt;500,"Ancient",_xlpm.y&lt;1500,"Medieval",_xlpm.y&lt;1800,"Early Modern",_xlpm.y&lt;1946,"Modern",TRUE,"Contemporary"))</f>
        <v>Contemporary</v>
      </c>
      <c r="P89" s="5" t="str">
        <f>_xlfn.XLOOKUP(Clean_Data[[#This Row],[Country]],country_region[Country],country_region[Country_Standard],"Not found")</f>
        <v>Pakistan</v>
      </c>
      <c r="Q89" s="5" t="str">
        <f>_xlfn.XLOOKUP(Clean_Data[[#This Row],[Country]],country_region[Country],country_region[Region],"Not found")</f>
        <v>South Asia</v>
      </c>
      <c r="R89" s="5" t="str">
        <f>_xlfn.XLOOKUP(Clean_Data[[#This Row],[Type of Event]],event_type_category[Type of Event],event_type_category[Category],"Not found")</f>
        <v>Economy &amp; Infrastructure</v>
      </c>
    </row>
    <row r="90" spans="1:18">
      <c r="A90">
        <v>98</v>
      </c>
      <c r="B90" t="s">
        <v>540</v>
      </c>
      <c r="C90" t="s">
        <v>362</v>
      </c>
      <c r="D90" t="s">
        <v>211</v>
      </c>
      <c r="E90" t="s">
        <v>348</v>
      </c>
      <c r="F90" t="s">
        <v>478</v>
      </c>
      <c r="G90" t="s">
        <v>541</v>
      </c>
      <c r="H90" t="s">
        <v>542</v>
      </c>
      <c r="I90" t="s">
        <v>543</v>
      </c>
      <c r="J90" t="s">
        <v>497</v>
      </c>
      <c r="K90" t="s">
        <v>544</v>
      </c>
      <c r="L90" t="s">
        <v>36</v>
      </c>
      <c r="M90">
        <v>2017</v>
      </c>
      <c r="N90" s="5">
        <f>ROUNDUP(Clean_Data[[#This Row],[Year_Num]]/100,0)</f>
        <v>21</v>
      </c>
      <c r="O90" s="5" t="str" cm="1">
        <f t="array" ref="O90">_xlfn.LET(_xlpm.y,Clean_Data[[#This Row],[Year_Num]],_xlfn.IFS(_xlpm.y&lt;500,"Ancient",_xlpm.y&lt;1500,"Medieval",_xlpm.y&lt;1800,"Early Modern",_xlpm.y&lt;1946,"Modern",TRUE,"Contemporary"))</f>
        <v>Contemporary</v>
      </c>
      <c r="P90" s="5" t="str">
        <f>_xlfn.XLOOKUP(Clean_Data[[#This Row],[Country]],country_region[Country],country_region[Country_Standard],"Not found")</f>
        <v>Pakistan</v>
      </c>
      <c r="Q90" s="5" t="str">
        <f>_xlfn.XLOOKUP(Clean_Data[[#This Row],[Country]],country_region[Country],country_region[Region],"Not found")</f>
        <v>South Asia</v>
      </c>
      <c r="R90" s="5" t="str">
        <f>_xlfn.XLOOKUP(Clean_Data[[#This Row],[Type of Event]],event_type_category[Type of Event],event_type_category[Category],"Not found")</f>
        <v>Politics &amp; Law</v>
      </c>
    </row>
    <row r="91" spans="1:18">
      <c r="A91">
        <v>99</v>
      </c>
      <c r="B91" t="s">
        <v>545</v>
      </c>
      <c r="C91" t="s">
        <v>240</v>
      </c>
      <c r="D91" t="s">
        <v>83</v>
      </c>
      <c r="E91" t="s">
        <v>235</v>
      </c>
      <c r="F91" t="s">
        <v>478</v>
      </c>
      <c r="G91" t="s">
        <v>546</v>
      </c>
      <c r="H91" t="s">
        <v>547</v>
      </c>
      <c r="I91" t="s">
        <v>4847</v>
      </c>
      <c r="J91" t="s">
        <v>134</v>
      </c>
      <c r="K91" t="s">
        <v>549</v>
      </c>
      <c r="L91" t="s">
        <v>21</v>
      </c>
      <c r="M91">
        <v>2019</v>
      </c>
      <c r="N91" s="5">
        <f>ROUNDUP(Clean_Data[[#This Row],[Year_Num]]/100,0)</f>
        <v>21</v>
      </c>
      <c r="O91" s="5" t="str" cm="1">
        <f t="array" ref="O91">_xlfn.LET(_xlpm.y,Clean_Data[[#This Row],[Year_Num]],_xlfn.IFS(_xlpm.y&lt;500,"Ancient",_xlpm.y&lt;1500,"Medieval",_xlpm.y&lt;1800,"Early Modern",_xlpm.y&lt;1946,"Modern",TRUE,"Contemporary"))</f>
        <v>Contemporary</v>
      </c>
      <c r="P91" s="5" t="str">
        <f>_xlfn.XLOOKUP(Clean_Data[[#This Row],[Country]],country_region[Country],country_region[Country_Standard],"Not found")</f>
        <v>Pakistan</v>
      </c>
      <c r="Q91" s="5" t="str">
        <f>_xlfn.XLOOKUP(Clean_Data[[#This Row],[Country]],country_region[Country],country_region[Region],"Not found")</f>
        <v>South Asia</v>
      </c>
      <c r="R91" s="5" t="str">
        <f>_xlfn.XLOOKUP(Clean_Data[[#This Row],[Type of Event]],event_type_category[Type of Event],event_type_category[Category],"Not found")</f>
        <v>Diplomacy &amp; International Relations</v>
      </c>
    </row>
    <row r="92" spans="1:18">
      <c r="A92">
        <v>100</v>
      </c>
      <c r="B92" t="s">
        <v>550</v>
      </c>
      <c r="E92" t="s">
        <v>174</v>
      </c>
      <c r="F92" t="s">
        <v>478</v>
      </c>
      <c r="G92" t="s">
        <v>551</v>
      </c>
      <c r="H92" t="s">
        <v>343</v>
      </c>
      <c r="I92" t="s">
        <v>552</v>
      </c>
      <c r="J92" t="s">
        <v>553</v>
      </c>
      <c r="K92" t="s">
        <v>554</v>
      </c>
      <c r="L92" t="s">
        <v>54</v>
      </c>
      <c r="M92">
        <v>2018</v>
      </c>
      <c r="N92" s="5">
        <f>ROUNDUP(Clean_Data[[#This Row],[Year_Num]]/100,0)</f>
        <v>21</v>
      </c>
      <c r="O92" s="5" t="str" cm="1">
        <f t="array" ref="O92">_xlfn.LET(_xlpm.y,Clean_Data[[#This Row],[Year_Num]],_xlfn.IFS(_xlpm.y&lt;500,"Ancient",_xlpm.y&lt;1500,"Medieval",_xlpm.y&lt;1800,"Early Modern",_xlpm.y&lt;1946,"Modern",TRUE,"Contemporary"))</f>
        <v>Contemporary</v>
      </c>
      <c r="P92" s="5" t="str">
        <f>_xlfn.XLOOKUP(Clean_Data[[#This Row],[Country]],country_region[Country],country_region[Country_Standard],"Not found")</f>
        <v>Pakistan</v>
      </c>
      <c r="Q92" s="5" t="str">
        <f>_xlfn.XLOOKUP(Clean_Data[[#This Row],[Country]],country_region[Country],country_region[Region],"Not found")</f>
        <v>South Asia</v>
      </c>
      <c r="R92" s="5" t="str">
        <f>_xlfn.XLOOKUP(Clean_Data[[#This Row],[Type of Event]],event_type_category[Type of Event],event_type_category[Category],"Not found")</f>
        <v>Economy &amp; Infrastructure</v>
      </c>
    </row>
    <row r="93" spans="1:18">
      <c r="A93">
        <v>101</v>
      </c>
      <c r="B93" t="s">
        <v>555</v>
      </c>
      <c r="C93" t="s">
        <v>195</v>
      </c>
      <c r="D93" t="s">
        <v>57</v>
      </c>
      <c r="E93" t="s">
        <v>174</v>
      </c>
      <c r="F93" t="s">
        <v>478</v>
      </c>
      <c r="G93" t="s">
        <v>31</v>
      </c>
      <c r="H93" t="s">
        <v>542</v>
      </c>
      <c r="I93" t="s">
        <v>556</v>
      </c>
      <c r="J93" t="s">
        <v>497</v>
      </c>
      <c r="K93" t="s">
        <v>4848</v>
      </c>
      <c r="L93" t="s">
        <v>21</v>
      </c>
      <c r="M93">
        <v>2018</v>
      </c>
      <c r="N93" s="5">
        <f>ROUNDUP(Clean_Data[[#This Row],[Year_Num]]/100,0)</f>
        <v>21</v>
      </c>
      <c r="O93" s="5" t="str" cm="1">
        <f t="array" ref="O93">_xlfn.LET(_xlpm.y,Clean_Data[[#This Row],[Year_Num]],_xlfn.IFS(_xlpm.y&lt;500,"Ancient",_xlpm.y&lt;1500,"Medieval",_xlpm.y&lt;1800,"Early Modern",_xlpm.y&lt;1946,"Modern",TRUE,"Contemporary"))</f>
        <v>Contemporary</v>
      </c>
      <c r="P93" s="5" t="str">
        <f>_xlfn.XLOOKUP(Clean_Data[[#This Row],[Country]],country_region[Country],country_region[Country_Standard],"Not found")</f>
        <v>Pakistan</v>
      </c>
      <c r="Q93" s="5" t="str">
        <f>_xlfn.XLOOKUP(Clean_Data[[#This Row],[Country]],country_region[Country],country_region[Region],"Not found")</f>
        <v>South Asia</v>
      </c>
      <c r="R93" s="5" t="str">
        <f>_xlfn.XLOOKUP(Clean_Data[[#This Row],[Type of Event]],event_type_category[Type of Event],event_type_category[Category],"Not found")</f>
        <v>Politics &amp; Law</v>
      </c>
    </row>
    <row r="94" spans="1:18">
      <c r="A94">
        <v>102</v>
      </c>
      <c r="B94" t="s">
        <v>558</v>
      </c>
      <c r="C94" t="s">
        <v>251</v>
      </c>
      <c r="D94" t="s">
        <v>47</v>
      </c>
      <c r="E94" t="s">
        <v>174</v>
      </c>
      <c r="F94" t="s">
        <v>478</v>
      </c>
      <c r="G94" t="s">
        <v>370</v>
      </c>
      <c r="H94" t="s">
        <v>559</v>
      </c>
      <c r="I94" t="s">
        <v>560</v>
      </c>
      <c r="J94" t="s">
        <v>561</v>
      </c>
      <c r="K94" t="s">
        <v>492</v>
      </c>
      <c r="L94" t="s">
        <v>21</v>
      </c>
      <c r="M94">
        <v>2018</v>
      </c>
      <c r="N94" s="5">
        <f>ROUNDUP(Clean_Data[[#This Row],[Year_Num]]/100,0)</f>
        <v>21</v>
      </c>
      <c r="O94" s="5" t="str" cm="1">
        <f t="array" ref="O94">_xlfn.LET(_xlpm.y,Clean_Data[[#This Row],[Year_Num]],_xlfn.IFS(_xlpm.y&lt;500,"Ancient",_xlpm.y&lt;1500,"Medieval",_xlpm.y&lt;1800,"Early Modern",_xlpm.y&lt;1946,"Modern",TRUE,"Contemporary"))</f>
        <v>Contemporary</v>
      </c>
      <c r="P94" s="5" t="str">
        <f>_xlfn.XLOOKUP(Clean_Data[[#This Row],[Country]],country_region[Country],country_region[Country_Standard],"Not found")</f>
        <v>Pakistan</v>
      </c>
      <c r="Q94" s="5" t="str">
        <f>_xlfn.XLOOKUP(Clean_Data[[#This Row],[Country]],country_region[Country],country_region[Region],"Not found")</f>
        <v>South Asia</v>
      </c>
      <c r="R94" s="5" t="str">
        <f>_xlfn.XLOOKUP(Clean_Data[[#This Row],[Type of Event]],event_type_category[Type of Event],event_type_category[Category],"Not found")</f>
        <v>Politics &amp; Law</v>
      </c>
    </row>
    <row r="95" spans="1:18">
      <c r="A95">
        <v>103</v>
      </c>
      <c r="B95" t="s">
        <v>4849</v>
      </c>
      <c r="C95" t="s">
        <v>335</v>
      </c>
      <c r="D95" t="s">
        <v>173</v>
      </c>
      <c r="E95" t="s">
        <v>235</v>
      </c>
      <c r="F95" t="s">
        <v>478</v>
      </c>
      <c r="G95" t="s">
        <v>563</v>
      </c>
      <c r="H95" t="s">
        <v>564</v>
      </c>
      <c r="I95" t="s">
        <v>4850</v>
      </c>
      <c r="J95" t="s">
        <v>516</v>
      </c>
      <c r="K95" t="s">
        <v>4851</v>
      </c>
      <c r="L95" t="s">
        <v>54</v>
      </c>
      <c r="M95">
        <v>2019</v>
      </c>
      <c r="N95" s="5">
        <f>ROUNDUP(Clean_Data[[#This Row],[Year_Num]]/100,0)</f>
        <v>21</v>
      </c>
      <c r="O95" s="5" t="str" cm="1">
        <f t="array" ref="O95">_xlfn.LET(_xlpm.y,Clean_Data[[#This Row],[Year_Num]],_xlfn.IFS(_xlpm.y&lt;500,"Ancient",_xlpm.y&lt;1500,"Medieval",_xlpm.y&lt;1800,"Early Modern",_xlpm.y&lt;1946,"Modern",TRUE,"Contemporary"))</f>
        <v>Contemporary</v>
      </c>
      <c r="P95" s="5" t="str">
        <f>_xlfn.XLOOKUP(Clean_Data[[#This Row],[Country]],country_region[Country],country_region[Country_Standard],"Not found")</f>
        <v>Pakistan</v>
      </c>
      <c r="Q95" s="5" t="str">
        <f>_xlfn.XLOOKUP(Clean_Data[[#This Row],[Country]],country_region[Country],country_region[Region],"Not found")</f>
        <v>South Asia</v>
      </c>
      <c r="R95" s="5" t="str">
        <f>_xlfn.XLOOKUP(Clean_Data[[#This Row],[Type of Event]],event_type_category[Type of Event],event_type_category[Category],"Not found")</f>
        <v>War &amp; Conflict</v>
      </c>
    </row>
    <row r="96" spans="1:18">
      <c r="A96">
        <v>104</v>
      </c>
      <c r="B96" t="s">
        <v>4852</v>
      </c>
      <c r="C96" t="s">
        <v>99</v>
      </c>
      <c r="D96" t="s">
        <v>267</v>
      </c>
      <c r="E96" t="s">
        <v>123</v>
      </c>
      <c r="F96" t="s">
        <v>478</v>
      </c>
      <c r="G96" t="s">
        <v>568</v>
      </c>
      <c r="H96" t="s">
        <v>408</v>
      </c>
      <c r="I96" t="s">
        <v>569</v>
      </c>
      <c r="J96" t="s">
        <v>497</v>
      </c>
      <c r="K96" t="s">
        <v>492</v>
      </c>
      <c r="L96" t="s">
        <v>21</v>
      </c>
      <c r="M96">
        <v>1960</v>
      </c>
      <c r="N96" s="5">
        <f>ROUNDUP(Clean_Data[[#This Row],[Year_Num]]/100,0)</f>
        <v>20</v>
      </c>
      <c r="O96" s="5" t="str" cm="1">
        <f t="array" ref="O96">_xlfn.LET(_xlpm.y,Clean_Data[[#This Row],[Year_Num]],_xlfn.IFS(_xlpm.y&lt;500,"Ancient",_xlpm.y&lt;1500,"Medieval",_xlpm.y&lt;1800,"Early Modern",_xlpm.y&lt;1946,"Modern",TRUE,"Contemporary"))</f>
        <v>Contemporary</v>
      </c>
      <c r="P96" s="5" t="str">
        <f>_xlfn.XLOOKUP(Clean_Data[[#This Row],[Country]],country_region[Country],country_region[Country_Standard],"Not found")</f>
        <v>Pakistan</v>
      </c>
      <c r="Q96" s="5" t="str">
        <f>_xlfn.XLOOKUP(Clean_Data[[#This Row],[Country]],country_region[Country],country_region[Region],"Not found")</f>
        <v>South Asia</v>
      </c>
      <c r="R96" s="5" t="str">
        <f>_xlfn.XLOOKUP(Clean_Data[[#This Row],[Type of Event]],event_type_category[Type of Event],event_type_category[Category],"Not found")</f>
        <v>Culture, Religion &amp; Sport</v>
      </c>
    </row>
    <row r="97" spans="1:18">
      <c r="A97">
        <v>105</v>
      </c>
      <c r="B97" t="s">
        <v>570</v>
      </c>
      <c r="C97" t="s">
        <v>99</v>
      </c>
      <c r="D97" t="s">
        <v>267</v>
      </c>
      <c r="E97" t="s">
        <v>571</v>
      </c>
      <c r="F97" t="s">
        <v>478</v>
      </c>
      <c r="G97" t="s">
        <v>407</v>
      </c>
      <c r="H97" t="s">
        <v>408</v>
      </c>
      <c r="I97" t="s">
        <v>572</v>
      </c>
      <c r="J97" t="s">
        <v>573</v>
      </c>
      <c r="K97" t="s">
        <v>4853</v>
      </c>
      <c r="L97" t="s">
        <v>21</v>
      </c>
      <c r="M97">
        <v>1940</v>
      </c>
      <c r="N97" s="5">
        <f>ROUNDUP(Clean_Data[[#This Row],[Year_Num]]/100,0)</f>
        <v>20</v>
      </c>
      <c r="O97" s="5" t="str" cm="1">
        <f t="array" ref="O97">_xlfn.LET(_xlpm.y,Clean_Data[[#This Row],[Year_Num]],_xlfn.IFS(_xlpm.y&lt;500,"Ancient",_xlpm.y&lt;1500,"Medieval",_xlpm.y&lt;1800,"Early Modern",_xlpm.y&lt;1946,"Modern",TRUE,"Contemporary"))</f>
        <v>Modern</v>
      </c>
      <c r="P97" s="5" t="str">
        <f>_xlfn.XLOOKUP(Clean_Data[[#This Row],[Country]],country_region[Country],country_region[Country_Standard],"Not found")</f>
        <v>Pakistan</v>
      </c>
      <c r="Q97" s="5" t="str">
        <f>_xlfn.XLOOKUP(Clean_Data[[#This Row],[Country]],country_region[Country],country_region[Region],"Not found")</f>
        <v>South Asia</v>
      </c>
      <c r="R97" s="5" t="str">
        <f>_xlfn.XLOOKUP(Clean_Data[[#This Row],[Type of Event]],event_type_category[Type of Event],event_type_category[Category],"Not found")</f>
        <v>Politics &amp; Law</v>
      </c>
    </row>
    <row r="98" spans="1:18">
      <c r="A98">
        <v>106</v>
      </c>
      <c r="B98" t="s">
        <v>575</v>
      </c>
      <c r="E98" t="s">
        <v>130</v>
      </c>
      <c r="F98" t="s">
        <v>478</v>
      </c>
      <c r="G98" t="s">
        <v>138</v>
      </c>
      <c r="H98" t="s">
        <v>576</v>
      </c>
      <c r="I98" t="s">
        <v>577</v>
      </c>
      <c r="J98" t="s">
        <v>578</v>
      </c>
      <c r="K98" t="s">
        <v>487</v>
      </c>
      <c r="L98" t="s">
        <v>54</v>
      </c>
      <c r="M98">
        <v>1984</v>
      </c>
      <c r="N98" s="5">
        <f>ROUNDUP(Clean_Data[[#This Row],[Year_Num]]/100,0)</f>
        <v>20</v>
      </c>
      <c r="O98" s="5" t="str" cm="1">
        <f t="array" ref="O98">_xlfn.LET(_xlpm.y,Clean_Data[[#This Row],[Year_Num]],_xlfn.IFS(_xlpm.y&lt;500,"Ancient",_xlpm.y&lt;1500,"Medieval",_xlpm.y&lt;1800,"Early Modern",_xlpm.y&lt;1946,"Modern",TRUE,"Contemporary"))</f>
        <v>Contemporary</v>
      </c>
      <c r="P98" s="5" t="str">
        <f>_xlfn.XLOOKUP(Clean_Data[[#This Row],[Country]],country_region[Country],country_region[Country_Standard],"Not found")</f>
        <v>Pakistan</v>
      </c>
      <c r="Q98" s="5" t="str">
        <f>_xlfn.XLOOKUP(Clean_Data[[#This Row],[Country]],country_region[Country],country_region[Region],"Not found")</f>
        <v>South Asia</v>
      </c>
      <c r="R98" s="5" t="str">
        <f>_xlfn.XLOOKUP(Clean_Data[[#This Row],[Type of Event]],event_type_category[Type of Event],event_type_category[Category],"Not found")</f>
        <v>War &amp; Conflict</v>
      </c>
    </row>
    <row r="99" spans="1:18">
      <c r="A99">
        <v>107</v>
      </c>
      <c r="B99" t="s">
        <v>579</v>
      </c>
      <c r="C99" t="s">
        <v>580</v>
      </c>
      <c r="D99" t="s">
        <v>286</v>
      </c>
      <c r="E99" t="s">
        <v>123</v>
      </c>
      <c r="F99" t="s">
        <v>478</v>
      </c>
      <c r="G99" t="s">
        <v>581</v>
      </c>
      <c r="H99" t="s">
        <v>582</v>
      </c>
      <c r="I99" t="s">
        <v>4854</v>
      </c>
      <c r="J99" t="s">
        <v>584</v>
      </c>
      <c r="K99" t="s">
        <v>585</v>
      </c>
      <c r="L99" t="s">
        <v>21</v>
      </c>
      <c r="M99">
        <v>1960</v>
      </c>
      <c r="N99" s="5">
        <f>ROUNDUP(Clean_Data[[#This Row],[Year_Num]]/100,0)</f>
        <v>20</v>
      </c>
      <c r="O99" s="5" t="str" cm="1">
        <f t="array" ref="O99">_xlfn.LET(_xlpm.y,Clean_Data[[#This Row],[Year_Num]],_xlfn.IFS(_xlpm.y&lt;500,"Ancient",_xlpm.y&lt;1500,"Medieval",_xlpm.y&lt;1800,"Early Modern",_xlpm.y&lt;1946,"Modern",TRUE,"Contemporary"))</f>
        <v>Contemporary</v>
      </c>
      <c r="P99" s="5" t="str">
        <f>_xlfn.XLOOKUP(Clean_Data[[#This Row],[Country]],country_region[Country],country_region[Country_Standard],"Not found")</f>
        <v>Pakistan</v>
      </c>
      <c r="Q99" s="5" t="str">
        <f>_xlfn.XLOOKUP(Clean_Data[[#This Row],[Country]],country_region[Country],country_region[Region],"Not found")</f>
        <v>South Asia</v>
      </c>
      <c r="R99" s="5" t="str">
        <f>_xlfn.XLOOKUP(Clean_Data[[#This Row],[Type of Event]],event_type_category[Type of Event],event_type_category[Category],"Not found")</f>
        <v>Diplomacy &amp; International Relations</v>
      </c>
    </row>
    <row r="100" spans="1:18">
      <c r="A100">
        <v>108</v>
      </c>
      <c r="B100" t="s">
        <v>586</v>
      </c>
      <c r="C100" t="s">
        <v>494</v>
      </c>
      <c r="E100" t="s">
        <v>494</v>
      </c>
      <c r="F100" t="s">
        <v>478</v>
      </c>
      <c r="G100" t="s">
        <v>587</v>
      </c>
      <c r="H100" t="s">
        <v>542</v>
      </c>
      <c r="I100" t="s">
        <v>588</v>
      </c>
      <c r="J100" t="s">
        <v>589</v>
      </c>
      <c r="K100" t="s">
        <v>492</v>
      </c>
      <c r="L100" t="s">
        <v>21</v>
      </c>
      <c r="M100">
        <v>1956</v>
      </c>
      <c r="N100" s="5">
        <f>ROUNDUP(Clean_Data[[#This Row],[Year_Num]]/100,0)</f>
        <v>20</v>
      </c>
      <c r="O100" s="5" t="str" cm="1">
        <f t="array" ref="O100">_xlfn.LET(_xlpm.y,Clean_Data[[#This Row],[Year_Num]],_xlfn.IFS(_xlpm.y&lt;500,"Ancient",_xlpm.y&lt;1500,"Medieval",_xlpm.y&lt;1800,"Early Modern",_xlpm.y&lt;1946,"Modern",TRUE,"Contemporary"))</f>
        <v>Contemporary</v>
      </c>
      <c r="P100" s="5" t="str">
        <f>_xlfn.XLOOKUP(Clean_Data[[#This Row],[Country]],country_region[Country],country_region[Country_Standard],"Not found")</f>
        <v>Pakistan</v>
      </c>
      <c r="Q100" s="5" t="str">
        <f>_xlfn.XLOOKUP(Clean_Data[[#This Row],[Country]],country_region[Country],country_region[Region],"Not found")</f>
        <v>South Asia</v>
      </c>
      <c r="R100" s="5" t="str">
        <f>_xlfn.XLOOKUP(Clean_Data[[#This Row],[Type of Event]],event_type_category[Type of Event],event_type_category[Category],"Not found")</f>
        <v>Science, Technology &amp; Exploration</v>
      </c>
    </row>
    <row r="101" spans="1:18">
      <c r="A101">
        <v>109</v>
      </c>
      <c r="B101" t="s">
        <v>590</v>
      </c>
      <c r="E101" t="s">
        <v>591</v>
      </c>
      <c r="F101" t="s">
        <v>478</v>
      </c>
      <c r="G101" t="s">
        <v>213</v>
      </c>
      <c r="H101" t="s">
        <v>300</v>
      </c>
      <c r="I101" t="s">
        <v>592</v>
      </c>
      <c r="J101" t="s">
        <v>593</v>
      </c>
      <c r="K101" t="s">
        <v>594</v>
      </c>
      <c r="L101" t="s">
        <v>36</v>
      </c>
      <c r="M101">
        <v>1972</v>
      </c>
      <c r="N101" s="5">
        <f>ROUNDUP(Clean_Data[[#This Row],[Year_Num]]/100,0)</f>
        <v>20</v>
      </c>
      <c r="O101" s="5" t="str" cm="1">
        <f t="array" ref="O101">_xlfn.LET(_xlpm.y,Clean_Data[[#This Row],[Year_Num]],_xlfn.IFS(_xlpm.y&lt;500,"Ancient",_xlpm.y&lt;1500,"Medieval",_xlpm.y&lt;1800,"Early Modern",_xlpm.y&lt;1946,"Modern",TRUE,"Contemporary"))</f>
        <v>Contemporary</v>
      </c>
      <c r="P101" s="5" t="str">
        <f>_xlfn.XLOOKUP(Clean_Data[[#This Row],[Country]],country_region[Country],country_region[Country_Standard],"Not found")</f>
        <v>Pakistan</v>
      </c>
      <c r="Q101" s="5" t="str">
        <f>_xlfn.XLOOKUP(Clean_Data[[#This Row],[Country]],country_region[Country],country_region[Region],"Not found")</f>
        <v>South Asia</v>
      </c>
      <c r="R101" s="5" t="str">
        <f>_xlfn.XLOOKUP(Clean_Data[[#This Row],[Type of Event]],event_type_category[Type of Event],event_type_category[Category],"Not found")</f>
        <v>Economy &amp; Infrastructure</v>
      </c>
    </row>
    <row r="102" spans="1:18">
      <c r="A102">
        <v>110</v>
      </c>
      <c r="B102" t="s">
        <v>595</v>
      </c>
      <c r="C102" t="s">
        <v>325</v>
      </c>
      <c r="D102" t="s">
        <v>260</v>
      </c>
      <c r="E102" t="s">
        <v>455</v>
      </c>
      <c r="F102" t="s">
        <v>478</v>
      </c>
      <c r="G102" t="s">
        <v>489</v>
      </c>
      <c r="H102" t="s">
        <v>542</v>
      </c>
      <c r="I102" t="s">
        <v>596</v>
      </c>
      <c r="J102" t="s">
        <v>597</v>
      </c>
      <c r="K102" t="s">
        <v>4855</v>
      </c>
      <c r="L102" t="s">
        <v>21</v>
      </c>
      <c r="M102">
        <v>1980</v>
      </c>
      <c r="N102" s="5">
        <f>ROUNDUP(Clean_Data[[#This Row],[Year_Num]]/100,0)</f>
        <v>20</v>
      </c>
      <c r="O102" s="5" t="str" cm="1">
        <f t="array" ref="O102">_xlfn.LET(_xlpm.y,Clean_Data[[#This Row],[Year_Num]],_xlfn.IFS(_xlpm.y&lt;500,"Ancient",_xlpm.y&lt;1500,"Medieval",_xlpm.y&lt;1800,"Early Modern",_xlpm.y&lt;1946,"Modern",TRUE,"Contemporary"))</f>
        <v>Contemporary</v>
      </c>
      <c r="P102" s="5" t="str">
        <f>_xlfn.XLOOKUP(Clean_Data[[#This Row],[Country]],country_region[Country],country_region[Country_Standard],"Not found")</f>
        <v>Pakistan</v>
      </c>
      <c r="Q102" s="5" t="str">
        <f>_xlfn.XLOOKUP(Clean_Data[[#This Row],[Country]],country_region[Country],country_region[Region],"Not found")</f>
        <v>South Asia</v>
      </c>
      <c r="R102" s="5" t="str">
        <f>_xlfn.XLOOKUP(Clean_Data[[#This Row],[Type of Event]],event_type_category[Type of Event],event_type_category[Category],"Not found")</f>
        <v>Diplomacy &amp; International Relations</v>
      </c>
    </row>
    <row r="103" spans="1:18">
      <c r="A103">
        <v>111</v>
      </c>
      <c r="B103" t="s">
        <v>599</v>
      </c>
      <c r="E103" t="s">
        <v>600</v>
      </c>
      <c r="F103" t="s">
        <v>478</v>
      </c>
      <c r="G103" t="s">
        <v>175</v>
      </c>
      <c r="H103" t="s">
        <v>300</v>
      </c>
      <c r="I103" t="s">
        <v>601</v>
      </c>
      <c r="J103" t="s">
        <v>497</v>
      </c>
      <c r="K103" t="s">
        <v>492</v>
      </c>
      <c r="L103" t="s">
        <v>21</v>
      </c>
      <c r="M103">
        <v>1997</v>
      </c>
      <c r="N103" s="5">
        <f>ROUNDUP(Clean_Data[[#This Row],[Year_Num]]/100,0)</f>
        <v>20</v>
      </c>
      <c r="O103" s="5" t="str" cm="1">
        <f t="array" ref="O103">_xlfn.LET(_xlpm.y,Clean_Data[[#This Row],[Year_Num]],_xlfn.IFS(_xlpm.y&lt;500,"Ancient",_xlpm.y&lt;1500,"Medieval",_xlpm.y&lt;1800,"Early Modern",_xlpm.y&lt;1946,"Modern",TRUE,"Contemporary"))</f>
        <v>Contemporary</v>
      </c>
      <c r="P103" s="5" t="str">
        <f>_xlfn.XLOOKUP(Clean_Data[[#This Row],[Country]],country_region[Country],country_region[Country_Standard],"Not found")</f>
        <v>Pakistan</v>
      </c>
      <c r="Q103" s="5" t="str">
        <f>_xlfn.XLOOKUP(Clean_Data[[#This Row],[Country]],country_region[Country],country_region[Region],"Not found")</f>
        <v>South Asia</v>
      </c>
      <c r="R103" s="5" t="str">
        <f>_xlfn.XLOOKUP(Clean_Data[[#This Row],[Type of Event]],event_type_category[Type of Event],event_type_category[Category],"Not found")</f>
        <v>Economy &amp; Infrastructure</v>
      </c>
    </row>
    <row r="104" spans="1:18">
      <c r="A104">
        <v>112</v>
      </c>
      <c r="B104" t="s">
        <v>602</v>
      </c>
      <c r="C104" t="s">
        <v>56</v>
      </c>
      <c r="D104" t="s">
        <v>83</v>
      </c>
      <c r="E104" t="s">
        <v>603</v>
      </c>
      <c r="F104" t="s">
        <v>478</v>
      </c>
      <c r="G104" t="s">
        <v>145</v>
      </c>
      <c r="H104" t="s">
        <v>542</v>
      </c>
      <c r="I104" t="s">
        <v>604</v>
      </c>
      <c r="J104" t="s">
        <v>605</v>
      </c>
      <c r="K104" t="s">
        <v>606</v>
      </c>
      <c r="L104" t="s">
        <v>21</v>
      </c>
      <c r="M104">
        <v>2006</v>
      </c>
      <c r="N104" s="5">
        <f>ROUNDUP(Clean_Data[[#This Row],[Year_Num]]/100,0)</f>
        <v>21</v>
      </c>
      <c r="O104" s="5" t="str" cm="1">
        <f t="array" ref="O104">_xlfn.LET(_xlpm.y,Clean_Data[[#This Row],[Year_Num]],_xlfn.IFS(_xlpm.y&lt;500,"Ancient",_xlpm.y&lt;1500,"Medieval",_xlpm.y&lt;1800,"Early Modern",_xlpm.y&lt;1946,"Modern",TRUE,"Contemporary"))</f>
        <v>Contemporary</v>
      </c>
      <c r="P104" s="5" t="str">
        <f>_xlfn.XLOOKUP(Clean_Data[[#This Row],[Country]],country_region[Country],country_region[Country_Standard],"Not found")</f>
        <v>Pakistan</v>
      </c>
      <c r="Q104" s="5" t="str">
        <f>_xlfn.XLOOKUP(Clean_Data[[#This Row],[Country]],country_region[Country],country_region[Region],"Not found")</f>
        <v>South Asia</v>
      </c>
      <c r="R104" s="5" t="str">
        <f>_xlfn.XLOOKUP(Clean_Data[[#This Row],[Type of Event]],event_type_category[Type of Event],event_type_category[Category],"Not found")</f>
        <v>Politics &amp; Law</v>
      </c>
    </row>
    <row r="105" spans="1:18">
      <c r="A105">
        <v>113</v>
      </c>
      <c r="B105" t="s">
        <v>607</v>
      </c>
      <c r="C105" t="s">
        <v>107</v>
      </c>
      <c r="D105" t="s">
        <v>66</v>
      </c>
      <c r="E105" t="s">
        <v>287</v>
      </c>
      <c r="F105" t="s">
        <v>478</v>
      </c>
      <c r="G105" t="s">
        <v>608</v>
      </c>
      <c r="H105" t="s">
        <v>609</v>
      </c>
      <c r="I105" t="s">
        <v>610</v>
      </c>
      <c r="J105" t="s">
        <v>345</v>
      </c>
      <c r="K105" t="s">
        <v>611</v>
      </c>
      <c r="L105" t="s">
        <v>21</v>
      </c>
      <c r="M105">
        <v>2014</v>
      </c>
      <c r="N105" s="5">
        <f>ROUNDUP(Clean_Data[[#This Row],[Year_Num]]/100,0)</f>
        <v>21</v>
      </c>
      <c r="O105" s="5" t="str" cm="1">
        <f t="array" ref="O105">_xlfn.LET(_xlpm.y,Clean_Data[[#This Row],[Year_Num]],_xlfn.IFS(_xlpm.y&lt;500,"Ancient",_xlpm.y&lt;1500,"Medieval",_xlpm.y&lt;1800,"Early Modern",_xlpm.y&lt;1946,"Modern",TRUE,"Contemporary"))</f>
        <v>Contemporary</v>
      </c>
      <c r="P105" s="5" t="str">
        <f>_xlfn.XLOOKUP(Clean_Data[[#This Row],[Country]],country_region[Country],country_region[Country_Standard],"Not found")</f>
        <v>Pakistan</v>
      </c>
      <c r="Q105" s="5" t="str">
        <f>_xlfn.XLOOKUP(Clean_Data[[#This Row],[Country]],country_region[Country],country_region[Region],"Not found")</f>
        <v>South Asia</v>
      </c>
      <c r="R105" s="5" t="str">
        <f>_xlfn.XLOOKUP(Clean_Data[[#This Row],[Type of Event]],event_type_category[Type of Event],event_type_category[Category],"Not found")</f>
        <v>Diplomacy &amp; International Relations</v>
      </c>
    </row>
    <row r="106" spans="1:18">
      <c r="A106">
        <v>114</v>
      </c>
      <c r="B106" t="s">
        <v>4856</v>
      </c>
      <c r="E106" t="s">
        <v>613</v>
      </c>
      <c r="F106" t="s">
        <v>478</v>
      </c>
      <c r="G106" t="s">
        <v>175</v>
      </c>
      <c r="H106" t="s">
        <v>614</v>
      </c>
      <c r="I106" t="s">
        <v>615</v>
      </c>
      <c r="J106" t="s">
        <v>616</v>
      </c>
      <c r="K106" t="s">
        <v>617</v>
      </c>
      <c r="L106" t="s">
        <v>21</v>
      </c>
      <c r="M106">
        <v>1986</v>
      </c>
      <c r="N106" s="5">
        <f>ROUNDUP(Clean_Data[[#This Row],[Year_Num]]/100,0)</f>
        <v>20</v>
      </c>
      <c r="O106" s="5" t="str" cm="1">
        <f t="array" ref="O106">_xlfn.LET(_xlpm.y,Clean_Data[[#This Row],[Year_Num]],_xlfn.IFS(_xlpm.y&lt;500,"Ancient",_xlpm.y&lt;1500,"Medieval",_xlpm.y&lt;1800,"Early Modern",_xlpm.y&lt;1946,"Modern",TRUE,"Contemporary"))</f>
        <v>Contemporary</v>
      </c>
      <c r="P106" s="5" t="str">
        <f>_xlfn.XLOOKUP(Clean_Data[[#This Row],[Country]],country_region[Country],country_region[Country_Standard],"Not found")</f>
        <v>Pakistan</v>
      </c>
      <c r="Q106" s="5" t="str">
        <f>_xlfn.XLOOKUP(Clean_Data[[#This Row],[Country]],country_region[Country],country_region[Region],"Not found")</f>
        <v>South Asia</v>
      </c>
      <c r="R106" s="5" t="str">
        <f>_xlfn.XLOOKUP(Clean_Data[[#This Row],[Type of Event]],event_type_category[Type of Event],event_type_category[Category],"Not found")</f>
        <v>Economy &amp; Infrastructure</v>
      </c>
    </row>
    <row r="107" spans="1:18">
      <c r="A107">
        <v>115</v>
      </c>
      <c r="B107" t="s">
        <v>618</v>
      </c>
      <c r="E107" t="s">
        <v>84</v>
      </c>
      <c r="F107" t="s">
        <v>478</v>
      </c>
      <c r="G107" t="s">
        <v>619</v>
      </c>
      <c r="H107" t="s">
        <v>300</v>
      </c>
      <c r="I107" t="s">
        <v>620</v>
      </c>
      <c r="J107" t="s">
        <v>4857</v>
      </c>
      <c r="K107" t="s">
        <v>492</v>
      </c>
      <c r="L107" t="s">
        <v>21</v>
      </c>
      <c r="M107">
        <v>2008</v>
      </c>
      <c r="N107" s="5">
        <f>ROUNDUP(Clean_Data[[#This Row],[Year_Num]]/100,0)</f>
        <v>21</v>
      </c>
      <c r="O107" s="5" t="str" cm="1">
        <f t="array" ref="O107">_xlfn.LET(_xlpm.y,Clean_Data[[#This Row],[Year_Num]],_xlfn.IFS(_xlpm.y&lt;500,"Ancient",_xlpm.y&lt;1500,"Medieval",_xlpm.y&lt;1800,"Early Modern",_xlpm.y&lt;1946,"Modern",TRUE,"Contemporary"))</f>
        <v>Contemporary</v>
      </c>
      <c r="P107" s="5" t="str">
        <f>_xlfn.XLOOKUP(Clean_Data[[#This Row],[Country]],country_region[Country],country_region[Country_Standard],"Not found")</f>
        <v>Pakistan</v>
      </c>
      <c r="Q107" s="5" t="str">
        <f>_xlfn.XLOOKUP(Clean_Data[[#This Row],[Country]],country_region[Country],country_region[Region],"Not found")</f>
        <v>South Asia</v>
      </c>
      <c r="R107" s="5" t="str">
        <f>_xlfn.XLOOKUP(Clean_Data[[#This Row],[Type of Event]],event_type_category[Type of Event],event_type_category[Category],"Not found")</f>
        <v>Society &amp; Health</v>
      </c>
    </row>
    <row r="108" spans="1:18">
      <c r="A108">
        <v>116</v>
      </c>
      <c r="B108" t="s">
        <v>622</v>
      </c>
      <c r="C108" t="s">
        <v>580</v>
      </c>
      <c r="D108" t="s">
        <v>39</v>
      </c>
      <c r="E108" t="s">
        <v>623</v>
      </c>
      <c r="F108" t="s">
        <v>478</v>
      </c>
      <c r="G108" t="s">
        <v>624</v>
      </c>
      <c r="H108" t="s">
        <v>542</v>
      </c>
      <c r="I108" t="s">
        <v>625</v>
      </c>
      <c r="J108" t="s">
        <v>497</v>
      </c>
      <c r="K108" t="s">
        <v>606</v>
      </c>
      <c r="L108" t="s">
        <v>21</v>
      </c>
      <c r="M108">
        <v>2010</v>
      </c>
      <c r="N108" s="5">
        <f>ROUNDUP(Clean_Data[[#This Row],[Year_Num]]/100,0)</f>
        <v>21</v>
      </c>
      <c r="O108" s="5" t="str" cm="1">
        <f t="array" ref="O108">_xlfn.LET(_xlpm.y,Clean_Data[[#This Row],[Year_Num]],_xlfn.IFS(_xlpm.y&lt;500,"Ancient",_xlpm.y&lt;1500,"Medieval",_xlpm.y&lt;1800,"Early Modern",_xlpm.y&lt;1946,"Modern",TRUE,"Contemporary"))</f>
        <v>Contemporary</v>
      </c>
      <c r="P108" s="5" t="str">
        <f>_xlfn.XLOOKUP(Clean_Data[[#This Row],[Country]],country_region[Country],country_region[Country_Standard],"Not found")</f>
        <v>Pakistan</v>
      </c>
      <c r="Q108" s="5" t="str">
        <f>_xlfn.XLOOKUP(Clean_Data[[#This Row],[Country]],country_region[Country],country_region[Region],"Not found")</f>
        <v>South Asia</v>
      </c>
      <c r="R108" s="5" t="str">
        <f>_xlfn.XLOOKUP(Clean_Data[[#This Row],[Type of Event]],event_type_category[Type of Event],event_type_category[Category],"Not found")</f>
        <v>Politics &amp; Law</v>
      </c>
    </row>
    <row r="109" spans="1:18">
      <c r="A109">
        <v>117</v>
      </c>
      <c r="B109" t="s">
        <v>626</v>
      </c>
      <c r="C109" t="s">
        <v>150</v>
      </c>
      <c r="D109" t="s">
        <v>211</v>
      </c>
      <c r="E109" t="s">
        <v>627</v>
      </c>
      <c r="F109" t="s">
        <v>478</v>
      </c>
      <c r="G109" t="s">
        <v>288</v>
      </c>
      <c r="H109" t="s">
        <v>628</v>
      </c>
      <c r="I109" t="s">
        <v>4858</v>
      </c>
      <c r="J109" t="s">
        <v>630</v>
      </c>
      <c r="K109" t="s">
        <v>631</v>
      </c>
      <c r="L109" t="s">
        <v>21</v>
      </c>
      <c r="M109">
        <v>1990</v>
      </c>
      <c r="N109" s="5">
        <f>ROUNDUP(Clean_Data[[#This Row],[Year_Num]]/100,0)</f>
        <v>20</v>
      </c>
      <c r="O109" s="5" t="str" cm="1">
        <f t="array" ref="O109">_xlfn.LET(_xlpm.y,Clean_Data[[#This Row],[Year_Num]],_xlfn.IFS(_xlpm.y&lt;500,"Ancient",_xlpm.y&lt;1500,"Medieval",_xlpm.y&lt;1800,"Early Modern",_xlpm.y&lt;1946,"Modern",TRUE,"Contemporary"))</f>
        <v>Contemporary</v>
      </c>
      <c r="P109" s="5" t="str">
        <f>_xlfn.XLOOKUP(Clean_Data[[#This Row],[Country]],country_region[Country],country_region[Country_Standard],"Not found")</f>
        <v>Pakistan</v>
      </c>
      <c r="Q109" s="5" t="str">
        <f>_xlfn.XLOOKUP(Clean_Data[[#This Row],[Country]],country_region[Country],country_region[Region],"Not found")</f>
        <v>South Asia</v>
      </c>
      <c r="R109" s="5" t="str">
        <f>_xlfn.XLOOKUP(Clean_Data[[#This Row],[Type of Event]],event_type_category[Type of Event],event_type_category[Category],"Not found")</f>
        <v>Science, Technology &amp; Exploration</v>
      </c>
    </row>
    <row r="110" spans="1:18">
      <c r="A110">
        <v>118</v>
      </c>
      <c r="B110" t="s">
        <v>632</v>
      </c>
      <c r="C110" t="s">
        <v>633</v>
      </c>
      <c r="D110" t="s">
        <v>83</v>
      </c>
      <c r="E110" t="s">
        <v>603</v>
      </c>
      <c r="F110" t="s">
        <v>478</v>
      </c>
      <c r="G110" t="s">
        <v>145</v>
      </c>
      <c r="H110" t="s">
        <v>542</v>
      </c>
      <c r="I110" t="s">
        <v>634</v>
      </c>
      <c r="J110" t="s">
        <v>605</v>
      </c>
      <c r="K110" t="s">
        <v>606</v>
      </c>
      <c r="L110" t="s">
        <v>21</v>
      </c>
      <c r="M110">
        <v>2006</v>
      </c>
      <c r="N110" s="5">
        <f>ROUNDUP(Clean_Data[[#This Row],[Year_Num]]/100,0)</f>
        <v>21</v>
      </c>
      <c r="O110" s="5" t="str" cm="1">
        <f t="array" ref="O110">_xlfn.LET(_xlpm.y,Clean_Data[[#This Row],[Year_Num]],_xlfn.IFS(_xlpm.y&lt;500,"Ancient",_xlpm.y&lt;1500,"Medieval",_xlpm.y&lt;1800,"Early Modern",_xlpm.y&lt;1946,"Modern",TRUE,"Contemporary"))</f>
        <v>Contemporary</v>
      </c>
      <c r="P110" s="5" t="str">
        <f>_xlfn.XLOOKUP(Clean_Data[[#This Row],[Country]],country_region[Country],country_region[Country_Standard],"Not found")</f>
        <v>Pakistan</v>
      </c>
      <c r="Q110" s="5" t="str">
        <f>_xlfn.XLOOKUP(Clean_Data[[#This Row],[Country]],country_region[Country],country_region[Region],"Not found")</f>
        <v>South Asia</v>
      </c>
      <c r="R110" s="5" t="str">
        <f>_xlfn.XLOOKUP(Clean_Data[[#This Row],[Type of Event]],event_type_category[Type of Event],event_type_category[Category],"Not found")</f>
        <v>Politics &amp; Law</v>
      </c>
    </row>
    <row r="111" spans="1:18">
      <c r="A111">
        <v>119</v>
      </c>
      <c r="B111" t="s">
        <v>635</v>
      </c>
      <c r="C111" t="s">
        <v>75</v>
      </c>
      <c r="E111" t="s">
        <v>75</v>
      </c>
      <c r="F111" t="s">
        <v>478</v>
      </c>
      <c r="G111" t="s">
        <v>636</v>
      </c>
      <c r="H111" t="s">
        <v>542</v>
      </c>
      <c r="I111" t="s">
        <v>637</v>
      </c>
      <c r="J111" t="s">
        <v>497</v>
      </c>
      <c r="K111" t="s">
        <v>492</v>
      </c>
      <c r="L111" t="s">
        <v>21</v>
      </c>
      <c r="M111">
        <v>1998</v>
      </c>
      <c r="N111" s="5">
        <f>ROUNDUP(Clean_Data[[#This Row],[Year_Num]]/100,0)</f>
        <v>20</v>
      </c>
      <c r="O111" s="5" t="str" cm="1">
        <f t="array" ref="O111">_xlfn.LET(_xlpm.y,Clean_Data[[#This Row],[Year_Num]],_xlfn.IFS(_xlpm.y&lt;500,"Ancient",_xlpm.y&lt;1500,"Medieval",_xlpm.y&lt;1800,"Early Modern",_xlpm.y&lt;1946,"Modern",TRUE,"Contemporary"))</f>
        <v>Contemporary</v>
      </c>
      <c r="P111" s="5" t="str">
        <f>_xlfn.XLOOKUP(Clean_Data[[#This Row],[Country]],country_region[Country],country_region[Country_Standard],"Not found")</f>
        <v>Pakistan</v>
      </c>
      <c r="Q111" s="5" t="str">
        <f>_xlfn.XLOOKUP(Clean_Data[[#This Row],[Country]],country_region[Country],country_region[Region],"Not found")</f>
        <v>South Asia</v>
      </c>
      <c r="R111" s="5" t="str">
        <f>_xlfn.XLOOKUP(Clean_Data[[#This Row],[Type of Event]],event_type_category[Type of Event],event_type_category[Category],"Not found")</f>
        <v>Politics &amp; Law</v>
      </c>
    </row>
    <row r="112" spans="1:18">
      <c r="A112">
        <v>120</v>
      </c>
      <c r="B112" t="s">
        <v>638</v>
      </c>
      <c r="C112" t="s">
        <v>591</v>
      </c>
      <c r="E112" t="s">
        <v>591</v>
      </c>
      <c r="F112" t="s">
        <v>478</v>
      </c>
      <c r="G112" t="s">
        <v>639</v>
      </c>
      <c r="H112" t="s">
        <v>582</v>
      </c>
      <c r="I112" t="s">
        <v>640</v>
      </c>
      <c r="J112" t="s">
        <v>589</v>
      </c>
      <c r="K112" t="s">
        <v>641</v>
      </c>
      <c r="L112" t="s">
        <v>21</v>
      </c>
      <c r="M112">
        <v>1972</v>
      </c>
      <c r="N112" s="5">
        <f>ROUNDUP(Clean_Data[[#This Row],[Year_Num]]/100,0)</f>
        <v>20</v>
      </c>
      <c r="O112" s="5" t="str" cm="1">
        <f t="array" ref="O112">_xlfn.LET(_xlpm.y,Clean_Data[[#This Row],[Year_Num]],_xlfn.IFS(_xlpm.y&lt;500,"Ancient",_xlpm.y&lt;1500,"Medieval",_xlpm.y&lt;1800,"Early Modern",_xlpm.y&lt;1946,"Modern",TRUE,"Contemporary"))</f>
        <v>Contemporary</v>
      </c>
      <c r="P112" s="5" t="str">
        <f>_xlfn.XLOOKUP(Clean_Data[[#This Row],[Country]],country_region[Country],country_region[Country_Standard],"Not found")</f>
        <v>Pakistan</v>
      </c>
      <c r="Q112" s="5" t="str">
        <f>_xlfn.XLOOKUP(Clean_Data[[#This Row],[Country]],country_region[Country],country_region[Region],"Not found")</f>
        <v>South Asia</v>
      </c>
      <c r="R112" s="5" t="str">
        <f>_xlfn.XLOOKUP(Clean_Data[[#This Row],[Type of Event]],event_type_category[Type of Event],event_type_category[Category],"Not found")</f>
        <v>Science, Technology &amp; Exploration</v>
      </c>
    </row>
    <row r="113" spans="1:18">
      <c r="A113">
        <v>121</v>
      </c>
      <c r="B113" t="s">
        <v>642</v>
      </c>
      <c r="C113" t="s">
        <v>643</v>
      </c>
      <c r="E113" t="s">
        <v>643</v>
      </c>
      <c r="F113" t="s">
        <v>478</v>
      </c>
      <c r="G113" t="s">
        <v>261</v>
      </c>
      <c r="H113" t="s">
        <v>300</v>
      </c>
      <c r="I113" t="s">
        <v>644</v>
      </c>
      <c r="J113" t="s">
        <v>645</v>
      </c>
      <c r="K113" t="s">
        <v>646</v>
      </c>
      <c r="L113" t="s">
        <v>21</v>
      </c>
      <c r="M113">
        <v>2004</v>
      </c>
      <c r="N113" s="5">
        <f>ROUNDUP(Clean_Data[[#This Row],[Year_Num]]/100,0)</f>
        <v>21</v>
      </c>
      <c r="O113" s="5" t="str" cm="1">
        <f t="array" ref="O113">_xlfn.LET(_xlpm.y,Clean_Data[[#This Row],[Year_Num]],_xlfn.IFS(_xlpm.y&lt;500,"Ancient",_xlpm.y&lt;1500,"Medieval",_xlpm.y&lt;1800,"Early Modern",_xlpm.y&lt;1946,"Modern",TRUE,"Contemporary"))</f>
        <v>Contemporary</v>
      </c>
      <c r="P113" s="5" t="str">
        <f>_xlfn.XLOOKUP(Clean_Data[[#This Row],[Country]],country_region[Country],country_region[Country_Standard],"Not found")</f>
        <v>Pakistan</v>
      </c>
      <c r="Q113" s="5" t="str">
        <f>_xlfn.XLOOKUP(Clean_Data[[#This Row],[Country]],country_region[Country],country_region[Region],"Not found")</f>
        <v>South Asia</v>
      </c>
      <c r="R113" s="5" t="str">
        <f>_xlfn.XLOOKUP(Clean_Data[[#This Row],[Type of Event]],event_type_category[Type of Event],event_type_category[Category],"Not found")</f>
        <v>Society &amp; Health</v>
      </c>
    </row>
    <row r="114" spans="1:18">
      <c r="A114">
        <v>122</v>
      </c>
      <c r="B114" t="s">
        <v>647</v>
      </c>
      <c r="C114" t="s">
        <v>325</v>
      </c>
      <c r="D114" t="s">
        <v>267</v>
      </c>
      <c r="E114" t="s">
        <v>648</v>
      </c>
      <c r="F114" t="s">
        <v>478</v>
      </c>
      <c r="G114" t="s">
        <v>175</v>
      </c>
      <c r="H114" t="s">
        <v>649</v>
      </c>
      <c r="I114" t="s">
        <v>4859</v>
      </c>
      <c r="J114" t="s">
        <v>651</v>
      </c>
      <c r="K114" t="s">
        <v>539</v>
      </c>
      <c r="L114" t="s">
        <v>21</v>
      </c>
      <c r="M114">
        <v>2002</v>
      </c>
      <c r="N114" s="5">
        <f>ROUNDUP(Clean_Data[[#This Row],[Year_Num]]/100,0)</f>
        <v>21</v>
      </c>
      <c r="O114" s="5" t="str" cm="1">
        <f t="array" ref="O114">_xlfn.LET(_xlpm.y,Clean_Data[[#This Row],[Year_Num]],_xlfn.IFS(_xlpm.y&lt;500,"Ancient",_xlpm.y&lt;1500,"Medieval",_xlpm.y&lt;1800,"Early Modern",_xlpm.y&lt;1946,"Modern",TRUE,"Contemporary"))</f>
        <v>Contemporary</v>
      </c>
      <c r="P114" s="5" t="str">
        <f>_xlfn.XLOOKUP(Clean_Data[[#This Row],[Country]],country_region[Country],country_region[Country_Standard],"Not found")</f>
        <v>Pakistan</v>
      </c>
      <c r="Q114" s="5" t="str">
        <f>_xlfn.XLOOKUP(Clean_Data[[#This Row],[Country]],country_region[Country],country_region[Region],"Not found")</f>
        <v>South Asia</v>
      </c>
      <c r="R114" s="5" t="str">
        <f>_xlfn.XLOOKUP(Clean_Data[[#This Row],[Type of Event]],event_type_category[Type of Event],event_type_category[Category],"Not found")</f>
        <v>Economy &amp; Infrastructure</v>
      </c>
    </row>
    <row r="115" spans="1:18">
      <c r="A115">
        <v>123</v>
      </c>
      <c r="B115" t="s">
        <v>652</v>
      </c>
      <c r="C115" t="s">
        <v>218</v>
      </c>
      <c r="D115" t="s">
        <v>66</v>
      </c>
      <c r="E115" t="s">
        <v>287</v>
      </c>
      <c r="F115" t="s">
        <v>478</v>
      </c>
      <c r="G115" t="s">
        <v>653</v>
      </c>
      <c r="H115" t="s">
        <v>300</v>
      </c>
      <c r="I115" t="s">
        <v>654</v>
      </c>
      <c r="J115" t="s">
        <v>497</v>
      </c>
      <c r="K115" t="s">
        <v>492</v>
      </c>
      <c r="L115" t="s">
        <v>21</v>
      </c>
      <c r="M115">
        <v>2014</v>
      </c>
      <c r="N115" s="5">
        <f>ROUNDUP(Clean_Data[[#This Row],[Year_Num]]/100,0)</f>
        <v>21</v>
      </c>
      <c r="O115" s="5" t="str" cm="1">
        <f t="array" ref="O115">_xlfn.LET(_xlpm.y,Clean_Data[[#This Row],[Year_Num]],_xlfn.IFS(_xlpm.y&lt;500,"Ancient",_xlpm.y&lt;1500,"Medieval",_xlpm.y&lt;1800,"Early Modern",_xlpm.y&lt;1946,"Modern",TRUE,"Contemporary"))</f>
        <v>Contemporary</v>
      </c>
      <c r="P115" s="5" t="str">
        <f>_xlfn.XLOOKUP(Clean_Data[[#This Row],[Country]],country_region[Country],country_region[Country_Standard],"Not found")</f>
        <v>Pakistan</v>
      </c>
      <c r="Q115" s="5" t="str">
        <f>_xlfn.XLOOKUP(Clean_Data[[#This Row],[Country]],country_region[Country],country_region[Region],"Not found")</f>
        <v>South Asia</v>
      </c>
      <c r="R115" s="5" t="str">
        <f>_xlfn.XLOOKUP(Clean_Data[[#This Row],[Type of Event]],event_type_category[Type of Event],event_type_category[Category],"Not found")</f>
        <v>Politics &amp; Law</v>
      </c>
    </row>
    <row r="116" spans="1:18">
      <c r="A116">
        <v>124</v>
      </c>
      <c r="B116" t="s">
        <v>655</v>
      </c>
      <c r="C116" t="s">
        <v>230</v>
      </c>
      <c r="D116" t="s">
        <v>173</v>
      </c>
      <c r="E116" t="s">
        <v>656</v>
      </c>
      <c r="F116" t="s">
        <v>657</v>
      </c>
      <c r="G116" t="s">
        <v>31</v>
      </c>
      <c r="H116" t="s">
        <v>658</v>
      </c>
      <c r="I116" t="s">
        <v>4860</v>
      </c>
      <c r="J116" t="s">
        <v>660</v>
      </c>
      <c r="K116" t="s">
        <v>661</v>
      </c>
      <c r="L116" t="s">
        <v>21</v>
      </c>
      <c r="M116">
        <v>1948</v>
      </c>
      <c r="N116" s="5">
        <f>ROUNDUP(Clean_Data[[#This Row],[Year_Num]]/100,0)</f>
        <v>20</v>
      </c>
      <c r="O116" s="5" t="str" cm="1">
        <f t="array" ref="O116">_xlfn.LET(_xlpm.y,Clean_Data[[#This Row],[Year_Num]],_xlfn.IFS(_xlpm.y&lt;500,"Ancient",_xlpm.y&lt;1500,"Medieval",_xlpm.y&lt;1800,"Early Modern",_xlpm.y&lt;1946,"Modern",TRUE,"Contemporary"))</f>
        <v>Contemporary</v>
      </c>
      <c r="P116" s="5" t="str">
        <f>_xlfn.XLOOKUP(Clean_Data[[#This Row],[Country]],country_region[Country],country_region[Country_Standard],"Not found")</f>
        <v>Sri Lanka</v>
      </c>
      <c r="Q116" s="5" t="str">
        <f>_xlfn.XLOOKUP(Clean_Data[[#This Row],[Country]],country_region[Country],country_region[Region],"Not found")</f>
        <v>South Asia</v>
      </c>
      <c r="R116" s="5" t="str">
        <f>_xlfn.XLOOKUP(Clean_Data[[#This Row],[Type of Event]],event_type_category[Type of Event],event_type_category[Category],"Not found")</f>
        <v>Politics &amp; Law</v>
      </c>
    </row>
    <row r="117" spans="1:18">
      <c r="A117">
        <v>125</v>
      </c>
      <c r="B117" t="s">
        <v>662</v>
      </c>
      <c r="C117" t="s">
        <v>165</v>
      </c>
      <c r="D117" t="s">
        <v>100</v>
      </c>
      <c r="E117" t="s">
        <v>494</v>
      </c>
      <c r="F117" t="s">
        <v>657</v>
      </c>
      <c r="G117" t="s">
        <v>145</v>
      </c>
      <c r="H117" t="s">
        <v>657</v>
      </c>
      <c r="I117" t="s">
        <v>663</v>
      </c>
      <c r="J117" t="s">
        <v>664</v>
      </c>
      <c r="K117" t="s">
        <v>665</v>
      </c>
      <c r="L117" t="s">
        <v>54</v>
      </c>
      <c r="M117">
        <v>1956</v>
      </c>
      <c r="N117" s="5">
        <f>ROUNDUP(Clean_Data[[#This Row],[Year_Num]]/100,0)</f>
        <v>20</v>
      </c>
      <c r="O117" s="5" t="str" cm="1">
        <f t="array" ref="O117">_xlfn.LET(_xlpm.y,Clean_Data[[#This Row],[Year_Num]],_xlfn.IFS(_xlpm.y&lt;500,"Ancient",_xlpm.y&lt;1500,"Medieval",_xlpm.y&lt;1800,"Early Modern",_xlpm.y&lt;1946,"Modern",TRUE,"Contemporary"))</f>
        <v>Contemporary</v>
      </c>
      <c r="P117" s="5" t="str">
        <f>_xlfn.XLOOKUP(Clean_Data[[#This Row],[Country]],country_region[Country],country_region[Country_Standard],"Not found")</f>
        <v>Sri Lanka</v>
      </c>
      <c r="Q117" s="5" t="str">
        <f>_xlfn.XLOOKUP(Clean_Data[[#This Row],[Country]],country_region[Country],country_region[Region],"Not found")</f>
        <v>South Asia</v>
      </c>
      <c r="R117" s="5" t="str">
        <f>_xlfn.XLOOKUP(Clean_Data[[#This Row],[Type of Event]],event_type_category[Type of Event],event_type_category[Category],"Not found")</f>
        <v>Politics &amp; Law</v>
      </c>
    </row>
    <row r="118" spans="1:18">
      <c r="A118">
        <v>126</v>
      </c>
      <c r="B118" t="s">
        <v>666</v>
      </c>
      <c r="C118" t="s">
        <v>99</v>
      </c>
      <c r="D118" t="s">
        <v>211</v>
      </c>
      <c r="E118" t="s">
        <v>272</v>
      </c>
      <c r="F118" t="s">
        <v>657</v>
      </c>
      <c r="G118" t="s">
        <v>667</v>
      </c>
      <c r="H118" t="s">
        <v>668</v>
      </c>
      <c r="I118" t="s">
        <v>669</v>
      </c>
      <c r="J118" t="s">
        <v>670</v>
      </c>
      <c r="K118" t="s">
        <v>671</v>
      </c>
      <c r="L118" t="s">
        <v>54</v>
      </c>
      <c r="M118">
        <v>1983</v>
      </c>
      <c r="N118" s="5">
        <f>ROUNDUP(Clean_Data[[#This Row],[Year_Num]]/100,0)</f>
        <v>20</v>
      </c>
      <c r="O118" s="5" t="str" cm="1">
        <f t="array" ref="O118">_xlfn.LET(_xlpm.y,Clean_Data[[#This Row],[Year_Num]],_xlfn.IFS(_xlpm.y&lt;500,"Ancient",_xlpm.y&lt;1500,"Medieval",_xlpm.y&lt;1800,"Early Modern",_xlpm.y&lt;1946,"Modern",TRUE,"Contemporary"))</f>
        <v>Contemporary</v>
      </c>
      <c r="P118" s="5" t="str">
        <f>_xlfn.XLOOKUP(Clean_Data[[#This Row],[Country]],country_region[Country],country_region[Country_Standard],"Not found")</f>
        <v>Sri Lanka</v>
      </c>
      <c r="Q118" s="5" t="str">
        <f>_xlfn.XLOOKUP(Clean_Data[[#This Row],[Country]],country_region[Country],country_region[Region],"Not found")</f>
        <v>South Asia</v>
      </c>
      <c r="R118" s="5" t="str">
        <f>_xlfn.XLOOKUP(Clean_Data[[#This Row],[Type of Event]],event_type_category[Type of Event],event_type_category[Category],"Not found")</f>
        <v>War &amp; Conflict</v>
      </c>
    </row>
    <row r="119" spans="1:18">
      <c r="A119">
        <v>127</v>
      </c>
      <c r="B119" t="s">
        <v>672</v>
      </c>
      <c r="C119" t="s">
        <v>82</v>
      </c>
      <c r="D119" t="s">
        <v>66</v>
      </c>
      <c r="E119" t="s">
        <v>643</v>
      </c>
      <c r="F119" t="s">
        <v>657</v>
      </c>
      <c r="G119" t="s">
        <v>280</v>
      </c>
      <c r="H119" t="s">
        <v>673</v>
      </c>
      <c r="I119" t="s">
        <v>674</v>
      </c>
      <c r="J119" t="s">
        <v>675</v>
      </c>
      <c r="L119" t="s">
        <v>54</v>
      </c>
      <c r="M119">
        <v>2004</v>
      </c>
      <c r="N119" s="5">
        <f>ROUNDUP(Clean_Data[[#This Row],[Year_Num]]/100,0)</f>
        <v>21</v>
      </c>
      <c r="O119" s="5" t="str" cm="1">
        <f t="array" ref="O119">_xlfn.LET(_xlpm.y,Clean_Data[[#This Row],[Year_Num]],_xlfn.IFS(_xlpm.y&lt;500,"Ancient",_xlpm.y&lt;1500,"Medieval",_xlpm.y&lt;1800,"Early Modern",_xlpm.y&lt;1946,"Modern",TRUE,"Contemporary"))</f>
        <v>Contemporary</v>
      </c>
      <c r="P119" s="5" t="str">
        <f>_xlfn.XLOOKUP(Clean_Data[[#This Row],[Country]],country_region[Country],country_region[Country_Standard],"Not found")</f>
        <v>Sri Lanka</v>
      </c>
      <c r="Q119" s="5" t="str">
        <f>_xlfn.XLOOKUP(Clean_Data[[#This Row],[Country]],country_region[Country],country_region[Region],"Not found")</f>
        <v>South Asia</v>
      </c>
      <c r="R119" s="5" t="str">
        <f>_xlfn.XLOOKUP(Clean_Data[[#This Row],[Type of Event]],event_type_category[Type of Event],event_type_category[Category],"Not found")</f>
        <v>Disasters &amp; Accidents</v>
      </c>
    </row>
    <row r="120" spans="1:18">
      <c r="A120">
        <v>128</v>
      </c>
      <c r="B120" t="s">
        <v>676</v>
      </c>
      <c r="C120" t="s">
        <v>195</v>
      </c>
      <c r="D120" t="s">
        <v>47</v>
      </c>
      <c r="E120" t="s">
        <v>231</v>
      </c>
      <c r="F120" t="s">
        <v>657</v>
      </c>
      <c r="G120" t="s">
        <v>356</v>
      </c>
      <c r="H120" t="s">
        <v>677</v>
      </c>
      <c r="I120" t="s">
        <v>678</v>
      </c>
      <c r="J120" t="s">
        <v>679</v>
      </c>
      <c r="K120" t="s">
        <v>680</v>
      </c>
      <c r="L120" t="s">
        <v>21</v>
      </c>
      <c r="M120">
        <v>2009</v>
      </c>
      <c r="N120" s="5">
        <f>ROUNDUP(Clean_Data[[#This Row],[Year_Num]]/100,0)</f>
        <v>21</v>
      </c>
      <c r="O120" s="5" t="str" cm="1">
        <f t="array" ref="O120">_xlfn.LET(_xlpm.y,Clean_Data[[#This Row],[Year_Num]],_xlfn.IFS(_xlpm.y&lt;500,"Ancient",_xlpm.y&lt;1500,"Medieval",_xlpm.y&lt;1800,"Early Modern",_xlpm.y&lt;1946,"Modern",TRUE,"Contemporary"))</f>
        <v>Contemporary</v>
      </c>
      <c r="P120" s="5" t="str">
        <f>_xlfn.XLOOKUP(Clean_Data[[#This Row],[Country]],country_region[Country],country_region[Country_Standard],"Not found")</f>
        <v>Sri Lanka</v>
      </c>
      <c r="Q120" s="5" t="str">
        <f>_xlfn.XLOOKUP(Clean_Data[[#This Row],[Country]],country_region[Country],country_region[Region],"Not found")</f>
        <v>South Asia</v>
      </c>
      <c r="R120" s="5" t="str">
        <f>_xlfn.XLOOKUP(Clean_Data[[#This Row],[Type of Event]],event_type_category[Type of Event],event_type_category[Category],"Not found")</f>
        <v>War &amp; Conflict</v>
      </c>
    </row>
    <row r="121" spans="1:18">
      <c r="A121">
        <v>129</v>
      </c>
      <c r="B121" t="s">
        <v>681</v>
      </c>
      <c r="E121" t="s">
        <v>682</v>
      </c>
      <c r="F121" t="s">
        <v>657</v>
      </c>
      <c r="G121" t="s">
        <v>683</v>
      </c>
      <c r="H121" t="s">
        <v>657</v>
      </c>
      <c r="I121" t="s">
        <v>4861</v>
      </c>
      <c r="J121" t="s">
        <v>685</v>
      </c>
      <c r="K121" t="s">
        <v>686</v>
      </c>
      <c r="L121" t="s">
        <v>21</v>
      </c>
      <c r="M121">
        <v>1945</v>
      </c>
      <c r="N121" s="5">
        <f>ROUNDUP(Clean_Data[[#This Row],[Year_Num]]/100,0)</f>
        <v>20</v>
      </c>
      <c r="O121" s="5" t="str" cm="1">
        <f t="array" ref="O121">_xlfn.LET(_xlpm.y,Clean_Data[[#This Row],[Year_Num]],_xlfn.IFS(_xlpm.y&lt;500,"Ancient",_xlpm.y&lt;1500,"Medieval",_xlpm.y&lt;1800,"Early Modern",_xlpm.y&lt;1946,"Modern",TRUE,"Contemporary"))</f>
        <v>Modern</v>
      </c>
      <c r="P121" s="5" t="str">
        <f>_xlfn.XLOOKUP(Clean_Data[[#This Row],[Country]],country_region[Country],country_region[Country_Standard],"Not found")</f>
        <v>Sri Lanka</v>
      </c>
      <c r="Q121" s="5" t="str">
        <f>_xlfn.XLOOKUP(Clean_Data[[#This Row],[Country]],country_region[Country],country_region[Region],"Not found")</f>
        <v>South Asia</v>
      </c>
      <c r="R121" s="5" t="str">
        <f>_xlfn.XLOOKUP(Clean_Data[[#This Row],[Type of Event]],event_type_category[Type of Event],event_type_category[Category],"Not found")</f>
        <v>Society &amp; Health</v>
      </c>
    </row>
    <row r="122" spans="1:18">
      <c r="A122">
        <v>130</v>
      </c>
      <c r="B122" t="s">
        <v>687</v>
      </c>
      <c r="C122" t="s">
        <v>325</v>
      </c>
      <c r="D122" t="s">
        <v>47</v>
      </c>
      <c r="E122" t="s">
        <v>591</v>
      </c>
      <c r="F122" t="s">
        <v>657</v>
      </c>
      <c r="G122" t="s">
        <v>495</v>
      </c>
      <c r="H122" t="s">
        <v>658</v>
      </c>
      <c r="I122" t="s">
        <v>688</v>
      </c>
      <c r="J122" t="s">
        <v>660</v>
      </c>
      <c r="K122" t="s">
        <v>689</v>
      </c>
      <c r="L122" t="s">
        <v>21</v>
      </c>
      <c r="M122">
        <v>1972</v>
      </c>
      <c r="N122" s="5">
        <f>ROUNDUP(Clean_Data[[#This Row],[Year_Num]]/100,0)</f>
        <v>20</v>
      </c>
      <c r="O122" s="5" t="str" cm="1">
        <f t="array" ref="O122">_xlfn.LET(_xlpm.y,Clean_Data[[#This Row],[Year_Num]],_xlfn.IFS(_xlpm.y&lt;500,"Ancient",_xlpm.y&lt;1500,"Medieval",_xlpm.y&lt;1800,"Early Modern",_xlpm.y&lt;1946,"Modern",TRUE,"Contemporary"))</f>
        <v>Contemporary</v>
      </c>
      <c r="P122" s="5" t="str">
        <f>_xlfn.XLOOKUP(Clean_Data[[#This Row],[Country]],country_region[Country],country_region[Country_Standard],"Not found")</f>
        <v>Sri Lanka</v>
      </c>
      <c r="Q122" s="5" t="str">
        <f>_xlfn.XLOOKUP(Clean_Data[[#This Row],[Country]],country_region[Country],country_region[Region],"Not found")</f>
        <v>South Asia</v>
      </c>
      <c r="R122" s="5" t="str">
        <f>_xlfn.XLOOKUP(Clean_Data[[#This Row],[Type of Event]],event_type_category[Type of Event],event_type_category[Category],"Not found")</f>
        <v>Politics &amp; Law</v>
      </c>
    </row>
    <row r="123" spans="1:18">
      <c r="A123">
        <v>131</v>
      </c>
      <c r="B123" t="s">
        <v>690</v>
      </c>
      <c r="E123" t="s">
        <v>691</v>
      </c>
      <c r="F123" t="s">
        <v>657</v>
      </c>
      <c r="G123" t="s">
        <v>692</v>
      </c>
      <c r="H123" t="s">
        <v>693</v>
      </c>
      <c r="I123" t="s">
        <v>694</v>
      </c>
      <c r="J123" t="s">
        <v>695</v>
      </c>
      <c r="K123" t="s">
        <v>696</v>
      </c>
      <c r="L123" t="s">
        <v>21</v>
      </c>
      <c r="M123">
        <v>1977</v>
      </c>
      <c r="N123" s="5">
        <f>ROUNDUP(Clean_Data[[#This Row],[Year_Num]]/100,0)</f>
        <v>20</v>
      </c>
      <c r="O123" s="5" t="str" cm="1">
        <f t="array" ref="O123">_xlfn.LET(_xlpm.y,Clean_Data[[#This Row],[Year_Num]],_xlfn.IFS(_xlpm.y&lt;500,"Ancient",_xlpm.y&lt;1500,"Medieval",_xlpm.y&lt;1800,"Early Modern",_xlpm.y&lt;1946,"Modern",TRUE,"Contemporary"))</f>
        <v>Contemporary</v>
      </c>
      <c r="P123" s="5" t="str">
        <f>_xlfn.XLOOKUP(Clean_Data[[#This Row],[Country]],country_region[Country],country_region[Country_Standard],"Not found")</f>
        <v>Sri Lanka</v>
      </c>
      <c r="Q123" s="5" t="str">
        <f>_xlfn.XLOOKUP(Clean_Data[[#This Row],[Country]],country_region[Country],country_region[Region],"Not found")</f>
        <v>South Asia</v>
      </c>
      <c r="R123" s="5" t="str">
        <f>_xlfn.XLOOKUP(Clean_Data[[#This Row],[Type of Event]],event_type_category[Type of Event],event_type_category[Category],"Not found")</f>
        <v>Economy &amp; Infrastructure</v>
      </c>
    </row>
    <row r="124" spans="1:18">
      <c r="A124">
        <v>132</v>
      </c>
      <c r="B124" t="s">
        <v>4862</v>
      </c>
      <c r="C124" t="s">
        <v>633</v>
      </c>
      <c r="D124" t="s">
        <v>211</v>
      </c>
      <c r="E124" t="s">
        <v>698</v>
      </c>
      <c r="F124" t="s">
        <v>657</v>
      </c>
      <c r="G124" t="s">
        <v>581</v>
      </c>
      <c r="H124" t="s">
        <v>658</v>
      </c>
      <c r="I124" t="s">
        <v>699</v>
      </c>
      <c r="J124" t="s">
        <v>670</v>
      </c>
      <c r="K124" t="s">
        <v>700</v>
      </c>
      <c r="L124" t="s">
        <v>36</v>
      </c>
      <c r="M124">
        <v>1987</v>
      </c>
      <c r="N124" s="5">
        <f>ROUNDUP(Clean_Data[[#This Row],[Year_Num]]/100,0)</f>
        <v>20</v>
      </c>
      <c r="O124" s="5" t="str" cm="1">
        <f t="array" ref="O124">_xlfn.LET(_xlpm.y,Clean_Data[[#This Row],[Year_Num]],_xlfn.IFS(_xlpm.y&lt;500,"Ancient",_xlpm.y&lt;1500,"Medieval",_xlpm.y&lt;1800,"Early Modern",_xlpm.y&lt;1946,"Modern",TRUE,"Contemporary"))</f>
        <v>Contemporary</v>
      </c>
      <c r="P124" s="5" t="str">
        <f>_xlfn.XLOOKUP(Clean_Data[[#This Row],[Country]],country_region[Country],country_region[Country_Standard],"Not found")</f>
        <v>Sri Lanka</v>
      </c>
      <c r="Q124" s="5" t="str">
        <f>_xlfn.XLOOKUP(Clean_Data[[#This Row],[Country]],country_region[Country],country_region[Region],"Not found")</f>
        <v>South Asia</v>
      </c>
      <c r="R124" s="5" t="str">
        <f>_xlfn.XLOOKUP(Clean_Data[[#This Row],[Type of Event]],event_type_category[Type of Event],event_type_category[Category],"Not found")</f>
        <v>Diplomacy &amp; International Relations</v>
      </c>
    </row>
    <row r="125" spans="1:18">
      <c r="A125">
        <v>133</v>
      </c>
      <c r="B125" t="s">
        <v>701</v>
      </c>
      <c r="C125" t="s">
        <v>325</v>
      </c>
      <c r="D125" t="s">
        <v>173</v>
      </c>
      <c r="E125" t="s">
        <v>648</v>
      </c>
      <c r="F125" t="s">
        <v>657</v>
      </c>
      <c r="G125" t="s">
        <v>702</v>
      </c>
      <c r="H125" t="s">
        <v>300</v>
      </c>
      <c r="I125" t="s">
        <v>703</v>
      </c>
      <c r="J125" t="s">
        <v>4863</v>
      </c>
      <c r="K125" t="s">
        <v>705</v>
      </c>
      <c r="L125" t="s">
        <v>36</v>
      </c>
      <c r="M125">
        <v>2002</v>
      </c>
      <c r="N125" s="5">
        <f>ROUNDUP(Clean_Data[[#This Row],[Year_Num]]/100,0)</f>
        <v>21</v>
      </c>
      <c r="O125" s="5" t="str" cm="1">
        <f t="array" ref="O125">_xlfn.LET(_xlpm.y,Clean_Data[[#This Row],[Year_Num]],_xlfn.IFS(_xlpm.y&lt;500,"Ancient",_xlpm.y&lt;1500,"Medieval",_xlpm.y&lt;1800,"Early Modern",_xlpm.y&lt;1946,"Modern",TRUE,"Contemporary"))</f>
        <v>Contemporary</v>
      </c>
      <c r="P125" s="5" t="str">
        <f>_xlfn.XLOOKUP(Clean_Data[[#This Row],[Country]],country_region[Country],country_region[Country_Standard],"Not found")</f>
        <v>Sri Lanka</v>
      </c>
      <c r="Q125" s="5" t="str">
        <f>_xlfn.XLOOKUP(Clean_Data[[#This Row],[Country]],country_region[Country],country_region[Region],"Not found")</f>
        <v>South Asia</v>
      </c>
      <c r="R125" s="5" t="str">
        <f>_xlfn.XLOOKUP(Clean_Data[[#This Row],[Type of Event]],event_type_category[Type of Event],event_type_category[Category],"Not found")</f>
        <v>Diplomacy &amp; International Relations</v>
      </c>
    </row>
    <row r="126" spans="1:18">
      <c r="A126">
        <v>134</v>
      </c>
      <c r="B126" t="s">
        <v>706</v>
      </c>
      <c r="C126" t="s">
        <v>195</v>
      </c>
      <c r="D126" t="s">
        <v>47</v>
      </c>
      <c r="E126" t="s">
        <v>623</v>
      </c>
      <c r="F126" t="s">
        <v>657</v>
      </c>
      <c r="G126" t="s">
        <v>707</v>
      </c>
      <c r="H126" t="s">
        <v>300</v>
      </c>
      <c r="I126" t="s">
        <v>708</v>
      </c>
      <c r="J126" t="s">
        <v>660</v>
      </c>
      <c r="K126" t="s">
        <v>696</v>
      </c>
      <c r="L126" t="s">
        <v>21</v>
      </c>
      <c r="M126">
        <v>2010</v>
      </c>
      <c r="N126" s="5">
        <f>ROUNDUP(Clean_Data[[#This Row],[Year_Num]]/100,0)</f>
        <v>21</v>
      </c>
      <c r="O126" s="5" t="str" cm="1">
        <f t="array" ref="O126">_xlfn.LET(_xlpm.y,Clean_Data[[#This Row],[Year_Num]],_xlfn.IFS(_xlpm.y&lt;500,"Ancient",_xlpm.y&lt;1500,"Medieval",_xlpm.y&lt;1800,"Early Modern",_xlpm.y&lt;1946,"Modern",TRUE,"Contemporary"))</f>
        <v>Contemporary</v>
      </c>
      <c r="P126" s="5" t="str">
        <f>_xlfn.XLOOKUP(Clean_Data[[#This Row],[Country]],country_region[Country],country_region[Country_Standard],"Not found")</f>
        <v>Sri Lanka</v>
      </c>
      <c r="Q126" s="5" t="str">
        <f>_xlfn.XLOOKUP(Clean_Data[[#This Row],[Country]],country_region[Country],country_region[Region],"Not found")</f>
        <v>South Asia</v>
      </c>
      <c r="R126" s="5" t="str">
        <f>_xlfn.XLOOKUP(Clean_Data[[#This Row],[Type of Event]],event_type_category[Type of Event],event_type_category[Category],"Not found")</f>
        <v>Culture, Religion &amp; Sport</v>
      </c>
    </row>
    <row r="127" spans="1:18">
      <c r="A127">
        <v>135</v>
      </c>
      <c r="B127" t="s">
        <v>709</v>
      </c>
      <c r="C127" t="s">
        <v>362</v>
      </c>
      <c r="D127" t="s">
        <v>57</v>
      </c>
      <c r="E127" t="s">
        <v>438</v>
      </c>
      <c r="F127" t="s">
        <v>657</v>
      </c>
      <c r="G127" t="s">
        <v>213</v>
      </c>
      <c r="H127" t="s">
        <v>658</v>
      </c>
      <c r="I127" t="s">
        <v>710</v>
      </c>
      <c r="J127" t="s">
        <v>711</v>
      </c>
      <c r="K127" t="s">
        <v>696</v>
      </c>
      <c r="L127" t="s">
        <v>21</v>
      </c>
      <c r="M127">
        <v>1950</v>
      </c>
      <c r="N127" s="5">
        <f>ROUNDUP(Clean_Data[[#This Row],[Year_Num]]/100,0)</f>
        <v>20</v>
      </c>
      <c r="O127" s="5" t="str" cm="1">
        <f t="array" ref="O127">_xlfn.LET(_xlpm.y,Clean_Data[[#This Row],[Year_Num]],_xlfn.IFS(_xlpm.y&lt;500,"Ancient",_xlpm.y&lt;1500,"Medieval",_xlpm.y&lt;1800,"Early Modern",_xlpm.y&lt;1946,"Modern",TRUE,"Contemporary"))</f>
        <v>Contemporary</v>
      </c>
      <c r="P127" s="5" t="str">
        <f>_xlfn.XLOOKUP(Clean_Data[[#This Row],[Country]],country_region[Country],country_region[Country_Standard],"Not found")</f>
        <v>Sri Lanka</v>
      </c>
      <c r="Q127" s="5" t="str">
        <f>_xlfn.XLOOKUP(Clean_Data[[#This Row],[Country]],country_region[Country],country_region[Region],"Not found")</f>
        <v>South Asia</v>
      </c>
      <c r="R127" s="5" t="str">
        <f>_xlfn.XLOOKUP(Clean_Data[[#This Row],[Type of Event]],event_type_category[Type of Event],event_type_category[Category],"Not found")</f>
        <v>Economy &amp; Infrastructure</v>
      </c>
    </row>
    <row r="128" spans="1:18">
      <c r="A128">
        <v>136</v>
      </c>
      <c r="B128" t="s">
        <v>712</v>
      </c>
      <c r="C128" t="s">
        <v>230</v>
      </c>
      <c r="D128" t="s">
        <v>173</v>
      </c>
      <c r="E128" t="s">
        <v>713</v>
      </c>
      <c r="F128" t="s">
        <v>657</v>
      </c>
      <c r="G128" t="s">
        <v>31</v>
      </c>
      <c r="H128" t="s">
        <v>657</v>
      </c>
      <c r="I128" t="s">
        <v>714</v>
      </c>
      <c r="J128" t="s">
        <v>660</v>
      </c>
      <c r="K128" t="s">
        <v>715</v>
      </c>
      <c r="L128" t="s">
        <v>36</v>
      </c>
      <c r="M128">
        <v>1978</v>
      </c>
      <c r="N128" s="5">
        <f>ROUNDUP(Clean_Data[[#This Row],[Year_Num]]/100,0)</f>
        <v>20</v>
      </c>
      <c r="O128" s="5" t="str" cm="1">
        <f t="array" ref="O128">_xlfn.LET(_xlpm.y,Clean_Data[[#This Row],[Year_Num]],_xlfn.IFS(_xlpm.y&lt;500,"Ancient",_xlpm.y&lt;1500,"Medieval",_xlpm.y&lt;1800,"Early Modern",_xlpm.y&lt;1946,"Modern",TRUE,"Contemporary"))</f>
        <v>Contemporary</v>
      </c>
      <c r="P128" s="5" t="str">
        <f>_xlfn.XLOOKUP(Clean_Data[[#This Row],[Country]],country_region[Country],country_region[Country_Standard],"Not found")</f>
        <v>Sri Lanka</v>
      </c>
      <c r="Q128" s="5" t="str">
        <f>_xlfn.XLOOKUP(Clean_Data[[#This Row],[Country]],country_region[Country],country_region[Region],"Not found")</f>
        <v>South Asia</v>
      </c>
      <c r="R128" s="5" t="str">
        <f>_xlfn.XLOOKUP(Clean_Data[[#This Row],[Type of Event]],event_type_category[Type of Event],event_type_category[Category],"Not found")</f>
        <v>Politics &amp; Law</v>
      </c>
    </row>
    <row r="129" spans="1:18">
      <c r="A129">
        <v>137</v>
      </c>
      <c r="B129" t="s">
        <v>716</v>
      </c>
      <c r="E129" t="s">
        <v>185</v>
      </c>
      <c r="F129" t="s">
        <v>657</v>
      </c>
      <c r="G129" t="s">
        <v>717</v>
      </c>
      <c r="H129" t="s">
        <v>657</v>
      </c>
      <c r="I129" t="s">
        <v>718</v>
      </c>
      <c r="J129" t="s">
        <v>660</v>
      </c>
      <c r="K129" t="s">
        <v>696</v>
      </c>
      <c r="L129" t="s">
        <v>21</v>
      </c>
      <c r="M129">
        <v>1951</v>
      </c>
      <c r="N129" s="5">
        <f>ROUNDUP(Clean_Data[[#This Row],[Year_Num]]/100,0)</f>
        <v>20</v>
      </c>
      <c r="O129" s="5" t="str" cm="1">
        <f t="array" ref="O129">_xlfn.LET(_xlpm.y,Clean_Data[[#This Row],[Year_Num]],_xlfn.IFS(_xlpm.y&lt;500,"Ancient",_xlpm.y&lt;1500,"Medieval",_xlpm.y&lt;1800,"Early Modern",_xlpm.y&lt;1946,"Modern",TRUE,"Contemporary"))</f>
        <v>Contemporary</v>
      </c>
      <c r="P129" s="5" t="str">
        <f>_xlfn.XLOOKUP(Clean_Data[[#This Row],[Country]],country_region[Country],country_region[Country_Standard],"Not found")</f>
        <v>Sri Lanka</v>
      </c>
      <c r="Q129" s="5" t="str">
        <f>_xlfn.XLOOKUP(Clean_Data[[#This Row],[Country]],country_region[Country],country_region[Region],"Not found")</f>
        <v>South Asia</v>
      </c>
      <c r="R129" s="5" t="str">
        <f>_xlfn.XLOOKUP(Clean_Data[[#This Row],[Type of Event]],event_type_category[Type of Event],event_type_category[Category],"Not found")</f>
        <v>Society &amp; Health</v>
      </c>
    </row>
    <row r="130" spans="1:18">
      <c r="A130">
        <v>138</v>
      </c>
      <c r="B130" t="s">
        <v>719</v>
      </c>
      <c r="C130" t="s">
        <v>38</v>
      </c>
      <c r="D130" t="s">
        <v>39</v>
      </c>
      <c r="E130" t="s">
        <v>235</v>
      </c>
      <c r="F130" t="s">
        <v>657</v>
      </c>
      <c r="G130" t="s">
        <v>85</v>
      </c>
      <c r="H130" t="s">
        <v>668</v>
      </c>
      <c r="I130" t="s">
        <v>720</v>
      </c>
      <c r="J130" t="s">
        <v>721</v>
      </c>
      <c r="K130" t="s">
        <v>722</v>
      </c>
      <c r="L130" t="s">
        <v>54</v>
      </c>
      <c r="M130">
        <v>2019</v>
      </c>
      <c r="N130" s="5">
        <f>ROUNDUP(Clean_Data[[#This Row],[Year_Num]]/100,0)</f>
        <v>21</v>
      </c>
      <c r="O130" s="5" t="str" cm="1">
        <f t="array" ref="O130">_xlfn.LET(_xlpm.y,Clean_Data[[#This Row],[Year_Num]],_xlfn.IFS(_xlpm.y&lt;500,"Ancient",_xlpm.y&lt;1500,"Medieval",_xlpm.y&lt;1800,"Early Modern",_xlpm.y&lt;1946,"Modern",TRUE,"Contemporary"))</f>
        <v>Contemporary</v>
      </c>
      <c r="P130" s="5" t="str">
        <f>_xlfn.XLOOKUP(Clean_Data[[#This Row],[Country]],country_region[Country],country_region[Country_Standard],"Not found")</f>
        <v>Sri Lanka</v>
      </c>
      <c r="Q130" s="5" t="str">
        <f>_xlfn.XLOOKUP(Clean_Data[[#This Row],[Country]],country_region[Country],country_region[Region],"Not found")</f>
        <v>South Asia</v>
      </c>
      <c r="R130" s="5" t="str">
        <f>_xlfn.XLOOKUP(Clean_Data[[#This Row],[Type of Event]],event_type_category[Type of Event],event_type_category[Category],"Not found")</f>
        <v>War &amp; Conflict</v>
      </c>
    </row>
    <row r="131" spans="1:18">
      <c r="A131">
        <v>139</v>
      </c>
      <c r="B131" t="s">
        <v>723</v>
      </c>
      <c r="E131" t="s">
        <v>411</v>
      </c>
      <c r="F131" t="s">
        <v>657</v>
      </c>
      <c r="G131" t="s">
        <v>724</v>
      </c>
      <c r="H131" t="s">
        <v>658</v>
      </c>
      <c r="I131" t="s">
        <v>725</v>
      </c>
      <c r="J131" t="s">
        <v>726</v>
      </c>
      <c r="K131" t="s">
        <v>696</v>
      </c>
      <c r="L131" t="s">
        <v>21</v>
      </c>
      <c r="M131">
        <v>1942</v>
      </c>
      <c r="N131" s="5">
        <f>ROUNDUP(Clean_Data[[#This Row],[Year_Num]]/100,0)</f>
        <v>20</v>
      </c>
      <c r="O131" s="5" t="str" cm="1">
        <f t="array" ref="O131">_xlfn.LET(_xlpm.y,Clean_Data[[#This Row],[Year_Num]],_xlfn.IFS(_xlpm.y&lt;500,"Ancient",_xlpm.y&lt;1500,"Medieval",_xlpm.y&lt;1800,"Early Modern",_xlpm.y&lt;1946,"Modern",TRUE,"Contemporary"))</f>
        <v>Modern</v>
      </c>
      <c r="P131" s="5" t="str">
        <f>_xlfn.XLOOKUP(Clean_Data[[#This Row],[Country]],country_region[Country],country_region[Country_Standard],"Not found")</f>
        <v>Sri Lanka</v>
      </c>
      <c r="Q131" s="5" t="str">
        <f>_xlfn.XLOOKUP(Clean_Data[[#This Row],[Country]],country_region[Country],country_region[Region],"Not found")</f>
        <v>South Asia</v>
      </c>
      <c r="R131" s="5" t="str">
        <f>_xlfn.XLOOKUP(Clean_Data[[#This Row],[Type of Event]],event_type_category[Type of Event],event_type_category[Category],"Not found")</f>
        <v>Society &amp; Health</v>
      </c>
    </row>
    <row r="132" spans="1:18">
      <c r="A132">
        <v>140</v>
      </c>
      <c r="B132" t="s">
        <v>727</v>
      </c>
      <c r="E132" t="s">
        <v>591</v>
      </c>
      <c r="F132" t="s">
        <v>657</v>
      </c>
      <c r="G132" t="s">
        <v>728</v>
      </c>
      <c r="H132" t="s">
        <v>657</v>
      </c>
      <c r="I132" t="s">
        <v>729</v>
      </c>
      <c r="J132" t="s">
        <v>730</v>
      </c>
      <c r="K132" t="s">
        <v>696</v>
      </c>
      <c r="L132" t="s">
        <v>36</v>
      </c>
      <c r="M132">
        <v>1972</v>
      </c>
      <c r="N132" s="5">
        <f>ROUNDUP(Clean_Data[[#This Row],[Year_Num]]/100,0)</f>
        <v>20</v>
      </c>
      <c r="O132" s="5" t="str" cm="1">
        <f t="array" ref="O132">_xlfn.LET(_xlpm.y,Clean_Data[[#This Row],[Year_Num]],_xlfn.IFS(_xlpm.y&lt;500,"Ancient",_xlpm.y&lt;1500,"Medieval",_xlpm.y&lt;1800,"Early Modern",_xlpm.y&lt;1946,"Modern",TRUE,"Contemporary"))</f>
        <v>Contemporary</v>
      </c>
      <c r="P132" s="5" t="str">
        <f>_xlfn.XLOOKUP(Clean_Data[[#This Row],[Country]],country_region[Country],country_region[Country_Standard],"Not found")</f>
        <v>Sri Lanka</v>
      </c>
      <c r="Q132" s="5" t="str">
        <f>_xlfn.XLOOKUP(Clean_Data[[#This Row],[Country]],country_region[Country],country_region[Region],"Not found")</f>
        <v>South Asia</v>
      </c>
      <c r="R132" s="5" t="str">
        <f>_xlfn.XLOOKUP(Clean_Data[[#This Row],[Type of Event]],event_type_category[Type of Event],event_type_category[Category],"Not found")</f>
        <v>Economy &amp; Infrastructure</v>
      </c>
    </row>
    <row r="133" spans="1:18">
      <c r="A133">
        <v>141</v>
      </c>
      <c r="B133" t="s">
        <v>731</v>
      </c>
      <c r="E133" t="s">
        <v>732</v>
      </c>
      <c r="F133" t="s">
        <v>657</v>
      </c>
      <c r="G133" t="s">
        <v>145</v>
      </c>
      <c r="H133" t="s">
        <v>657</v>
      </c>
      <c r="I133" t="s">
        <v>733</v>
      </c>
      <c r="J133" t="s">
        <v>734</v>
      </c>
      <c r="K133" t="s">
        <v>735</v>
      </c>
      <c r="L133" t="s">
        <v>21</v>
      </c>
      <c r="M133">
        <v>1931</v>
      </c>
      <c r="N133" s="5">
        <f>ROUNDUP(Clean_Data[[#This Row],[Year_Num]]/100,0)</f>
        <v>20</v>
      </c>
      <c r="O133" s="5" t="str" cm="1">
        <f t="array" ref="O133">_xlfn.LET(_xlpm.y,Clean_Data[[#This Row],[Year_Num]],_xlfn.IFS(_xlpm.y&lt;500,"Ancient",_xlpm.y&lt;1500,"Medieval",_xlpm.y&lt;1800,"Early Modern",_xlpm.y&lt;1946,"Modern",TRUE,"Contemporary"))</f>
        <v>Modern</v>
      </c>
      <c r="P133" s="5" t="str">
        <f>_xlfn.XLOOKUP(Clean_Data[[#This Row],[Country]],country_region[Country],country_region[Country_Standard],"Not found")</f>
        <v>Sri Lanka</v>
      </c>
      <c r="Q133" s="5" t="str">
        <f>_xlfn.XLOOKUP(Clean_Data[[#This Row],[Country]],country_region[Country],country_region[Region],"Not found")</f>
        <v>South Asia</v>
      </c>
      <c r="R133" s="5" t="str">
        <f>_xlfn.XLOOKUP(Clean_Data[[#This Row],[Type of Event]],event_type_category[Type of Event],event_type_category[Category],"Not found")</f>
        <v>Politics &amp; Law</v>
      </c>
    </row>
    <row r="134" spans="1:18">
      <c r="A134">
        <v>142</v>
      </c>
      <c r="B134" t="s">
        <v>736</v>
      </c>
      <c r="E134" t="s">
        <v>737</v>
      </c>
      <c r="F134" t="s">
        <v>657</v>
      </c>
      <c r="G134" t="s">
        <v>738</v>
      </c>
      <c r="H134" t="s">
        <v>658</v>
      </c>
      <c r="I134" t="s">
        <v>739</v>
      </c>
      <c r="J134" t="s">
        <v>660</v>
      </c>
      <c r="K134" t="s">
        <v>696</v>
      </c>
      <c r="L134" t="s">
        <v>21</v>
      </c>
      <c r="M134">
        <v>1967</v>
      </c>
      <c r="N134" s="5">
        <f>ROUNDUP(Clean_Data[[#This Row],[Year_Num]]/100,0)</f>
        <v>20</v>
      </c>
      <c r="O134" s="5" t="str" cm="1">
        <f t="array" ref="O134">_xlfn.LET(_xlpm.y,Clean_Data[[#This Row],[Year_Num]],_xlfn.IFS(_xlpm.y&lt;500,"Ancient",_xlpm.y&lt;1500,"Medieval",_xlpm.y&lt;1800,"Early Modern",_xlpm.y&lt;1946,"Modern",TRUE,"Contemporary"))</f>
        <v>Contemporary</v>
      </c>
      <c r="P134" s="5" t="str">
        <f>_xlfn.XLOOKUP(Clean_Data[[#This Row],[Country]],country_region[Country],country_region[Country_Standard],"Not found")</f>
        <v>Sri Lanka</v>
      </c>
      <c r="Q134" s="5" t="str">
        <f>_xlfn.XLOOKUP(Clean_Data[[#This Row],[Country]],country_region[Country],country_region[Region],"Not found")</f>
        <v>South Asia</v>
      </c>
      <c r="R134" s="5" t="str">
        <f>_xlfn.XLOOKUP(Clean_Data[[#This Row],[Type of Event]],event_type_category[Type of Event],event_type_category[Category],"Not found")</f>
        <v>Culture, Religion &amp; Sport</v>
      </c>
    </row>
    <row r="135" spans="1:18">
      <c r="A135">
        <v>143</v>
      </c>
      <c r="B135" t="s">
        <v>740</v>
      </c>
      <c r="E135" t="s">
        <v>741</v>
      </c>
      <c r="F135" t="s">
        <v>657</v>
      </c>
      <c r="G135" t="s">
        <v>742</v>
      </c>
      <c r="H135" t="s">
        <v>743</v>
      </c>
      <c r="I135" t="s">
        <v>744</v>
      </c>
      <c r="J135" t="s">
        <v>745</v>
      </c>
      <c r="K135" t="s">
        <v>746</v>
      </c>
      <c r="L135" t="s">
        <v>21</v>
      </c>
      <c r="M135">
        <v>1982</v>
      </c>
      <c r="N135" s="5">
        <f>ROUNDUP(Clean_Data[[#This Row],[Year_Num]]/100,0)</f>
        <v>20</v>
      </c>
      <c r="O135" s="5" t="str" cm="1">
        <f t="array" ref="O135">_xlfn.LET(_xlpm.y,Clean_Data[[#This Row],[Year_Num]],_xlfn.IFS(_xlpm.y&lt;500,"Ancient",_xlpm.y&lt;1500,"Medieval",_xlpm.y&lt;1800,"Early Modern",_xlpm.y&lt;1946,"Modern",TRUE,"Contemporary"))</f>
        <v>Contemporary</v>
      </c>
      <c r="P135" s="5" t="str">
        <f>_xlfn.XLOOKUP(Clean_Data[[#This Row],[Country]],country_region[Country],country_region[Country_Standard],"Not found")</f>
        <v>Sri Lanka</v>
      </c>
      <c r="Q135" s="5" t="str">
        <f>_xlfn.XLOOKUP(Clean_Data[[#This Row],[Country]],country_region[Country],country_region[Region],"Not found")</f>
        <v>South Asia</v>
      </c>
      <c r="R135" s="5" t="str">
        <f>_xlfn.XLOOKUP(Clean_Data[[#This Row],[Type of Event]],event_type_category[Type of Event],event_type_category[Category],"Not found")</f>
        <v>Culture, Religion &amp; Sport</v>
      </c>
    </row>
    <row r="136" spans="1:18">
      <c r="A136">
        <v>149</v>
      </c>
      <c r="B136" t="s">
        <v>747</v>
      </c>
      <c r="E136" t="s">
        <v>748</v>
      </c>
      <c r="F136" t="s">
        <v>749</v>
      </c>
      <c r="G136" t="s">
        <v>750</v>
      </c>
      <c r="H136" t="s">
        <v>751</v>
      </c>
      <c r="I136" t="s">
        <v>752</v>
      </c>
      <c r="J136" t="s">
        <v>753</v>
      </c>
      <c r="K136" t="s">
        <v>754</v>
      </c>
      <c r="L136" t="s">
        <v>21</v>
      </c>
      <c r="M136">
        <v>105</v>
      </c>
      <c r="N136" s="5">
        <f>ROUNDUP(Clean_Data[[#This Row],[Year_Num]]/100,0)</f>
        <v>2</v>
      </c>
      <c r="O136" s="5" t="str" cm="1">
        <f t="array" ref="O136">_xlfn.LET(_xlpm.y,Clean_Data[[#This Row],[Year_Num]],_xlfn.IFS(_xlpm.y&lt;500,"Ancient",_xlpm.y&lt;1500,"Medieval",_xlpm.y&lt;1800,"Early Modern",_xlpm.y&lt;1946,"Modern",TRUE,"Contemporary"))</f>
        <v>Ancient</v>
      </c>
      <c r="P136" s="5" t="str">
        <f>_xlfn.XLOOKUP(Clean_Data[[#This Row],[Country]],country_region[Country],country_region[Country_Standard],"Not found")</f>
        <v>China</v>
      </c>
      <c r="Q136" s="5" t="str">
        <f>_xlfn.XLOOKUP(Clean_Data[[#This Row],[Country]],country_region[Country],country_region[Region],"Not found")</f>
        <v>East Asia</v>
      </c>
      <c r="R136" s="5" t="str">
        <f>_xlfn.XLOOKUP(Clean_Data[[#This Row],[Type of Event]],event_type_category[Type of Event],event_type_category[Category],"Not found")</f>
        <v>Science, Technology &amp; Exploration</v>
      </c>
    </row>
    <row r="137" spans="1:18">
      <c r="A137">
        <v>150</v>
      </c>
      <c r="B137" t="s">
        <v>755</v>
      </c>
      <c r="E137" t="s">
        <v>756</v>
      </c>
      <c r="F137" t="s">
        <v>749</v>
      </c>
      <c r="G137" t="s">
        <v>757</v>
      </c>
      <c r="H137" t="s">
        <v>758</v>
      </c>
      <c r="I137" t="s">
        <v>759</v>
      </c>
      <c r="J137" t="s">
        <v>760</v>
      </c>
      <c r="K137" t="s">
        <v>761</v>
      </c>
      <c r="L137" t="s">
        <v>21</v>
      </c>
      <c r="M137">
        <v>68</v>
      </c>
      <c r="N137" s="5">
        <f>ROUNDUP(Clean_Data[[#This Row],[Year_Num]]/100,0)</f>
        <v>1</v>
      </c>
      <c r="O137" s="5" t="str" cm="1">
        <f t="array" ref="O137">_xlfn.LET(_xlpm.y,Clean_Data[[#This Row],[Year_Num]],_xlfn.IFS(_xlpm.y&lt;500,"Ancient",_xlpm.y&lt;1500,"Medieval",_xlpm.y&lt;1800,"Early Modern",_xlpm.y&lt;1946,"Modern",TRUE,"Contemporary"))</f>
        <v>Ancient</v>
      </c>
      <c r="P137" s="5" t="str">
        <f>_xlfn.XLOOKUP(Clean_Data[[#This Row],[Country]],country_region[Country],country_region[Country_Standard],"Not found")</f>
        <v>China</v>
      </c>
      <c r="Q137" s="5" t="str">
        <f>_xlfn.XLOOKUP(Clean_Data[[#This Row],[Country]],country_region[Country],country_region[Region],"Not found")</f>
        <v>East Asia</v>
      </c>
      <c r="R137" s="5" t="str">
        <f>_xlfn.XLOOKUP(Clean_Data[[#This Row],[Type of Event]],event_type_category[Type of Event],event_type_category[Category],"Not found")</f>
        <v>Culture, Religion &amp; Sport</v>
      </c>
    </row>
    <row r="138" spans="1:18">
      <c r="A138">
        <v>151</v>
      </c>
      <c r="B138" t="s">
        <v>762</v>
      </c>
      <c r="E138" t="s">
        <v>763</v>
      </c>
      <c r="F138" t="s">
        <v>749</v>
      </c>
      <c r="G138" t="s">
        <v>764</v>
      </c>
      <c r="H138" t="s">
        <v>765</v>
      </c>
      <c r="I138" t="s">
        <v>766</v>
      </c>
      <c r="J138" t="s">
        <v>767</v>
      </c>
      <c r="K138" t="s">
        <v>768</v>
      </c>
      <c r="L138" t="s">
        <v>36</v>
      </c>
      <c r="M138">
        <v>600</v>
      </c>
      <c r="N138" s="5">
        <f>ROUNDUP(Clean_Data[[#This Row],[Year_Num]]/100,0)</f>
        <v>6</v>
      </c>
      <c r="O138" s="5" t="str" cm="1">
        <f t="array" ref="O138">_xlfn.LET(_xlpm.y,Clean_Data[[#This Row],[Year_Num]],_xlfn.IFS(_xlpm.y&lt;500,"Ancient",_xlpm.y&lt;1500,"Medieval",_xlpm.y&lt;1800,"Early Modern",_xlpm.y&lt;1946,"Modern",TRUE,"Contemporary"))</f>
        <v>Medieval</v>
      </c>
      <c r="P138" s="5" t="str">
        <f>_xlfn.XLOOKUP(Clean_Data[[#This Row],[Country]],country_region[Country],country_region[Country_Standard],"Not found")</f>
        <v>China</v>
      </c>
      <c r="Q138" s="5" t="str">
        <f>_xlfn.XLOOKUP(Clean_Data[[#This Row],[Country]],country_region[Country],country_region[Region],"Not found")</f>
        <v>East Asia</v>
      </c>
      <c r="R138" s="5" t="str">
        <f>_xlfn.XLOOKUP(Clean_Data[[#This Row],[Type of Event]],event_type_category[Type of Event],event_type_category[Category],"Not found")</f>
        <v>Culture, Religion &amp; Sport</v>
      </c>
    </row>
    <row r="139" spans="1:18">
      <c r="A139">
        <v>152</v>
      </c>
      <c r="B139" t="s">
        <v>769</v>
      </c>
      <c r="E139" t="s">
        <v>770</v>
      </c>
      <c r="F139" t="s">
        <v>749</v>
      </c>
      <c r="G139" t="s">
        <v>771</v>
      </c>
      <c r="H139" t="s">
        <v>772</v>
      </c>
      <c r="I139" t="s">
        <v>773</v>
      </c>
      <c r="J139" t="s">
        <v>774</v>
      </c>
      <c r="K139" t="s">
        <v>775</v>
      </c>
      <c r="L139" t="s">
        <v>21</v>
      </c>
      <c r="M139">
        <v>618</v>
      </c>
      <c r="N139" s="5">
        <f>ROUNDUP(Clean_Data[[#This Row],[Year_Num]]/100,0)</f>
        <v>7</v>
      </c>
      <c r="O139" s="5" t="str" cm="1">
        <f t="array" ref="O139">_xlfn.LET(_xlpm.y,Clean_Data[[#This Row],[Year_Num]],_xlfn.IFS(_xlpm.y&lt;500,"Ancient",_xlpm.y&lt;1500,"Medieval",_xlpm.y&lt;1800,"Early Modern",_xlpm.y&lt;1946,"Modern",TRUE,"Contemporary"))</f>
        <v>Medieval</v>
      </c>
      <c r="P139" s="5" t="str">
        <f>_xlfn.XLOOKUP(Clean_Data[[#This Row],[Country]],country_region[Country],country_region[Country_Standard],"Not found")</f>
        <v>China</v>
      </c>
      <c r="Q139" s="5" t="str">
        <f>_xlfn.XLOOKUP(Clean_Data[[#This Row],[Country]],country_region[Country],country_region[Region],"Not found")</f>
        <v>East Asia</v>
      </c>
      <c r="R139" s="5" t="str">
        <f>_xlfn.XLOOKUP(Clean_Data[[#This Row],[Type of Event]],event_type_category[Type of Event],event_type_category[Category],"Not found")</f>
        <v>Culture, Religion &amp; Sport</v>
      </c>
    </row>
    <row r="140" spans="1:18">
      <c r="A140">
        <v>153</v>
      </c>
      <c r="B140" t="s">
        <v>776</v>
      </c>
      <c r="E140" t="s">
        <v>777</v>
      </c>
      <c r="F140" t="s">
        <v>749</v>
      </c>
      <c r="G140" t="s">
        <v>778</v>
      </c>
      <c r="H140" t="s">
        <v>779</v>
      </c>
      <c r="I140" t="s">
        <v>780</v>
      </c>
      <c r="J140" t="s">
        <v>781</v>
      </c>
      <c r="K140" t="s">
        <v>782</v>
      </c>
      <c r="L140" t="s">
        <v>21</v>
      </c>
      <c r="M140">
        <v>960</v>
      </c>
      <c r="N140" s="5">
        <f>ROUNDUP(Clean_Data[[#This Row],[Year_Num]]/100,0)</f>
        <v>10</v>
      </c>
      <c r="O140" s="5" t="str" cm="1">
        <f t="array" ref="O140">_xlfn.LET(_xlpm.y,Clean_Data[[#This Row],[Year_Num]],_xlfn.IFS(_xlpm.y&lt;500,"Ancient",_xlpm.y&lt;1500,"Medieval",_xlpm.y&lt;1800,"Early Modern",_xlpm.y&lt;1946,"Modern",TRUE,"Contemporary"))</f>
        <v>Medieval</v>
      </c>
      <c r="P140" s="5" t="str">
        <f>_xlfn.XLOOKUP(Clean_Data[[#This Row],[Country]],country_region[Country],country_region[Country_Standard],"Not found")</f>
        <v>China</v>
      </c>
      <c r="Q140" s="5" t="str">
        <f>_xlfn.XLOOKUP(Clean_Data[[#This Row],[Country]],country_region[Country],country_region[Region],"Not found")</f>
        <v>East Asia</v>
      </c>
      <c r="R140" s="5" t="str">
        <f>_xlfn.XLOOKUP(Clean_Data[[#This Row],[Type of Event]],event_type_category[Type of Event],event_type_category[Category],"Not found")</f>
        <v>Independence &amp; Nation-Building</v>
      </c>
    </row>
    <row r="141" spans="1:18">
      <c r="A141">
        <v>154</v>
      </c>
      <c r="B141" t="s">
        <v>783</v>
      </c>
      <c r="E141" t="s">
        <v>784</v>
      </c>
      <c r="F141" t="s">
        <v>749</v>
      </c>
      <c r="G141" t="s">
        <v>563</v>
      </c>
      <c r="H141" t="s">
        <v>785</v>
      </c>
      <c r="I141" t="s">
        <v>786</v>
      </c>
      <c r="J141" t="s">
        <v>781</v>
      </c>
      <c r="K141" t="s">
        <v>787</v>
      </c>
      <c r="L141" t="s">
        <v>36</v>
      </c>
      <c r="M141">
        <v>1271</v>
      </c>
      <c r="N141" s="5">
        <f>ROUNDUP(Clean_Data[[#This Row],[Year_Num]]/100,0)</f>
        <v>13</v>
      </c>
      <c r="O141" s="5" t="str" cm="1">
        <f t="array" ref="O141">_xlfn.LET(_xlpm.y,Clean_Data[[#This Row],[Year_Num]],_xlfn.IFS(_xlpm.y&lt;500,"Ancient",_xlpm.y&lt;1500,"Medieval",_xlpm.y&lt;1800,"Early Modern",_xlpm.y&lt;1946,"Modern",TRUE,"Contemporary"))</f>
        <v>Medieval</v>
      </c>
      <c r="P141" s="5" t="str">
        <f>_xlfn.XLOOKUP(Clean_Data[[#This Row],[Country]],country_region[Country],country_region[Country_Standard],"Not found")</f>
        <v>China</v>
      </c>
      <c r="Q141" s="5" t="str">
        <f>_xlfn.XLOOKUP(Clean_Data[[#This Row],[Country]],country_region[Country],country_region[Region],"Not found")</f>
        <v>East Asia</v>
      </c>
      <c r="R141" s="5" t="str">
        <f>_xlfn.XLOOKUP(Clean_Data[[#This Row],[Type of Event]],event_type_category[Type of Event],event_type_category[Category],"Not found")</f>
        <v>War &amp; Conflict</v>
      </c>
    </row>
    <row r="142" spans="1:18">
      <c r="A142">
        <v>155</v>
      </c>
      <c r="B142" t="s">
        <v>788</v>
      </c>
      <c r="E142" t="s">
        <v>789</v>
      </c>
      <c r="F142" t="s">
        <v>749</v>
      </c>
      <c r="G142" t="s">
        <v>790</v>
      </c>
      <c r="H142" t="s">
        <v>749</v>
      </c>
      <c r="I142" t="s">
        <v>791</v>
      </c>
      <c r="J142" t="s">
        <v>781</v>
      </c>
      <c r="K142" t="s">
        <v>792</v>
      </c>
      <c r="L142" t="s">
        <v>36</v>
      </c>
      <c r="M142">
        <v>1644</v>
      </c>
      <c r="N142" s="5">
        <f>ROUNDUP(Clean_Data[[#This Row],[Year_Num]]/100,0)</f>
        <v>17</v>
      </c>
      <c r="O142" s="5" t="str" cm="1">
        <f t="array" ref="O142">_xlfn.LET(_xlpm.y,Clean_Data[[#This Row],[Year_Num]],_xlfn.IFS(_xlpm.y&lt;500,"Ancient",_xlpm.y&lt;1500,"Medieval",_xlpm.y&lt;1800,"Early Modern",_xlpm.y&lt;1946,"Modern",TRUE,"Contemporary"))</f>
        <v>Early Modern</v>
      </c>
      <c r="P142" s="5" t="str">
        <f>_xlfn.XLOOKUP(Clean_Data[[#This Row],[Country]],country_region[Country],country_region[Country_Standard],"Not found")</f>
        <v>China</v>
      </c>
      <c r="Q142" s="5" t="str">
        <f>_xlfn.XLOOKUP(Clean_Data[[#This Row],[Country]],country_region[Country],country_region[Region],"Not found")</f>
        <v>East Asia</v>
      </c>
      <c r="R142" s="5" t="str">
        <f>_xlfn.XLOOKUP(Clean_Data[[#This Row],[Type of Event]],event_type_category[Type of Event],event_type_category[Category],"Not found")</f>
        <v>Independence &amp; Nation-Building</v>
      </c>
    </row>
    <row r="143" spans="1:18">
      <c r="A143">
        <v>156</v>
      </c>
      <c r="B143" t="s">
        <v>793</v>
      </c>
      <c r="E143" t="s">
        <v>794</v>
      </c>
      <c r="F143" t="s">
        <v>749</v>
      </c>
      <c r="G143" t="s">
        <v>795</v>
      </c>
      <c r="H143" t="s">
        <v>796</v>
      </c>
      <c r="I143" t="s">
        <v>797</v>
      </c>
      <c r="J143" t="s">
        <v>781</v>
      </c>
      <c r="K143" t="s">
        <v>798</v>
      </c>
      <c r="L143" t="s">
        <v>54</v>
      </c>
      <c r="M143">
        <v>1842</v>
      </c>
      <c r="N143" s="5">
        <f>ROUNDUP(Clean_Data[[#This Row],[Year_Num]]/100,0)</f>
        <v>19</v>
      </c>
      <c r="O143" s="5" t="str" cm="1">
        <f t="array" ref="O143">_xlfn.LET(_xlpm.y,Clean_Data[[#This Row],[Year_Num]],_xlfn.IFS(_xlpm.y&lt;500,"Ancient",_xlpm.y&lt;1500,"Medieval",_xlpm.y&lt;1800,"Early Modern",_xlpm.y&lt;1946,"Modern",TRUE,"Contemporary"))</f>
        <v>Modern</v>
      </c>
      <c r="P143" s="5" t="str">
        <f>_xlfn.XLOOKUP(Clean_Data[[#This Row],[Country]],country_region[Country],country_region[Country_Standard],"Not found")</f>
        <v>China</v>
      </c>
      <c r="Q143" s="5" t="str">
        <f>_xlfn.XLOOKUP(Clean_Data[[#This Row],[Country]],country_region[Country],country_region[Region],"Not found")</f>
        <v>East Asia</v>
      </c>
      <c r="R143" s="5" t="str">
        <f>_xlfn.XLOOKUP(Clean_Data[[#This Row],[Type of Event]],event_type_category[Type of Event],event_type_category[Category],"Not found")</f>
        <v>War &amp; Conflict</v>
      </c>
    </row>
    <row r="144" spans="1:18">
      <c r="A144">
        <v>157</v>
      </c>
      <c r="B144" t="s">
        <v>799</v>
      </c>
      <c r="E144" t="s">
        <v>800</v>
      </c>
      <c r="F144" t="s">
        <v>749</v>
      </c>
      <c r="G144" t="s">
        <v>801</v>
      </c>
      <c r="H144" t="s">
        <v>802</v>
      </c>
      <c r="I144" t="s">
        <v>803</v>
      </c>
      <c r="J144" t="s">
        <v>781</v>
      </c>
      <c r="K144" t="s">
        <v>804</v>
      </c>
      <c r="L144" t="s">
        <v>54</v>
      </c>
      <c r="M144">
        <v>1850</v>
      </c>
      <c r="N144" s="5">
        <f>ROUNDUP(Clean_Data[[#This Row],[Year_Num]]/100,0)</f>
        <v>19</v>
      </c>
      <c r="O144" s="5" t="str" cm="1">
        <f t="array" ref="O144">_xlfn.LET(_xlpm.y,Clean_Data[[#This Row],[Year_Num]],_xlfn.IFS(_xlpm.y&lt;500,"Ancient",_xlpm.y&lt;1500,"Medieval",_xlpm.y&lt;1800,"Early Modern",_xlpm.y&lt;1946,"Modern",TRUE,"Contemporary"))</f>
        <v>Modern</v>
      </c>
      <c r="P144" s="5" t="str">
        <f>_xlfn.XLOOKUP(Clean_Data[[#This Row],[Country]],country_region[Country],country_region[Country_Standard],"Not found")</f>
        <v>China</v>
      </c>
      <c r="Q144" s="5" t="str">
        <f>_xlfn.XLOOKUP(Clean_Data[[#This Row],[Country]],country_region[Country],country_region[Region],"Not found")</f>
        <v>East Asia</v>
      </c>
      <c r="R144" s="5" t="str">
        <f>_xlfn.XLOOKUP(Clean_Data[[#This Row],[Type of Event]],event_type_category[Type of Event],event_type_category[Category],"Not found")</f>
        <v>War &amp; Conflict</v>
      </c>
    </row>
    <row r="145" spans="1:18">
      <c r="A145">
        <v>158</v>
      </c>
      <c r="B145" t="s">
        <v>805</v>
      </c>
      <c r="C145" t="s">
        <v>107</v>
      </c>
      <c r="D145" t="s">
        <v>158</v>
      </c>
      <c r="E145" t="s">
        <v>806</v>
      </c>
      <c r="F145" t="s">
        <v>749</v>
      </c>
      <c r="G145" t="s">
        <v>31</v>
      </c>
      <c r="H145" t="s">
        <v>807</v>
      </c>
      <c r="I145" t="s">
        <v>808</v>
      </c>
      <c r="J145" t="s">
        <v>781</v>
      </c>
      <c r="K145" t="s">
        <v>4864</v>
      </c>
      <c r="L145" t="s">
        <v>21</v>
      </c>
      <c r="M145">
        <v>1911</v>
      </c>
      <c r="N145" s="5">
        <f>ROUNDUP(Clean_Data[[#This Row],[Year_Num]]/100,0)</f>
        <v>20</v>
      </c>
      <c r="O145" s="5" t="str" cm="1">
        <f t="array" ref="O145">_xlfn.LET(_xlpm.y,Clean_Data[[#This Row],[Year_Num]],_xlfn.IFS(_xlpm.y&lt;500,"Ancient",_xlpm.y&lt;1500,"Medieval",_xlpm.y&lt;1800,"Early Modern",_xlpm.y&lt;1946,"Modern",TRUE,"Contemporary"))</f>
        <v>Modern</v>
      </c>
      <c r="P145" s="5" t="str">
        <f>_xlfn.XLOOKUP(Clean_Data[[#This Row],[Country]],country_region[Country],country_region[Country_Standard],"Not found")</f>
        <v>China</v>
      </c>
      <c r="Q145" s="5" t="str">
        <f>_xlfn.XLOOKUP(Clean_Data[[#This Row],[Country]],country_region[Country],country_region[Region],"Not found")</f>
        <v>East Asia</v>
      </c>
      <c r="R145" s="5" t="str">
        <f>_xlfn.XLOOKUP(Clean_Data[[#This Row],[Type of Event]],event_type_category[Type of Event],event_type_category[Category],"Not found")</f>
        <v>Politics &amp; Law</v>
      </c>
    </row>
    <row r="146" spans="1:18">
      <c r="A146">
        <v>159</v>
      </c>
      <c r="B146" t="s">
        <v>810</v>
      </c>
      <c r="E146" t="s">
        <v>811</v>
      </c>
      <c r="F146" t="s">
        <v>749</v>
      </c>
      <c r="G146" t="s">
        <v>812</v>
      </c>
      <c r="H146" t="s">
        <v>813</v>
      </c>
      <c r="I146" t="s">
        <v>814</v>
      </c>
      <c r="J146" t="s">
        <v>815</v>
      </c>
      <c r="K146" t="s">
        <v>816</v>
      </c>
      <c r="L146" t="s">
        <v>21</v>
      </c>
      <c r="M146">
        <v>1934</v>
      </c>
      <c r="N146" s="5">
        <f>ROUNDUP(Clean_Data[[#This Row],[Year_Num]]/100,0)</f>
        <v>20</v>
      </c>
      <c r="O146" s="5" t="str" cm="1">
        <f t="array" ref="O146">_xlfn.LET(_xlpm.y,Clean_Data[[#This Row],[Year_Num]],_xlfn.IFS(_xlpm.y&lt;500,"Ancient",_xlpm.y&lt;1500,"Medieval",_xlpm.y&lt;1800,"Early Modern",_xlpm.y&lt;1946,"Modern",TRUE,"Contemporary"))</f>
        <v>Modern</v>
      </c>
      <c r="P146" s="5" t="str">
        <f>_xlfn.XLOOKUP(Clean_Data[[#This Row],[Country]],country_region[Country],country_region[Country_Standard],"Not found")</f>
        <v>China</v>
      </c>
      <c r="Q146" s="5" t="str">
        <f>_xlfn.XLOOKUP(Clean_Data[[#This Row],[Country]],country_region[Country],country_region[Region],"Not found")</f>
        <v>East Asia</v>
      </c>
      <c r="R146" s="5" t="str">
        <f>_xlfn.XLOOKUP(Clean_Data[[#This Row],[Type of Event]],event_type_category[Type of Event],event_type_category[Category],"Not found")</f>
        <v>War &amp; Conflict</v>
      </c>
    </row>
    <row r="147" spans="1:18">
      <c r="A147">
        <v>160</v>
      </c>
      <c r="B147" t="s">
        <v>817</v>
      </c>
      <c r="E147" t="s">
        <v>818</v>
      </c>
      <c r="F147" t="s">
        <v>749</v>
      </c>
      <c r="G147" t="s">
        <v>819</v>
      </c>
      <c r="H147" t="s">
        <v>300</v>
      </c>
      <c r="I147" t="s">
        <v>820</v>
      </c>
      <c r="J147" t="s">
        <v>781</v>
      </c>
      <c r="K147" t="s">
        <v>816</v>
      </c>
      <c r="L147" t="s">
        <v>54</v>
      </c>
      <c r="M147">
        <v>1966</v>
      </c>
      <c r="N147" s="5">
        <f>ROUNDUP(Clean_Data[[#This Row],[Year_Num]]/100,0)</f>
        <v>20</v>
      </c>
      <c r="O147" s="5" t="str" cm="1">
        <f t="array" ref="O147">_xlfn.LET(_xlpm.y,Clean_Data[[#This Row],[Year_Num]],_xlfn.IFS(_xlpm.y&lt;500,"Ancient",_xlpm.y&lt;1500,"Medieval",_xlpm.y&lt;1800,"Early Modern",_xlpm.y&lt;1946,"Modern",TRUE,"Contemporary"))</f>
        <v>Contemporary</v>
      </c>
      <c r="P147" s="5" t="str">
        <f>_xlfn.XLOOKUP(Clean_Data[[#This Row],[Country]],country_region[Country],country_region[Country_Standard],"Not found")</f>
        <v>China</v>
      </c>
      <c r="Q147" s="5" t="str">
        <f>_xlfn.XLOOKUP(Clean_Data[[#This Row],[Country]],country_region[Country],country_region[Region],"Not found")</f>
        <v>East Asia</v>
      </c>
      <c r="R147" s="5" t="str">
        <f>_xlfn.XLOOKUP(Clean_Data[[#This Row],[Type of Event]],event_type_category[Type of Event],event_type_category[Category],"Not found")</f>
        <v>Society &amp; Health</v>
      </c>
    </row>
    <row r="148" spans="1:18">
      <c r="A148">
        <v>161</v>
      </c>
      <c r="B148" t="s">
        <v>821</v>
      </c>
      <c r="C148" t="s">
        <v>46</v>
      </c>
      <c r="D148" t="s">
        <v>211</v>
      </c>
      <c r="E148" t="s">
        <v>600</v>
      </c>
      <c r="F148" t="s">
        <v>749</v>
      </c>
      <c r="G148" t="s">
        <v>581</v>
      </c>
      <c r="H148" t="s">
        <v>822</v>
      </c>
      <c r="I148" t="s">
        <v>823</v>
      </c>
      <c r="J148" t="s">
        <v>824</v>
      </c>
      <c r="K148" t="s">
        <v>825</v>
      </c>
      <c r="L148" t="s">
        <v>36</v>
      </c>
      <c r="M148">
        <v>1997</v>
      </c>
      <c r="N148" s="5">
        <f>ROUNDUP(Clean_Data[[#This Row],[Year_Num]]/100,0)</f>
        <v>20</v>
      </c>
      <c r="O148" s="5" t="str" cm="1">
        <f t="array" ref="O148">_xlfn.LET(_xlpm.y,Clean_Data[[#This Row],[Year_Num]],_xlfn.IFS(_xlpm.y&lt;500,"Ancient",_xlpm.y&lt;1500,"Medieval",_xlpm.y&lt;1800,"Early Modern",_xlpm.y&lt;1946,"Modern",TRUE,"Contemporary"))</f>
        <v>Contemporary</v>
      </c>
      <c r="P148" s="5" t="str">
        <f>_xlfn.XLOOKUP(Clean_Data[[#This Row],[Country]],country_region[Country],country_region[Country_Standard],"Not found")</f>
        <v>China</v>
      </c>
      <c r="Q148" s="5" t="str">
        <f>_xlfn.XLOOKUP(Clean_Data[[#This Row],[Country]],country_region[Country],country_region[Region],"Not found")</f>
        <v>East Asia</v>
      </c>
      <c r="R148" s="5" t="str">
        <f>_xlfn.XLOOKUP(Clean_Data[[#This Row],[Type of Event]],event_type_category[Type of Event],event_type_category[Category],"Not found")</f>
        <v>Diplomacy &amp; International Relations</v>
      </c>
    </row>
    <row r="149" spans="1:18">
      <c r="A149">
        <v>162</v>
      </c>
      <c r="B149" t="s">
        <v>826</v>
      </c>
      <c r="C149" t="s">
        <v>298</v>
      </c>
      <c r="D149" t="s">
        <v>57</v>
      </c>
      <c r="E149" t="s">
        <v>84</v>
      </c>
      <c r="F149" t="s">
        <v>749</v>
      </c>
      <c r="G149" t="s">
        <v>827</v>
      </c>
      <c r="H149" t="s">
        <v>828</v>
      </c>
      <c r="I149" t="s">
        <v>829</v>
      </c>
      <c r="J149" t="s">
        <v>830</v>
      </c>
      <c r="K149" t="s">
        <v>831</v>
      </c>
      <c r="L149" t="s">
        <v>21</v>
      </c>
      <c r="M149">
        <v>2008</v>
      </c>
      <c r="N149" s="5">
        <f>ROUNDUP(Clean_Data[[#This Row],[Year_Num]]/100,0)</f>
        <v>21</v>
      </c>
      <c r="O149" s="5" t="str" cm="1">
        <f t="array" ref="O149">_xlfn.LET(_xlpm.y,Clean_Data[[#This Row],[Year_Num]],_xlfn.IFS(_xlpm.y&lt;500,"Ancient",_xlpm.y&lt;1500,"Medieval",_xlpm.y&lt;1800,"Early Modern",_xlpm.y&lt;1946,"Modern",TRUE,"Contemporary"))</f>
        <v>Contemporary</v>
      </c>
      <c r="P149" s="5" t="str">
        <f>_xlfn.XLOOKUP(Clean_Data[[#This Row],[Country]],country_region[Country],country_region[Country_Standard],"Not found")</f>
        <v>China</v>
      </c>
      <c r="Q149" s="5" t="str">
        <f>_xlfn.XLOOKUP(Clean_Data[[#This Row],[Country]],country_region[Country],country_region[Region],"Not found")</f>
        <v>East Asia</v>
      </c>
      <c r="R149" s="5" t="str">
        <f>_xlfn.XLOOKUP(Clean_Data[[#This Row],[Type of Event]],event_type_category[Type of Event],event_type_category[Category],"Not found")</f>
        <v>Culture, Religion &amp; Sport</v>
      </c>
    </row>
    <row r="150" spans="1:18">
      <c r="A150">
        <v>163</v>
      </c>
      <c r="B150" t="s">
        <v>832</v>
      </c>
      <c r="E150" t="s">
        <v>833</v>
      </c>
      <c r="F150" t="s">
        <v>749</v>
      </c>
      <c r="G150" t="s">
        <v>834</v>
      </c>
      <c r="H150" t="s">
        <v>835</v>
      </c>
      <c r="I150" t="s">
        <v>836</v>
      </c>
      <c r="J150" t="s">
        <v>837</v>
      </c>
      <c r="K150" t="s">
        <v>838</v>
      </c>
      <c r="L150" t="s">
        <v>21</v>
      </c>
      <c r="M150">
        <v>150</v>
      </c>
      <c r="N150" s="5">
        <f>ROUNDUP(Clean_Data[[#This Row],[Year_Num]]/100,0)</f>
        <v>2</v>
      </c>
      <c r="O150" s="5" t="str" cm="1">
        <f t="array" ref="O150">_xlfn.LET(_xlpm.y,Clean_Data[[#This Row],[Year_Num]],_xlfn.IFS(_xlpm.y&lt;500,"Ancient",_xlpm.y&lt;1500,"Medieval",_xlpm.y&lt;1800,"Early Modern",_xlpm.y&lt;1946,"Modern",TRUE,"Contemporary"))</f>
        <v>Ancient</v>
      </c>
      <c r="P150" s="5" t="str">
        <f>_xlfn.XLOOKUP(Clean_Data[[#This Row],[Country]],country_region[Country],country_region[Country_Standard],"Not found")</f>
        <v>China</v>
      </c>
      <c r="Q150" s="5" t="str">
        <f>_xlfn.XLOOKUP(Clean_Data[[#This Row],[Country]],country_region[Country],country_region[Region],"Not found")</f>
        <v>East Asia</v>
      </c>
      <c r="R150" s="5" t="str">
        <f>_xlfn.XLOOKUP(Clean_Data[[#This Row],[Type of Event]],event_type_category[Type of Event],event_type_category[Category],"Not found")</f>
        <v>Economy &amp; Infrastructure</v>
      </c>
    </row>
    <row r="151" spans="1:18">
      <c r="A151">
        <v>164</v>
      </c>
      <c r="B151" t="s">
        <v>839</v>
      </c>
      <c r="E151" t="s">
        <v>840</v>
      </c>
      <c r="F151" t="s">
        <v>749</v>
      </c>
      <c r="G151" t="s">
        <v>750</v>
      </c>
      <c r="H151" t="s">
        <v>749</v>
      </c>
      <c r="I151" t="s">
        <v>841</v>
      </c>
      <c r="J151" t="s">
        <v>753</v>
      </c>
      <c r="K151" t="s">
        <v>842</v>
      </c>
      <c r="L151" t="s">
        <v>36</v>
      </c>
      <c r="M151">
        <v>850</v>
      </c>
      <c r="N151" s="5">
        <f>ROUNDUP(Clean_Data[[#This Row],[Year_Num]]/100,0)</f>
        <v>9</v>
      </c>
      <c r="O151" s="5" t="str" cm="1">
        <f t="array" ref="O151">_xlfn.LET(_xlpm.y,Clean_Data[[#This Row],[Year_Num]],_xlfn.IFS(_xlpm.y&lt;500,"Ancient",_xlpm.y&lt;1500,"Medieval",_xlpm.y&lt;1800,"Early Modern",_xlpm.y&lt;1946,"Modern",TRUE,"Contemporary"))</f>
        <v>Medieval</v>
      </c>
      <c r="P151" s="5" t="str">
        <f>_xlfn.XLOOKUP(Clean_Data[[#This Row],[Country]],country_region[Country],country_region[Country_Standard],"Not found")</f>
        <v>China</v>
      </c>
      <c r="Q151" s="5" t="str">
        <f>_xlfn.XLOOKUP(Clean_Data[[#This Row],[Country]],country_region[Country],country_region[Region],"Not found")</f>
        <v>East Asia</v>
      </c>
      <c r="R151" s="5" t="str">
        <f>_xlfn.XLOOKUP(Clean_Data[[#This Row],[Type of Event]],event_type_category[Type of Event],event_type_category[Category],"Not found")</f>
        <v>Science, Technology &amp; Exploration</v>
      </c>
    </row>
    <row r="152" spans="1:18">
      <c r="A152">
        <v>165</v>
      </c>
      <c r="B152" t="s">
        <v>843</v>
      </c>
      <c r="E152" t="s">
        <v>844</v>
      </c>
      <c r="F152" t="s">
        <v>749</v>
      </c>
      <c r="G152" t="s">
        <v>750</v>
      </c>
      <c r="H152" t="s">
        <v>749</v>
      </c>
      <c r="I152" t="s">
        <v>845</v>
      </c>
      <c r="J152" t="s">
        <v>753</v>
      </c>
      <c r="K152" t="s">
        <v>846</v>
      </c>
      <c r="L152" t="s">
        <v>21</v>
      </c>
      <c r="M152">
        <v>1050</v>
      </c>
      <c r="N152" s="5">
        <f>ROUNDUP(Clean_Data[[#This Row],[Year_Num]]/100,0)</f>
        <v>11</v>
      </c>
      <c r="O152" s="5" t="str" cm="1">
        <f t="array" ref="O152">_xlfn.LET(_xlpm.y,Clean_Data[[#This Row],[Year_Num]],_xlfn.IFS(_xlpm.y&lt;500,"Ancient",_xlpm.y&lt;1500,"Medieval",_xlpm.y&lt;1800,"Early Modern",_xlpm.y&lt;1946,"Modern",TRUE,"Contemporary"))</f>
        <v>Medieval</v>
      </c>
      <c r="P152" s="5" t="str">
        <f>_xlfn.XLOOKUP(Clean_Data[[#This Row],[Country]],country_region[Country],country_region[Country_Standard],"Not found")</f>
        <v>China</v>
      </c>
      <c r="Q152" s="5" t="str">
        <f>_xlfn.XLOOKUP(Clean_Data[[#This Row],[Country]],country_region[Country],country_region[Region],"Not found")</f>
        <v>East Asia</v>
      </c>
      <c r="R152" s="5" t="str">
        <f>_xlfn.XLOOKUP(Clean_Data[[#This Row],[Type of Event]],event_type_category[Type of Event],event_type_category[Category],"Not found")</f>
        <v>Science, Technology &amp; Exploration</v>
      </c>
    </row>
    <row r="153" spans="1:18">
      <c r="A153">
        <v>166</v>
      </c>
      <c r="B153" t="s">
        <v>847</v>
      </c>
      <c r="E153" t="s">
        <v>848</v>
      </c>
      <c r="F153" t="s">
        <v>749</v>
      </c>
      <c r="G153" t="s">
        <v>750</v>
      </c>
      <c r="H153" t="s">
        <v>749</v>
      </c>
      <c r="I153" t="s">
        <v>849</v>
      </c>
      <c r="J153" t="s">
        <v>753</v>
      </c>
      <c r="K153" t="s">
        <v>850</v>
      </c>
      <c r="L153" t="s">
        <v>21</v>
      </c>
      <c r="M153">
        <v>650</v>
      </c>
      <c r="N153" s="5">
        <f>ROUNDUP(Clean_Data[[#This Row],[Year_Num]]/100,0)</f>
        <v>7</v>
      </c>
      <c r="O153" s="5" t="str" cm="1">
        <f t="array" ref="O153">_xlfn.LET(_xlpm.y,Clean_Data[[#This Row],[Year_Num]],_xlfn.IFS(_xlpm.y&lt;500,"Ancient",_xlpm.y&lt;1500,"Medieval",_xlpm.y&lt;1800,"Early Modern",_xlpm.y&lt;1946,"Modern",TRUE,"Contemporary"))</f>
        <v>Medieval</v>
      </c>
      <c r="P153" s="5" t="str">
        <f>_xlfn.XLOOKUP(Clean_Data[[#This Row],[Country]],country_region[Country],country_region[Country_Standard],"Not found")</f>
        <v>China</v>
      </c>
      <c r="Q153" s="5" t="str">
        <f>_xlfn.XLOOKUP(Clean_Data[[#This Row],[Country]],country_region[Country],country_region[Region],"Not found")</f>
        <v>East Asia</v>
      </c>
      <c r="R153" s="5" t="str">
        <f>_xlfn.XLOOKUP(Clean_Data[[#This Row],[Type of Event]],event_type_category[Type of Event],event_type_category[Category],"Not found")</f>
        <v>Science, Technology &amp; Exploration</v>
      </c>
    </row>
    <row r="154" spans="1:18">
      <c r="A154">
        <v>167</v>
      </c>
      <c r="B154" t="s">
        <v>851</v>
      </c>
      <c r="E154" t="s">
        <v>852</v>
      </c>
      <c r="F154" t="s">
        <v>749</v>
      </c>
      <c r="G154" t="s">
        <v>356</v>
      </c>
      <c r="H154" t="s">
        <v>853</v>
      </c>
      <c r="I154" t="s">
        <v>854</v>
      </c>
      <c r="J154" t="s">
        <v>855</v>
      </c>
      <c r="K154" t="s">
        <v>856</v>
      </c>
      <c r="L154" t="s">
        <v>21</v>
      </c>
      <c r="M154">
        <v>208</v>
      </c>
      <c r="N154" s="5">
        <f>ROUNDUP(Clean_Data[[#This Row],[Year_Num]]/100,0)</f>
        <v>3</v>
      </c>
      <c r="O154" s="5" t="str" cm="1">
        <f t="array" ref="O154">_xlfn.LET(_xlpm.y,Clean_Data[[#This Row],[Year_Num]],_xlfn.IFS(_xlpm.y&lt;500,"Ancient",_xlpm.y&lt;1500,"Medieval",_xlpm.y&lt;1800,"Early Modern",_xlpm.y&lt;1946,"Modern",TRUE,"Contemporary"))</f>
        <v>Ancient</v>
      </c>
      <c r="P154" s="5" t="str">
        <f>_xlfn.XLOOKUP(Clean_Data[[#This Row],[Country]],country_region[Country],country_region[Country_Standard],"Not found")</f>
        <v>China</v>
      </c>
      <c r="Q154" s="5" t="str">
        <f>_xlfn.XLOOKUP(Clean_Data[[#This Row],[Country]],country_region[Country],country_region[Region],"Not found")</f>
        <v>East Asia</v>
      </c>
      <c r="R154" s="5" t="str">
        <f>_xlfn.XLOOKUP(Clean_Data[[#This Row],[Type of Event]],event_type_category[Type of Event],event_type_category[Category],"Not found")</f>
        <v>War &amp; Conflict</v>
      </c>
    </row>
    <row r="155" spans="1:18">
      <c r="A155">
        <v>168</v>
      </c>
      <c r="B155" t="s">
        <v>857</v>
      </c>
      <c r="E155" t="s">
        <v>848</v>
      </c>
      <c r="F155" t="s">
        <v>749</v>
      </c>
      <c r="G155" t="s">
        <v>175</v>
      </c>
      <c r="H155" t="s">
        <v>858</v>
      </c>
      <c r="I155" t="s">
        <v>859</v>
      </c>
      <c r="J155" t="s">
        <v>781</v>
      </c>
      <c r="K155" t="s">
        <v>860</v>
      </c>
      <c r="L155" t="s">
        <v>21</v>
      </c>
      <c r="M155">
        <v>650</v>
      </c>
      <c r="N155" s="5">
        <f>ROUNDUP(Clean_Data[[#This Row],[Year_Num]]/100,0)</f>
        <v>7</v>
      </c>
      <c r="O155" s="5" t="str" cm="1">
        <f t="array" ref="O155">_xlfn.LET(_xlpm.y,Clean_Data[[#This Row],[Year_Num]],_xlfn.IFS(_xlpm.y&lt;500,"Ancient",_xlpm.y&lt;1500,"Medieval",_xlpm.y&lt;1800,"Early Modern",_xlpm.y&lt;1946,"Modern",TRUE,"Contemporary"))</f>
        <v>Medieval</v>
      </c>
      <c r="P155" s="5" t="str">
        <f>_xlfn.XLOOKUP(Clean_Data[[#This Row],[Country]],country_region[Country],country_region[Country_Standard],"Not found")</f>
        <v>China</v>
      </c>
      <c r="Q155" s="5" t="str">
        <f>_xlfn.XLOOKUP(Clean_Data[[#This Row],[Country]],country_region[Country],country_region[Region],"Not found")</f>
        <v>East Asia</v>
      </c>
      <c r="R155" s="5" t="str">
        <f>_xlfn.XLOOKUP(Clean_Data[[#This Row],[Type of Event]],event_type_category[Type of Event],event_type_category[Category],"Not found")</f>
        <v>Economy &amp; Infrastructure</v>
      </c>
    </row>
    <row r="156" spans="1:18">
      <c r="A156">
        <v>169</v>
      </c>
      <c r="B156" t="s">
        <v>861</v>
      </c>
      <c r="E156" t="s">
        <v>862</v>
      </c>
      <c r="F156" t="s">
        <v>749</v>
      </c>
      <c r="G156" t="s">
        <v>93</v>
      </c>
      <c r="H156" t="s">
        <v>863</v>
      </c>
      <c r="I156" t="s">
        <v>864</v>
      </c>
      <c r="J156" t="s">
        <v>865</v>
      </c>
      <c r="K156" t="s">
        <v>866</v>
      </c>
      <c r="L156" t="s">
        <v>21</v>
      </c>
      <c r="M156">
        <v>1430</v>
      </c>
      <c r="N156" s="5">
        <f>ROUNDUP(Clean_Data[[#This Row],[Year_Num]]/100,0)</f>
        <v>15</v>
      </c>
      <c r="O156" s="5" t="str" cm="1">
        <f t="array" ref="O156">_xlfn.LET(_xlpm.y,Clean_Data[[#This Row],[Year_Num]],_xlfn.IFS(_xlpm.y&lt;500,"Ancient",_xlpm.y&lt;1500,"Medieval",_xlpm.y&lt;1800,"Early Modern",_xlpm.y&lt;1946,"Modern",TRUE,"Contemporary"))</f>
        <v>Medieval</v>
      </c>
      <c r="P156" s="5" t="str">
        <f>_xlfn.XLOOKUP(Clean_Data[[#This Row],[Country]],country_region[Country],country_region[Country_Standard],"Not found")</f>
        <v>China</v>
      </c>
      <c r="Q156" s="5" t="str">
        <f>_xlfn.XLOOKUP(Clean_Data[[#This Row],[Country]],country_region[Country],country_region[Region],"Not found")</f>
        <v>East Asia</v>
      </c>
      <c r="R156" s="5" t="str">
        <f>_xlfn.XLOOKUP(Clean_Data[[#This Row],[Type of Event]],event_type_category[Type of Event],event_type_category[Category],"Not found")</f>
        <v>Science, Technology &amp; Exploration</v>
      </c>
    </row>
    <row r="157" spans="1:18">
      <c r="A157">
        <v>170</v>
      </c>
      <c r="B157" t="s">
        <v>867</v>
      </c>
      <c r="E157" t="s">
        <v>862</v>
      </c>
      <c r="F157" t="s">
        <v>749</v>
      </c>
      <c r="G157" t="s">
        <v>93</v>
      </c>
      <c r="H157" t="s">
        <v>863</v>
      </c>
      <c r="I157" t="s">
        <v>864</v>
      </c>
      <c r="J157" t="s">
        <v>865</v>
      </c>
      <c r="K157" t="s">
        <v>866</v>
      </c>
      <c r="L157" t="s">
        <v>21</v>
      </c>
      <c r="M157">
        <v>1430</v>
      </c>
      <c r="N157" s="5">
        <f>ROUNDUP(Clean_Data[[#This Row],[Year_Num]]/100,0)</f>
        <v>15</v>
      </c>
      <c r="O157" s="5" t="str" cm="1">
        <f t="array" ref="O157">_xlfn.LET(_xlpm.y,Clean_Data[[#This Row],[Year_Num]],_xlfn.IFS(_xlpm.y&lt;500,"Ancient",_xlpm.y&lt;1500,"Medieval",_xlpm.y&lt;1800,"Early Modern",_xlpm.y&lt;1946,"Modern",TRUE,"Contemporary"))</f>
        <v>Medieval</v>
      </c>
      <c r="P157" s="5" t="str">
        <f>_xlfn.XLOOKUP(Clean_Data[[#This Row],[Country]],country_region[Country],country_region[Country_Standard],"Not found")</f>
        <v>China</v>
      </c>
      <c r="Q157" s="5" t="str">
        <f>_xlfn.XLOOKUP(Clean_Data[[#This Row],[Country]],country_region[Country],country_region[Region],"Not found")</f>
        <v>East Asia</v>
      </c>
      <c r="R157" s="5" t="str">
        <f>_xlfn.XLOOKUP(Clean_Data[[#This Row],[Type of Event]],event_type_category[Type of Event],event_type_category[Category],"Not found")</f>
        <v>Science, Technology &amp; Exploration</v>
      </c>
    </row>
    <row r="158" spans="1:18">
      <c r="A158">
        <v>171</v>
      </c>
      <c r="B158" t="s">
        <v>868</v>
      </c>
      <c r="E158" t="s">
        <v>789</v>
      </c>
      <c r="F158" t="s">
        <v>749</v>
      </c>
      <c r="G158" t="s">
        <v>790</v>
      </c>
      <c r="H158" t="s">
        <v>749</v>
      </c>
      <c r="I158" t="s">
        <v>869</v>
      </c>
      <c r="J158" t="s">
        <v>781</v>
      </c>
      <c r="K158" t="s">
        <v>870</v>
      </c>
      <c r="L158" t="s">
        <v>36</v>
      </c>
      <c r="M158">
        <v>1644</v>
      </c>
      <c r="N158" s="5">
        <f>ROUNDUP(Clean_Data[[#This Row],[Year_Num]]/100,0)</f>
        <v>17</v>
      </c>
      <c r="O158" s="5" t="str" cm="1">
        <f t="array" ref="O158">_xlfn.LET(_xlpm.y,Clean_Data[[#This Row],[Year_Num]],_xlfn.IFS(_xlpm.y&lt;500,"Ancient",_xlpm.y&lt;1500,"Medieval",_xlpm.y&lt;1800,"Early Modern",_xlpm.y&lt;1946,"Modern",TRUE,"Contemporary"))</f>
        <v>Early Modern</v>
      </c>
      <c r="P158" s="5" t="str">
        <f>_xlfn.XLOOKUP(Clean_Data[[#This Row],[Country]],country_region[Country],country_region[Country_Standard],"Not found")</f>
        <v>China</v>
      </c>
      <c r="Q158" s="5" t="str">
        <f>_xlfn.XLOOKUP(Clean_Data[[#This Row],[Country]],country_region[Country],country_region[Region],"Not found")</f>
        <v>East Asia</v>
      </c>
      <c r="R158" s="5" t="str">
        <f>_xlfn.XLOOKUP(Clean_Data[[#This Row],[Type of Event]],event_type_category[Type of Event],event_type_category[Category],"Not found")</f>
        <v>Independence &amp; Nation-Building</v>
      </c>
    </row>
    <row r="159" spans="1:18">
      <c r="A159">
        <v>172</v>
      </c>
      <c r="B159" t="s">
        <v>871</v>
      </c>
      <c r="E159" t="s">
        <v>872</v>
      </c>
      <c r="F159" t="s">
        <v>749</v>
      </c>
      <c r="G159" t="s">
        <v>4865</v>
      </c>
      <c r="H159" t="s">
        <v>765</v>
      </c>
      <c r="I159" t="s">
        <v>4866</v>
      </c>
      <c r="J159" t="s">
        <v>875</v>
      </c>
      <c r="K159" t="s">
        <v>876</v>
      </c>
      <c r="L159" t="s">
        <v>54</v>
      </c>
      <c r="M159">
        <v>1900</v>
      </c>
      <c r="N159" s="5">
        <f>ROUNDUP(Clean_Data[[#This Row],[Year_Num]]/100,0)</f>
        <v>19</v>
      </c>
      <c r="O159" s="5" t="str" cm="1">
        <f t="array" ref="O159">_xlfn.LET(_xlpm.y,Clean_Data[[#This Row],[Year_Num]],_xlfn.IFS(_xlpm.y&lt;500,"Ancient",_xlpm.y&lt;1500,"Medieval",_xlpm.y&lt;1800,"Early Modern",_xlpm.y&lt;1946,"Modern",TRUE,"Contemporary"))</f>
        <v>Modern</v>
      </c>
      <c r="P159" s="5" t="str">
        <f>_xlfn.XLOOKUP(Clean_Data[[#This Row],[Country]],country_region[Country],country_region[Country_Standard],"Not found")</f>
        <v>China</v>
      </c>
      <c r="Q159" s="5" t="str">
        <f>_xlfn.XLOOKUP(Clean_Data[[#This Row],[Country]],country_region[Country],country_region[Region],"Not found")</f>
        <v>East Asia</v>
      </c>
      <c r="R159" s="5" t="str">
        <f>_xlfn.XLOOKUP(Clean_Data[[#This Row],[Type of Event]],event_type_category[Type of Event],event_type_category[Category],"Not found")</f>
        <v>Independence &amp; Nation-Building</v>
      </c>
    </row>
    <row r="160" spans="1:18">
      <c r="A160">
        <v>173</v>
      </c>
      <c r="B160" t="s">
        <v>877</v>
      </c>
      <c r="C160" t="s">
        <v>230</v>
      </c>
      <c r="D160" t="s">
        <v>47</v>
      </c>
      <c r="E160" t="s">
        <v>375</v>
      </c>
      <c r="F160" t="s">
        <v>749</v>
      </c>
      <c r="G160" t="s">
        <v>878</v>
      </c>
      <c r="H160" t="s">
        <v>828</v>
      </c>
      <c r="I160" t="s">
        <v>4867</v>
      </c>
      <c r="J160" t="s">
        <v>880</v>
      </c>
      <c r="K160" t="s">
        <v>881</v>
      </c>
      <c r="L160" t="s">
        <v>21</v>
      </c>
      <c r="M160">
        <v>1919</v>
      </c>
      <c r="N160" s="5">
        <f>ROUNDUP(Clean_Data[[#This Row],[Year_Num]]/100,0)</f>
        <v>20</v>
      </c>
      <c r="O160" s="5" t="str" cm="1">
        <f t="array" ref="O160">_xlfn.LET(_xlpm.y,Clean_Data[[#This Row],[Year_Num]],_xlfn.IFS(_xlpm.y&lt;500,"Ancient",_xlpm.y&lt;1500,"Medieval",_xlpm.y&lt;1800,"Early Modern",_xlpm.y&lt;1946,"Modern",TRUE,"Contemporary"))</f>
        <v>Modern</v>
      </c>
      <c r="P160" s="5" t="str">
        <f>_xlfn.XLOOKUP(Clean_Data[[#This Row],[Country]],country_region[Country],country_region[Country_Standard],"Not found")</f>
        <v>China</v>
      </c>
      <c r="Q160" s="5" t="str">
        <f>_xlfn.XLOOKUP(Clean_Data[[#This Row],[Country]],country_region[Country],country_region[Region],"Not found")</f>
        <v>East Asia</v>
      </c>
      <c r="R160" s="5" t="str">
        <f>_xlfn.XLOOKUP(Clean_Data[[#This Row],[Type of Event]],event_type_category[Type of Event],event_type_category[Category],"Not found")</f>
        <v>Society &amp; Health</v>
      </c>
    </row>
    <row r="161" spans="1:18">
      <c r="A161">
        <v>174</v>
      </c>
      <c r="B161" t="s">
        <v>4868</v>
      </c>
      <c r="E161" t="s">
        <v>883</v>
      </c>
      <c r="F161" t="s">
        <v>749</v>
      </c>
      <c r="G161" t="s">
        <v>884</v>
      </c>
      <c r="H161" t="s">
        <v>300</v>
      </c>
      <c r="I161" t="s">
        <v>885</v>
      </c>
      <c r="J161" t="s">
        <v>886</v>
      </c>
      <c r="K161" t="s">
        <v>887</v>
      </c>
      <c r="L161" t="s">
        <v>36</v>
      </c>
      <c r="M161">
        <v>1979</v>
      </c>
      <c r="N161" s="5">
        <f>ROUNDUP(Clean_Data[[#This Row],[Year_Num]]/100,0)</f>
        <v>20</v>
      </c>
      <c r="O161" s="5" t="str" cm="1">
        <f t="array" ref="O161">_xlfn.LET(_xlpm.y,Clean_Data[[#This Row],[Year_Num]],_xlfn.IFS(_xlpm.y&lt;500,"Ancient",_xlpm.y&lt;1500,"Medieval",_xlpm.y&lt;1800,"Early Modern",_xlpm.y&lt;1946,"Modern",TRUE,"Contemporary"))</f>
        <v>Contemporary</v>
      </c>
      <c r="P161" s="5" t="str">
        <f>_xlfn.XLOOKUP(Clean_Data[[#This Row],[Country]],country_region[Country],country_region[Country_Standard],"Not found")</f>
        <v>China</v>
      </c>
      <c r="Q161" s="5" t="str">
        <f>_xlfn.XLOOKUP(Clean_Data[[#This Row],[Country]],country_region[Country],country_region[Region],"Not found")</f>
        <v>East Asia</v>
      </c>
      <c r="R161" s="5" t="str">
        <f>_xlfn.XLOOKUP(Clean_Data[[#This Row],[Type of Event]],event_type_category[Type of Event],event_type_category[Category],"Not found")</f>
        <v>Society &amp; Health</v>
      </c>
    </row>
    <row r="162" spans="1:18">
      <c r="A162">
        <v>175</v>
      </c>
      <c r="B162" t="s">
        <v>4869</v>
      </c>
      <c r="E162" t="s">
        <v>889</v>
      </c>
      <c r="F162" t="s">
        <v>749</v>
      </c>
      <c r="G162" t="s">
        <v>138</v>
      </c>
      <c r="H162" t="s">
        <v>749</v>
      </c>
      <c r="I162" t="s">
        <v>890</v>
      </c>
      <c r="J162" t="s">
        <v>781</v>
      </c>
      <c r="K162" t="s">
        <v>891</v>
      </c>
      <c r="L162" t="s">
        <v>54</v>
      </c>
      <c r="M162">
        <v>1937</v>
      </c>
      <c r="N162" s="5">
        <f>ROUNDUP(Clean_Data[[#This Row],[Year_Num]]/100,0)</f>
        <v>20</v>
      </c>
      <c r="O162" s="5" t="str" cm="1">
        <f t="array" ref="O162">_xlfn.LET(_xlpm.y,Clean_Data[[#This Row],[Year_Num]],_xlfn.IFS(_xlpm.y&lt;500,"Ancient",_xlpm.y&lt;1500,"Medieval",_xlpm.y&lt;1800,"Early Modern",_xlpm.y&lt;1946,"Modern",TRUE,"Contemporary"))</f>
        <v>Modern</v>
      </c>
      <c r="P162" s="5" t="str">
        <f>_xlfn.XLOOKUP(Clean_Data[[#This Row],[Country]],country_region[Country],country_region[Country_Standard],"Not found")</f>
        <v>China</v>
      </c>
      <c r="Q162" s="5" t="str">
        <f>_xlfn.XLOOKUP(Clean_Data[[#This Row],[Country]],country_region[Country],country_region[Region],"Not found")</f>
        <v>East Asia</v>
      </c>
      <c r="R162" s="5" t="str">
        <f>_xlfn.XLOOKUP(Clean_Data[[#This Row],[Type of Event]],event_type_category[Type of Event],event_type_category[Category],"Not found")</f>
        <v>War &amp; Conflict</v>
      </c>
    </row>
    <row r="163" spans="1:18">
      <c r="A163">
        <v>176</v>
      </c>
      <c r="B163" t="s">
        <v>892</v>
      </c>
      <c r="E163" t="s">
        <v>893</v>
      </c>
      <c r="F163" t="s">
        <v>749</v>
      </c>
      <c r="G163" t="s">
        <v>349</v>
      </c>
      <c r="H163" t="s">
        <v>802</v>
      </c>
      <c r="I163" t="s">
        <v>4870</v>
      </c>
      <c r="J163" t="s">
        <v>895</v>
      </c>
      <c r="K163" t="s">
        <v>896</v>
      </c>
      <c r="L163" t="s">
        <v>21</v>
      </c>
      <c r="M163">
        <v>1992</v>
      </c>
      <c r="N163" s="5">
        <f>ROUNDUP(Clean_Data[[#This Row],[Year_Num]]/100,0)</f>
        <v>20</v>
      </c>
      <c r="O163" s="5" t="str" cm="1">
        <f t="array" ref="O163">_xlfn.LET(_xlpm.y,Clean_Data[[#This Row],[Year_Num]],_xlfn.IFS(_xlpm.y&lt;500,"Ancient",_xlpm.y&lt;1500,"Medieval",_xlpm.y&lt;1800,"Early Modern",_xlpm.y&lt;1946,"Modern",TRUE,"Contemporary"))</f>
        <v>Contemporary</v>
      </c>
      <c r="P163" s="5" t="str">
        <f>_xlfn.XLOOKUP(Clean_Data[[#This Row],[Country]],country_region[Country],country_region[Country_Standard],"Not found")</f>
        <v>China</v>
      </c>
      <c r="Q163" s="5" t="str">
        <f>_xlfn.XLOOKUP(Clean_Data[[#This Row],[Country]],country_region[Country],country_region[Region],"Not found")</f>
        <v>East Asia</v>
      </c>
      <c r="R163" s="5" t="str">
        <f>_xlfn.XLOOKUP(Clean_Data[[#This Row],[Type of Event]],event_type_category[Type of Event],event_type_category[Category],"Not found")</f>
        <v>Economy &amp; Infrastructure</v>
      </c>
    </row>
    <row r="164" spans="1:18">
      <c r="A164">
        <v>177</v>
      </c>
      <c r="B164" t="s">
        <v>897</v>
      </c>
      <c r="C164" t="s">
        <v>46</v>
      </c>
      <c r="D164" t="s">
        <v>211</v>
      </c>
      <c r="E164" t="s">
        <v>600</v>
      </c>
      <c r="F164" t="s">
        <v>749</v>
      </c>
      <c r="G164" t="s">
        <v>898</v>
      </c>
      <c r="H164" t="s">
        <v>822</v>
      </c>
      <c r="I164" t="s">
        <v>899</v>
      </c>
      <c r="J164" t="s">
        <v>824</v>
      </c>
      <c r="K164" t="s">
        <v>825</v>
      </c>
      <c r="L164" t="s">
        <v>36</v>
      </c>
      <c r="M164">
        <v>1997</v>
      </c>
      <c r="N164" s="5">
        <f>ROUNDUP(Clean_Data[[#This Row],[Year_Num]]/100,0)</f>
        <v>20</v>
      </c>
      <c r="O164" s="5" t="str" cm="1">
        <f t="array" ref="O164">_xlfn.LET(_xlpm.y,Clean_Data[[#This Row],[Year_Num]],_xlfn.IFS(_xlpm.y&lt;500,"Ancient",_xlpm.y&lt;1500,"Medieval",_xlpm.y&lt;1800,"Early Modern",_xlpm.y&lt;1946,"Modern",TRUE,"Contemporary"))</f>
        <v>Contemporary</v>
      </c>
      <c r="P164" s="5" t="str">
        <f>_xlfn.XLOOKUP(Clean_Data[[#This Row],[Country]],country_region[Country],country_region[Country_Standard],"Not found")</f>
        <v>China</v>
      </c>
      <c r="Q164" s="5" t="str">
        <f>_xlfn.XLOOKUP(Clean_Data[[#This Row],[Country]],country_region[Country],country_region[Region],"Not found")</f>
        <v>East Asia</v>
      </c>
      <c r="R164" s="5" t="str">
        <f>_xlfn.XLOOKUP(Clean_Data[[#This Row],[Type of Event]],event_type_category[Type of Event],event_type_category[Category],"Not found")</f>
        <v>Independence &amp; Nation-Building</v>
      </c>
    </row>
    <row r="165" spans="1:18">
      <c r="A165">
        <v>178</v>
      </c>
      <c r="B165" t="s">
        <v>900</v>
      </c>
      <c r="C165" t="s">
        <v>91</v>
      </c>
      <c r="D165" t="s">
        <v>66</v>
      </c>
      <c r="E165" t="s">
        <v>137</v>
      </c>
      <c r="F165" t="s">
        <v>749</v>
      </c>
      <c r="G165" t="s">
        <v>898</v>
      </c>
      <c r="H165" t="s">
        <v>901</v>
      </c>
      <c r="I165" t="s">
        <v>902</v>
      </c>
      <c r="J165" t="s">
        <v>903</v>
      </c>
      <c r="K165" t="s">
        <v>904</v>
      </c>
      <c r="L165" t="s">
        <v>36</v>
      </c>
      <c r="M165">
        <v>1999</v>
      </c>
      <c r="N165" s="5">
        <f>ROUNDUP(Clean_Data[[#This Row],[Year_Num]]/100,0)</f>
        <v>20</v>
      </c>
      <c r="O165" s="5" t="str" cm="1">
        <f t="array" ref="O165">_xlfn.LET(_xlpm.y,Clean_Data[[#This Row],[Year_Num]],_xlfn.IFS(_xlpm.y&lt;500,"Ancient",_xlpm.y&lt;1500,"Medieval",_xlpm.y&lt;1800,"Early Modern",_xlpm.y&lt;1946,"Modern",TRUE,"Contemporary"))</f>
        <v>Contemporary</v>
      </c>
      <c r="P165" s="5" t="str">
        <f>_xlfn.XLOOKUP(Clean_Data[[#This Row],[Country]],country_region[Country],country_region[Country_Standard],"Not found")</f>
        <v>China</v>
      </c>
      <c r="Q165" s="5" t="str">
        <f>_xlfn.XLOOKUP(Clean_Data[[#This Row],[Country]],country_region[Country],country_region[Region],"Not found")</f>
        <v>East Asia</v>
      </c>
      <c r="R165" s="5" t="str">
        <f>_xlfn.XLOOKUP(Clean_Data[[#This Row],[Type of Event]],event_type_category[Type of Event],event_type_category[Category],"Not found")</f>
        <v>Independence &amp; Nation-Building</v>
      </c>
    </row>
    <row r="166" spans="1:18">
      <c r="A166">
        <v>179</v>
      </c>
      <c r="B166" t="s">
        <v>905</v>
      </c>
      <c r="C166" t="s">
        <v>298</v>
      </c>
      <c r="D166" t="s">
        <v>57</v>
      </c>
      <c r="E166" t="s">
        <v>84</v>
      </c>
      <c r="F166" t="s">
        <v>749</v>
      </c>
      <c r="G166" t="s">
        <v>827</v>
      </c>
      <c r="H166" t="s">
        <v>828</v>
      </c>
      <c r="I166" t="s">
        <v>829</v>
      </c>
      <c r="J166" t="s">
        <v>830</v>
      </c>
      <c r="K166" t="s">
        <v>831</v>
      </c>
      <c r="L166" t="s">
        <v>21</v>
      </c>
      <c r="M166">
        <v>2008</v>
      </c>
      <c r="N166" s="5">
        <f>ROUNDUP(Clean_Data[[#This Row],[Year_Num]]/100,0)</f>
        <v>21</v>
      </c>
      <c r="O166" s="5" t="str" cm="1">
        <f t="array" ref="O166">_xlfn.LET(_xlpm.y,Clean_Data[[#This Row],[Year_Num]],_xlfn.IFS(_xlpm.y&lt;500,"Ancient",_xlpm.y&lt;1500,"Medieval",_xlpm.y&lt;1800,"Early Modern",_xlpm.y&lt;1946,"Modern",TRUE,"Contemporary"))</f>
        <v>Contemporary</v>
      </c>
      <c r="P166" s="5" t="str">
        <f>_xlfn.XLOOKUP(Clean_Data[[#This Row],[Country]],country_region[Country],country_region[Country_Standard],"Not found")</f>
        <v>China</v>
      </c>
      <c r="Q166" s="5" t="str">
        <f>_xlfn.XLOOKUP(Clean_Data[[#This Row],[Country]],country_region[Country],country_region[Region],"Not found")</f>
        <v>East Asia</v>
      </c>
      <c r="R166" s="5" t="str">
        <f>_xlfn.XLOOKUP(Clean_Data[[#This Row],[Type of Event]],event_type_category[Type of Event],event_type_category[Category],"Not found")</f>
        <v>Culture, Religion &amp; Sport</v>
      </c>
    </row>
    <row r="167" spans="1:18">
      <c r="A167">
        <v>180</v>
      </c>
      <c r="B167" t="s">
        <v>906</v>
      </c>
      <c r="C167" t="s">
        <v>56</v>
      </c>
      <c r="D167" t="s">
        <v>100</v>
      </c>
      <c r="E167" t="s">
        <v>225</v>
      </c>
      <c r="F167" t="s">
        <v>749</v>
      </c>
      <c r="G167" t="s">
        <v>907</v>
      </c>
      <c r="H167" t="s">
        <v>908</v>
      </c>
      <c r="I167" t="s">
        <v>909</v>
      </c>
      <c r="J167" t="s">
        <v>910</v>
      </c>
      <c r="K167" t="s">
        <v>911</v>
      </c>
      <c r="L167" t="s">
        <v>21</v>
      </c>
      <c r="M167">
        <v>2001</v>
      </c>
      <c r="N167" s="5">
        <f>ROUNDUP(Clean_Data[[#This Row],[Year_Num]]/100,0)</f>
        <v>21</v>
      </c>
      <c r="O167" s="5" t="str" cm="1">
        <f t="array" ref="O167">_xlfn.LET(_xlpm.y,Clean_Data[[#This Row],[Year_Num]],_xlfn.IFS(_xlpm.y&lt;500,"Ancient",_xlpm.y&lt;1500,"Medieval",_xlpm.y&lt;1800,"Early Modern",_xlpm.y&lt;1946,"Modern",TRUE,"Contemporary"))</f>
        <v>Contemporary</v>
      </c>
      <c r="P167" s="5" t="str">
        <f>_xlfn.XLOOKUP(Clean_Data[[#This Row],[Country]],country_region[Country],country_region[Country_Standard],"Not found")</f>
        <v>China</v>
      </c>
      <c r="Q167" s="5" t="str">
        <f>_xlfn.XLOOKUP(Clean_Data[[#This Row],[Country]],country_region[Country],country_region[Region],"Not found")</f>
        <v>East Asia</v>
      </c>
      <c r="R167" s="5" t="str">
        <f>_xlfn.XLOOKUP(Clean_Data[[#This Row],[Type of Event]],event_type_category[Type of Event],event_type_category[Category],"Not found")</f>
        <v>Diplomacy &amp; International Relations</v>
      </c>
    </row>
    <row r="168" spans="1:18">
      <c r="A168">
        <v>183</v>
      </c>
      <c r="B168" t="s">
        <v>912</v>
      </c>
      <c r="E168" t="s">
        <v>913</v>
      </c>
      <c r="F168" t="s">
        <v>749</v>
      </c>
      <c r="G168" t="s">
        <v>914</v>
      </c>
      <c r="H168" t="s">
        <v>749</v>
      </c>
      <c r="I168" t="s">
        <v>915</v>
      </c>
      <c r="J168" t="s">
        <v>781</v>
      </c>
      <c r="K168" t="s">
        <v>916</v>
      </c>
      <c r="L168" t="s">
        <v>36</v>
      </c>
      <c r="M168">
        <v>220</v>
      </c>
      <c r="N168" s="5">
        <f>ROUNDUP(Clean_Data[[#This Row],[Year_Num]]/100,0)</f>
        <v>3</v>
      </c>
      <c r="O168" s="5" t="str" cm="1">
        <f t="array" ref="O168">_xlfn.LET(_xlpm.y,Clean_Data[[#This Row],[Year_Num]],_xlfn.IFS(_xlpm.y&lt;500,"Ancient",_xlpm.y&lt;1500,"Medieval",_xlpm.y&lt;1800,"Early Modern",_xlpm.y&lt;1946,"Modern",TRUE,"Contemporary"))</f>
        <v>Ancient</v>
      </c>
      <c r="P168" s="5" t="str">
        <f>_xlfn.XLOOKUP(Clean_Data[[#This Row],[Country]],country_region[Country],country_region[Country_Standard],"Not found")</f>
        <v>China</v>
      </c>
      <c r="Q168" s="5" t="str">
        <f>_xlfn.XLOOKUP(Clean_Data[[#This Row],[Country]],country_region[Country],country_region[Region],"Not found")</f>
        <v>East Asia</v>
      </c>
      <c r="R168" s="5" t="str">
        <f>_xlfn.XLOOKUP(Clean_Data[[#This Row],[Type of Event]],event_type_category[Type of Event],event_type_category[Category],"Not found")</f>
        <v>Culture, Religion &amp; Sport</v>
      </c>
    </row>
    <row r="169" spans="1:18">
      <c r="A169">
        <v>184</v>
      </c>
      <c r="B169" t="s">
        <v>917</v>
      </c>
      <c r="E169" t="s">
        <v>918</v>
      </c>
      <c r="F169" t="s">
        <v>749</v>
      </c>
      <c r="G169" t="s">
        <v>919</v>
      </c>
      <c r="H169" t="s">
        <v>920</v>
      </c>
      <c r="I169" t="s">
        <v>921</v>
      </c>
      <c r="J169" t="s">
        <v>922</v>
      </c>
      <c r="K169" t="s">
        <v>923</v>
      </c>
      <c r="L169" t="s">
        <v>54</v>
      </c>
      <c r="M169">
        <v>755</v>
      </c>
      <c r="N169" s="5">
        <f>ROUNDUP(Clean_Data[[#This Row],[Year_Num]]/100,0)</f>
        <v>8</v>
      </c>
      <c r="O169" s="5" t="str" cm="1">
        <f t="array" ref="O169">_xlfn.LET(_xlpm.y,Clean_Data[[#This Row],[Year_Num]],_xlfn.IFS(_xlpm.y&lt;500,"Ancient",_xlpm.y&lt;1500,"Medieval",_xlpm.y&lt;1800,"Early Modern",_xlpm.y&lt;1946,"Modern",TRUE,"Contemporary"))</f>
        <v>Medieval</v>
      </c>
      <c r="P169" s="5" t="str">
        <f>_xlfn.XLOOKUP(Clean_Data[[#This Row],[Country]],country_region[Country],country_region[Country_Standard],"Not found")</f>
        <v>China</v>
      </c>
      <c r="Q169" s="5" t="str">
        <f>_xlfn.XLOOKUP(Clean_Data[[#This Row],[Country]],country_region[Country],country_region[Region],"Not found")</f>
        <v>East Asia</v>
      </c>
      <c r="R169" s="5" t="str">
        <f>_xlfn.XLOOKUP(Clean_Data[[#This Row],[Type of Event]],event_type_category[Type of Event],event_type_category[Category],"Not found")</f>
        <v>War &amp; Conflict</v>
      </c>
    </row>
    <row r="170" spans="1:18">
      <c r="A170">
        <v>185</v>
      </c>
      <c r="B170" t="s">
        <v>924</v>
      </c>
      <c r="E170" t="s">
        <v>925</v>
      </c>
      <c r="F170" t="s">
        <v>749</v>
      </c>
      <c r="G170" t="s">
        <v>93</v>
      </c>
      <c r="H170" t="s">
        <v>926</v>
      </c>
      <c r="I170" t="s">
        <v>927</v>
      </c>
      <c r="J170" t="s">
        <v>928</v>
      </c>
      <c r="K170" t="s">
        <v>929</v>
      </c>
      <c r="L170" t="s">
        <v>21</v>
      </c>
      <c r="M170">
        <v>1290</v>
      </c>
      <c r="N170" s="5">
        <f>ROUNDUP(Clean_Data[[#This Row],[Year_Num]]/100,0)</f>
        <v>13</v>
      </c>
      <c r="O170" s="5" t="str" cm="1">
        <f t="array" ref="O170">_xlfn.LET(_xlpm.y,Clean_Data[[#This Row],[Year_Num]],_xlfn.IFS(_xlpm.y&lt;500,"Ancient",_xlpm.y&lt;1500,"Medieval",_xlpm.y&lt;1800,"Early Modern",_xlpm.y&lt;1946,"Modern",TRUE,"Contemporary"))</f>
        <v>Medieval</v>
      </c>
      <c r="P170" s="5" t="str">
        <f>_xlfn.XLOOKUP(Clean_Data[[#This Row],[Country]],country_region[Country],country_region[Country_Standard],"Not found")</f>
        <v>China</v>
      </c>
      <c r="Q170" s="5" t="str">
        <f>_xlfn.XLOOKUP(Clean_Data[[#This Row],[Country]],country_region[Country],country_region[Region],"Not found")</f>
        <v>East Asia</v>
      </c>
      <c r="R170" s="5" t="str">
        <f>_xlfn.XLOOKUP(Clean_Data[[#This Row],[Type of Event]],event_type_category[Type of Event],event_type_category[Category],"Not found")</f>
        <v>Science, Technology &amp; Exploration</v>
      </c>
    </row>
    <row r="171" spans="1:18">
      <c r="A171">
        <v>186</v>
      </c>
      <c r="B171" t="s">
        <v>930</v>
      </c>
      <c r="E171" t="s">
        <v>931</v>
      </c>
      <c r="F171" t="s">
        <v>749</v>
      </c>
      <c r="G171" t="s">
        <v>932</v>
      </c>
      <c r="H171" t="s">
        <v>828</v>
      </c>
      <c r="I171" t="s">
        <v>933</v>
      </c>
      <c r="J171" t="s">
        <v>934</v>
      </c>
      <c r="K171" t="s">
        <v>935</v>
      </c>
      <c r="L171" t="s">
        <v>21</v>
      </c>
      <c r="M171">
        <v>1420</v>
      </c>
      <c r="N171" s="5">
        <f>ROUNDUP(Clean_Data[[#This Row],[Year_Num]]/100,0)</f>
        <v>15</v>
      </c>
      <c r="O171" s="5" t="str" cm="1">
        <f t="array" ref="O171">_xlfn.LET(_xlpm.y,Clean_Data[[#This Row],[Year_Num]],_xlfn.IFS(_xlpm.y&lt;500,"Ancient",_xlpm.y&lt;1500,"Medieval",_xlpm.y&lt;1800,"Early Modern",_xlpm.y&lt;1946,"Modern",TRUE,"Contemporary"))</f>
        <v>Medieval</v>
      </c>
      <c r="P171" s="5" t="str">
        <f>_xlfn.XLOOKUP(Clean_Data[[#This Row],[Country]],country_region[Country],country_region[Country_Standard],"Not found")</f>
        <v>China</v>
      </c>
      <c r="Q171" s="5" t="str">
        <f>_xlfn.XLOOKUP(Clean_Data[[#This Row],[Country]],country_region[Country],country_region[Region],"Not found")</f>
        <v>East Asia</v>
      </c>
      <c r="R171" s="5" t="str">
        <f>_xlfn.XLOOKUP(Clean_Data[[#This Row],[Type of Event]],event_type_category[Type of Event],event_type_category[Category],"Not found")</f>
        <v>Culture, Religion &amp; Sport</v>
      </c>
    </row>
    <row r="172" spans="1:18">
      <c r="A172">
        <v>187</v>
      </c>
      <c r="B172" t="s">
        <v>936</v>
      </c>
      <c r="E172" t="s">
        <v>937</v>
      </c>
      <c r="F172" t="s">
        <v>749</v>
      </c>
      <c r="G172" t="s">
        <v>938</v>
      </c>
      <c r="H172" t="s">
        <v>939</v>
      </c>
      <c r="I172" t="s">
        <v>940</v>
      </c>
      <c r="J172" t="s">
        <v>941</v>
      </c>
      <c r="K172" t="s">
        <v>942</v>
      </c>
      <c r="L172" t="s">
        <v>36</v>
      </c>
      <c r="M172">
        <v>1530</v>
      </c>
      <c r="N172" s="5">
        <f>ROUNDUP(Clean_Data[[#This Row],[Year_Num]]/100,0)</f>
        <v>16</v>
      </c>
      <c r="O172" s="5" t="str" cm="1">
        <f t="array" ref="O172">_xlfn.LET(_xlpm.y,Clean_Data[[#This Row],[Year_Num]],_xlfn.IFS(_xlpm.y&lt;500,"Ancient",_xlpm.y&lt;1500,"Medieval",_xlpm.y&lt;1800,"Early Modern",_xlpm.y&lt;1946,"Modern",TRUE,"Contemporary"))</f>
        <v>Early Modern</v>
      </c>
      <c r="P172" s="5" t="str">
        <f>_xlfn.XLOOKUP(Clean_Data[[#This Row],[Country]],country_region[Country],country_region[Country_Standard],"Not found")</f>
        <v>China</v>
      </c>
      <c r="Q172" s="5" t="str">
        <f>_xlfn.XLOOKUP(Clean_Data[[#This Row],[Country]],country_region[Country],country_region[Region],"Not found")</f>
        <v>East Asia</v>
      </c>
      <c r="R172" s="5" t="str">
        <f>_xlfn.XLOOKUP(Clean_Data[[#This Row],[Type of Event]],event_type_category[Type of Event],event_type_category[Category],"Not found")</f>
        <v>Culture, Religion &amp; Sport</v>
      </c>
    </row>
    <row r="173" spans="1:18">
      <c r="A173">
        <v>188</v>
      </c>
      <c r="B173" t="s">
        <v>943</v>
      </c>
      <c r="E173" t="s">
        <v>794</v>
      </c>
      <c r="F173" t="s">
        <v>749</v>
      </c>
      <c r="G173" t="s">
        <v>581</v>
      </c>
      <c r="H173" t="s">
        <v>944</v>
      </c>
      <c r="I173" t="s">
        <v>945</v>
      </c>
      <c r="J173" t="s">
        <v>798</v>
      </c>
      <c r="K173" t="s">
        <v>798</v>
      </c>
      <c r="L173" t="s">
        <v>54</v>
      </c>
      <c r="M173">
        <v>1842</v>
      </c>
      <c r="N173" s="5">
        <f>ROUNDUP(Clean_Data[[#This Row],[Year_Num]]/100,0)</f>
        <v>19</v>
      </c>
      <c r="O173" s="5" t="str" cm="1">
        <f t="array" ref="O173">_xlfn.LET(_xlpm.y,Clean_Data[[#This Row],[Year_Num]],_xlfn.IFS(_xlpm.y&lt;500,"Ancient",_xlpm.y&lt;1500,"Medieval",_xlpm.y&lt;1800,"Early Modern",_xlpm.y&lt;1946,"Modern",TRUE,"Contemporary"))</f>
        <v>Modern</v>
      </c>
      <c r="P173" s="5" t="str">
        <f>_xlfn.XLOOKUP(Clean_Data[[#This Row],[Country]],country_region[Country],country_region[Country_Standard],"Not found")</f>
        <v>China</v>
      </c>
      <c r="Q173" s="5" t="str">
        <f>_xlfn.XLOOKUP(Clean_Data[[#This Row],[Country]],country_region[Country],country_region[Region],"Not found")</f>
        <v>East Asia</v>
      </c>
      <c r="R173" s="5" t="str">
        <f>_xlfn.XLOOKUP(Clean_Data[[#This Row],[Type of Event]],event_type_category[Type of Event],event_type_category[Category],"Not found")</f>
        <v>Diplomacy &amp; International Relations</v>
      </c>
    </row>
    <row r="174" spans="1:18">
      <c r="A174">
        <v>189</v>
      </c>
      <c r="B174" t="s">
        <v>946</v>
      </c>
      <c r="C174" t="s">
        <v>46</v>
      </c>
      <c r="D174" t="s">
        <v>158</v>
      </c>
      <c r="E174" t="s">
        <v>947</v>
      </c>
      <c r="F174" t="s">
        <v>749</v>
      </c>
      <c r="G174" t="s">
        <v>31</v>
      </c>
      <c r="H174" t="s">
        <v>828</v>
      </c>
      <c r="I174" t="s">
        <v>948</v>
      </c>
      <c r="J174" t="s">
        <v>895</v>
      </c>
      <c r="K174" t="s">
        <v>816</v>
      </c>
      <c r="L174" t="s">
        <v>21</v>
      </c>
      <c r="M174">
        <v>1949</v>
      </c>
      <c r="N174" s="5">
        <f>ROUNDUP(Clean_Data[[#This Row],[Year_Num]]/100,0)</f>
        <v>20</v>
      </c>
      <c r="O174" s="5" t="str" cm="1">
        <f t="array" ref="O174">_xlfn.LET(_xlpm.y,Clean_Data[[#This Row],[Year_Num]],_xlfn.IFS(_xlpm.y&lt;500,"Ancient",_xlpm.y&lt;1500,"Medieval",_xlpm.y&lt;1800,"Early Modern",_xlpm.y&lt;1946,"Modern",TRUE,"Contemporary"))</f>
        <v>Contemporary</v>
      </c>
      <c r="P174" s="5" t="str">
        <f>_xlfn.XLOOKUP(Clean_Data[[#This Row],[Country]],country_region[Country],country_region[Country_Standard],"Not found")</f>
        <v>China</v>
      </c>
      <c r="Q174" s="5" t="str">
        <f>_xlfn.XLOOKUP(Clean_Data[[#This Row],[Country]],country_region[Country],country_region[Region],"Not found")</f>
        <v>East Asia</v>
      </c>
      <c r="R174" s="5" t="str">
        <f>_xlfn.XLOOKUP(Clean_Data[[#This Row],[Type of Event]],event_type_category[Type of Event],event_type_category[Category],"Not found")</f>
        <v>Politics &amp; Law</v>
      </c>
    </row>
    <row r="175" spans="1:18">
      <c r="A175">
        <v>190</v>
      </c>
      <c r="B175" t="s">
        <v>4871</v>
      </c>
      <c r="E175" t="s">
        <v>713</v>
      </c>
      <c r="F175" t="s">
        <v>749</v>
      </c>
      <c r="G175" t="s">
        <v>213</v>
      </c>
      <c r="H175" t="s">
        <v>300</v>
      </c>
      <c r="I175" t="s">
        <v>950</v>
      </c>
      <c r="J175" t="s">
        <v>895</v>
      </c>
      <c r="K175" t="s">
        <v>896</v>
      </c>
      <c r="L175" t="s">
        <v>21</v>
      </c>
      <c r="M175">
        <v>1978</v>
      </c>
      <c r="N175" s="5">
        <f>ROUNDUP(Clean_Data[[#This Row],[Year_Num]]/100,0)</f>
        <v>20</v>
      </c>
      <c r="O175" s="5" t="str" cm="1">
        <f t="array" ref="O175">_xlfn.LET(_xlpm.y,Clean_Data[[#This Row],[Year_Num]],_xlfn.IFS(_xlpm.y&lt;500,"Ancient",_xlpm.y&lt;1500,"Medieval",_xlpm.y&lt;1800,"Early Modern",_xlpm.y&lt;1946,"Modern",TRUE,"Contemporary"))</f>
        <v>Contemporary</v>
      </c>
      <c r="P175" s="5" t="str">
        <f>_xlfn.XLOOKUP(Clean_Data[[#This Row],[Country]],country_region[Country],country_region[Country_Standard],"Not found")</f>
        <v>China</v>
      </c>
      <c r="Q175" s="5" t="str">
        <f>_xlfn.XLOOKUP(Clean_Data[[#This Row],[Country]],country_region[Country],country_region[Region],"Not found")</f>
        <v>East Asia</v>
      </c>
      <c r="R175" s="5" t="str">
        <f>_xlfn.XLOOKUP(Clean_Data[[#This Row],[Type of Event]],event_type_category[Type of Event],event_type_category[Category],"Not found")</f>
        <v>Economy &amp; Infrastructure</v>
      </c>
    </row>
    <row r="176" spans="1:18">
      <c r="A176">
        <v>191</v>
      </c>
      <c r="B176" t="s">
        <v>951</v>
      </c>
      <c r="C176" t="s">
        <v>46</v>
      </c>
      <c r="D176" t="s">
        <v>158</v>
      </c>
      <c r="E176" t="s">
        <v>947</v>
      </c>
      <c r="F176" t="s">
        <v>749</v>
      </c>
      <c r="G176" t="s">
        <v>31</v>
      </c>
      <c r="H176" t="s">
        <v>828</v>
      </c>
      <c r="I176" t="s">
        <v>952</v>
      </c>
      <c r="J176" t="s">
        <v>895</v>
      </c>
      <c r="K176" t="s">
        <v>816</v>
      </c>
      <c r="L176" t="s">
        <v>21</v>
      </c>
      <c r="M176">
        <v>1949</v>
      </c>
      <c r="N176" s="5">
        <f>ROUNDUP(Clean_Data[[#This Row],[Year_Num]]/100,0)</f>
        <v>20</v>
      </c>
      <c r="O176" s="5" t="str" cm="1">
        <f t="array" ref="O176">_xlfn.LET(_xlpm.y,Clean_Data[[#This Row],[Year_Num]],_xlfn.IFS(_xlpm.y&lt;500,"Ancient",_xlpm.y&lt;1500,"Medieval",_xlpm.y&lt;1800,"Early Modern",_xlpm.y&lt;1946,"Modern",TRUE,"Contemporary"))</f>
        <v>Contemporary</v>
      </c>
      <c r="P176" s="5" t="str">
        <f>_xlfn.XLOOKUP(Clean_Data[[#This Row],[Country]],country_region[Country],country_region[Country_Standard],"Not found")</f>
        <v>China</v>
      </c>
      <c r="Q176" s="5" t="str">
        <f>_xlfn.XLOOKUP(Clean_Data[[#This Row],[Country]],country_region[Country],country_region[Region],"Not found")</f>
        <v>East Asia</v>
      </c>
      <c r="R176" s="5" t="str">
        <f>_xlfn.XLOOKUP(Clean_Data[[#This Row],[Type of Event]],event_type_category[Type of Event],event_type_category[Category],"Not found")</f>
        <v>Politics &amp; Law</v>
      </c>
    </row>
    <row r="177" spans="1:18">
      <c r="A177">
        <v>192</v>
      </c>
      <c r="B177" t="s">
        <v>953</v>
      </c>
      <c r="E177" t="s">
        <v>954</v>
      </c>
      <c r="F177" t="s">
        <v>749</v>
      </c>
      <c r="G177" t="s">
        <v>213</v>
      </c>
      <c r="H177" t="s">
        <v>300</v>
      </c>
      <c r="I177" t="s">
        <v>955</v>
      </c>
      <c r="J177" t="s">
        <v>956</v>
      </c>
      <c r="K177" t="s">
        <v>816</v>
      </c>
      <c r="L177" t="s">
        <v>54</v>
      </c>
      <c r="M177">
        <v>1958</v>
      </c>
      <c r="N177" s="5">
        <f>ROUNDUP(Clean_Data[[#This Row],[Year_Num]]/100,0)</f>
        <v>20</v>
      </c>
      <c r="O177" s="5" t="str" cm="1">
        <f t="array" ref="O177">_xlfn.LET(_xlpm.y,Clean_Data[[#This Row],[Year_Num]],_xlfn.IFS(_xlpm.y&lt;500,"Ancient",_xlpm.y&lt;1500,"Medieval",_xlpm.y&lt;1800,"Early Modern",_xlpm.y&lt;1946,"Modern",TRUE,"Contemporary"))</f>
        <v>Contemporary</v>
      </c>
      <c r="P177" s="5" t="str">
        <f>_xlfn.XLOOKUP(Clean_Data[[#This Row],[Country]],country_region[Country],country_region[Country_Standard],"Not found")</f>
        <v>China</v>
      </c>
      <c r="Q177" s="5" t="str">
        <f>_xlfn.XLOOKUP(Clean_Data[[#This Row],[Country]],country_region[Country],country_region[Region],"Not found")</f>
        <v>East Asia</v>
      </c>
      <c r="R177" s="5" t="str">
        <f>_xlfn.XLOOKUP(Clean_Data[[#This Row],[Type of Event]],event_type_category[Type of Event],event_type_category[Category],"Not found")</f>
        <v>Economy &amp; Infrastructure</v>
      </c>
    </row>
    <row r="178" spans="1:18">
      <c r="A178">
        <v>194</v>
      </c>
      <c r="B178" t="s">
        <v>4872</v>
      </c>
      <c r="E178" t="s">
        <v>591</v>
      </c>
      <c r="F178" t="s">
        <v>749</v>
      </c>
      <c r="G178" t="s">
        <v>489</v>
      </c>
      <c r="H178" t="s">
        <v>959</v>
      </c>
      <c r="I178" t="s">
        <v>960</v>
      </c>
      <c r="J178" t="s">
        <v>961</v>
      </c>
      <c r="K178" t="s">
        <v>962</v>
      </c>
      <c r="L178" t="s">
        <v>21</v>
      </c>
      <c r="M178">
        <v>1972</v>
      </c>
      <c r="N178" s="5">
        <f>ROUNDUP(Clean_Data[[#This Row],[Year_Num]]/100,0)</f>
        <v>20</v>
      </c>
      <c r="O178" s="5" t="str" cm="1">
        <f t="array" ref="O178">_xlfn.LET(_xlpm.y,Clean_Data[[#This Row],[Year_Num]],_xlfn.IFS(_xlpm.y&lt;500,"Ancient",_xlpm.y&lt;1500,"Medieval",_xlpm.y&lt;1800,"Early Modern",_xlpm.y&lt;1946,"Modern",TRUE,"Contemporary"))</f>
        <v>Contemporary</v>
      </c>
      <c r="P178" s="5" t="str">
        <f>_xlfn.XLOOKUP(Clean_Data[[#This Row],[Country]],country_region[Country],country_region[Country_Standard],"Not found")</f>
        <v>China</v>
      </c>
      <c r="Q178" s="5" t="str">
        <f>_xlfn.XLOOKUP(Clean_Data[[#This Row],[Country]],country_region[Country],country_region[Region],"Not found")</f>
        <v>East Asia</v>
      </c>
      <c r="R178" s="5" t="str">
        <f>_xlfn.XLOOKUP(Clean_Data[[#This Row],[Type of Event]],event_type_category[Type of Event],event_type_category[Category],"Not found")</f>
        <v>Diplomacy &amp; International Relations</v>
      </c>
    </row>
    <row r="179" spans="1:18">
      <c r="A179">
        <v>195</v>
      </c>
      <c r="B179" t="s">
        <v>4873</v>
      </c>
      <c r="E179" t="s">
        <v>713</v>
      </c>
      <c r="F179" t="s">
        <v>749</v>
      </c>
      <c r="G179" t="s">
        <v>349</v>
      </c>
      <c r="H179" t="s">
        <v>300</v>
      </c>
      <c r="I179" t="s">
        <v>964</v>
      </c>
      <c r="J179" t="s">
        <v>895</v>
      </c>
      <c r="K179" t="s">
        <v>896</v>
      </c>
      <c r="L179" t="s">
        <v>21</v>
      </c>
      <c r="M179">
        <v>1978</v>
      </c>
      <c r="N179" s="5">
        <f>ROUNDUP(Clean_Data[[#This Row],[Year_Num]]/100,0)</f>
        <v>20</v>
      </c>
      <c r="O179" s="5" t="str" cm="1">
        <f t="array" ref="O179">_xlfn.LET(_xlpm.y,Clean_Data[[#This Row],[Year_Num]],_xlfn.IFS(_xlpm.y&lt;500,"Ancient",_xlpm.y&lt;1500,"Medieval",_xlpm.y&lt;1800,"Early Modern",_xlpm.y&lt;1946,"Modern",TRUE,"Contemporary"))</f>
        <v>Contemporary</v>
      </c>
      <c r="P179" s="5" t="str">
        <f>_xlfn.XLOOKUP(Clean_Data[[#This Row],[Country]],country_region[Country],country_region[Country_Standard],"Not found")</f>
        <v>China</v>
      </c>
      <c r="Q179" s="5" t="str">
        <f>_xlfn.XLOOKUP(Clean_Data[[#This Row],[Country]],country_region[Country],country_region[Region],"Not found")</f>
        <v>East Asia</v>
      </c>
      <c r="R179" s="5" t="str">
        <f>_xlfn.XLOOKUP(Clean_Data[[#This Row],[Type of Event]],event_type_category[Type of Event],event_type_category[Category],"Not found")</f>
        <v>Economy &amp; Infrastructure</v>
      </c>
    </row>
    <row r="180" spans="1:18">
      <c r="A180">
        <v>196</v>
      </c>
      <c r="B180" t="s">
        <v>965</v>
      </c>
      <c r="D180" t="s">
        <v>100</v>
      </c>
      <c r="E180" t="s">
        <v>966</v>
      </c>
      <c r="F180" t="s">
        <v>749</v>
      </c>
      <c r="G180" t="s">
        <v>31</v>
      </c>
      <c r="H180" t="s">
        <v>828</v>
      </c>
      <c r="I180" t="s">
        <v>4874</v>
      </c>
      <c r="J180" t="s">
        <v>968</v>
      </c>
      <c r="K180" t="s">
        <v>969</v>
      </c>
      <c r="L180" t="s">
        <v>54</v>
      </c>
      <c r="M180">
        <v>1989</v>
      </c>
      <c r="N180" s="5">
        <f>ROUNDUP(Clean_Data[[#This Row],[Year_Num]]/100,0)</f>
        <v>20</v>
      </c>
      <c r="O180" s="5" t="str" cm="1">
        <f t="array" ref="O180">_xlfn.LET(_xlpm.y,Clean_Data[[#This Row],[Year_Num]],_xlfn.IFS(_xlpm.y&lt;500,"Ancient",_xlpm.y&lt;1500,"Medieval",_xlpm.y&lt;1800,"Early Modern",_xlpm.y&lt;1946,"Modern",TRUE,"Contemporary"))</f>
        <v>Contemporary</v>
      </c>
      <c r="P180" s="5" t="str">
        <f>_xlfn.XLOOKUP(Clean_Data[[#This Row],[Country]],country_region[Country],country_region[Country_Standard],"Not found")</f>
        <v>China</v>
      </c>
      <c r="Q180" s="5" t="str">
        <f>_xlfn.XLOOKUP(Clean_Data[[#This Row],[Country]],country_region[Country],country_region[Region],"Not found")</f>
        <v>East Asia</v>
      </c>
      <c r="R180" s="5" t="str">
        <f>_xlfn.XLOOKUP(Clean_Data[[#This Row],[Type of Event]],event_type_category[Type of Event],event_type_category[Category],"Not found")</f>
        <v>Politics &amp; Law</v>
      </c>
    </row>
    <row r="181" spans="1:18">
      <c r="A181">
        <v>197</v>
      </c>
      <c r="B181" t="s">
        <v>970</v>
      </c>
      <c r="C181" t="s">
        <v>46</v>
      </c>
      <c r="D181" t="s">
        <v>211</v>
      </c>
      <c r="E181" t="s">
        <v>600</v>
      </c>
      <c r="F181" t="s">
        <v>749</v>
      </c>
      <c r="G181" t="s">
        <v>898</v>
      </c>
      <c r="H181" t="s">
        <v>822</v>
      </c>
      <c r="I181" t="s">
        <v>971</v>
      </c>
      <c r="J181" t="s">
        <v>824</v>
      </c>
      <c r="K181" t="s">
        <v>825</v>
      </c>
      <c r="L181" t="s">
        <v>36</v>
      </c>
      <c r="M181">
        <v>1997</v>
      </c>
      <c r="N181" s="5">
        <f>ROUNDUP(Clean_Data[[#This Row],[Year_Num]]/100,0)</f>
        <v>20</v>
      </c>
      <c r="O181" s="5" t="str" cm="1">
        <f t="array" ref="O181">_xlfn.LET(_xlpm.y,Clean_Data[[#This Row],[Year_Num]],_xlfn.IFS(_xlpm.y&lt;500,"Ancient",_xlpm.y&lt;1500,"Medieval",_xlpm.y&lt;1800,"Early Modern",_xlpm.y&lt;1946,"Modern",TRUE,"Contemporary"))</f>
        <v>Contemporary</v>
      </c>
      <c r="P181" s="5" t="str">
        <f>_xlfn.XLOOKUP(Clean_Data[[#This Row],[Country]],country_region[Country],country_region[Country_Standard],"Not found")</f>
        <v>China</v>
      </c>
      <c r="Q181" s="5" t="str">
        <f>_xlfn.XLOOKUP(Clean_Data[[#This Row],[Country]],country_region[Country],country_region[Region],"Not found")</f>
        <v>East Asia</v>
      </c>
      <c r="R181" s="5" t="str">
        <f>_xlfn.XLOOKUP(Clean_Data[[#This Row],[Type of Event]],event_type_category[Type of Event],event_type_category[Category],"Not found")</f>
        <v>Independence &amp; Nation-Building</v>
      </c>
    </row>
    <row r="182" spans="1:18">
      <c r="A182">
        <v>198</v>
      </c>
      <c r="B182" t="s">
        <v>972</v>
      </c>
      <c r="C182" t="s">
        <v>74</v>
      </c>
      <c r="D182" t="s">
        <v>66</v>
      </c>
      <c r="E182" t="s">
        <v>225</v>
      </c>
      <c r="F182" t="s">
        <v>749</v>
      </c>
      <c r="G182" t="s">
        <v>973</v>
      </c>
      <c r="H182" t="s">
        <v>974</v>
      </c>
      <c r="I182" t="s">
        <v>975</v>
      </c>
      <c r="J182" t="s">
        <v>976</v>
      </c>
      <c r="K182" t="s">
        <v>887</v>
      </c>
      <c r="L182" t="s">
        <v>21</v>
      </c>
      <c r="M182">
        <v>2001</v>
      </c>
      <c r="N182" s="5">
        <f>ROUNDUP(Clean_Data[[#This Row],[Year_Num]]/100,0)</f>
        <v>21</v>
      </c>
      <c r="O182" s="5" t="str" cm="1">
        <f t="array" ref="O182">_xlfn.LET(_xlpm.y,Clean_Data[[#This Row],[Year_Num]],_xlfn.IFS(_xlpm.y&lt;500,"Ancient",_xlpm.y&lt;1500,"Medieval",_xlpm.y&lt;1800,"Early Modern",_xlpm.y&lt;1946,"Modern",TRUE,"Contemporary"))</f>
        <v>Contemporary</v>
      </c>
      <c r="P182" s="5" t="str">
        <f>_xlfn.XLOOKUP(Clean_Data[[#This Row],[Country]],country_region[Country],country_region[Country_Standard],"Not found")</f>
        <v>China</v>
      </c>
      <c r="Q182" s="5" t="str">
        <f>_xlfn.XLOOKUP(Clean_Data[[#This Row],[Country]],country_region[Country],country_region[Region],"Not found")</f>
        <v>East Asia</v>
      </c>
      <c r="R182" s="5" t="str">
        <f>_xlfn.XLOOKUP(Clean_Data[[#This Row],[Type of Event]],event_type_category[Type of Event],event_type_category[Category],"Not found")</f>
        <v>Economy &amp; Infrastructure</v>
      </c>
    </row>
    <row r="183" spans="1:18">
      <c r="A183">
        <v>199</v>
      </c>
      <c r="B183" t="s">
        <v>977</v>
      </c>
      <c r="C183" t="s">
        <v>298</v>
      </c>
      <c r="D183" t="s">
        <v>57</v>
      </c>
      <c r="E183" t="s">
        <v>84</v>
      </c>
      <c r="F183" t="s">
        <v>749</v>
      </c>
      <c r="G183" t="s">
        <v>827</v>
      </c>
      <c r="H183" t="s">
        <v>828</v>
      </c>
      <c r="I183" t="s">
        <v>829</v>
      </c>
      <c r="J183" t="s">
        <v>830</v>
      </c>
      <c r="K183" t="s">
        <v>831</v>
      </c>
      <c r="L183" t="s">
        <v>21</v>
      </c>
      <c r="M183">
        <v>2008</v>
      </c>
      <c r="N183" s="5">
        <f>ROUNDUP(Clean_Data[[#This Row],[Year_Num]]/100,0)</f>
        <v>21</v>
      </c>
      <c r="O183" s="5" t="str" cm="1">
        <f t="array" ref="O183">_xlfn.LET(_xlpm.y,Clean_Data[[#This Row],[Year_Num]],_xlfn.IFS(_xlpm.y&lt;500,"Ancient",_xlpm.y&lt;1500,"Medieval",_xlpm.y&lt;1800,"Early Modern",_xlpm.y&lt;1946,"Modern",TRUE,"Contemporary"))</f>
        <v>Contemporary</v>
      </c>
      <c r="P183" s="5" t="str">
        <f>_xlfn.XLOOKUP(Clean_Data[[#This Row],[Country]],country_region[Country],country_region[Country_Standard],"Not found")</f>
        <v>China</v>
      </c>
      <c r="Q183" s="5" t="str">
        <f>_xlfn.XLOOKUP(Clean_Data[[#This Row],[Country]],country_region[Country],country_region[Region],"Not found")</f>
        <v>East Asia</v>
      </c>
      <c r="R183" s="5" t="str">
        <f>_xlfn.XLOOKUP(Clean_Data[[#This Row],[Type of Event]],event_type_category[Type of Event],event_type_category[Category],"Not found")</f>
        <v>Culture, Religion &amp; Sport</v>
      </c>
    </row>
    <row r="184" spans="1:18">
      <c r="A184">
        <v>200</v>
      </c>
      <c r="B184" t="s">
        <v>978</v>
      </c>
      <c r="E184" t="s">
        <v>279</v>
      </c>
      <c r="F184" t="s">
        <v>749</v>
      </c>
      <c r="G184" t="s">
        <v>979</v>
      </c>
      <c r="H184" t="s">
        <v>300</v>
      </c>
      <c r="I184" t="s">
        <v>980</v>
      </c>
      <c r="J184" t="s">
        <v>981</v>
      </c>
      <c r="K184" t="s">
        <v>982</v>
      </c>
      <c r="L184" t="s">
        <v>36</v>
      </c>
      <c r="M184">
        <v>2013</v>
      </c>
      <c r="N184" s="5">
        <f>ROUNDUP(Clean_Data[[#This Row],[Year_Num]]/100,0)</f>
        <v>21</v>
      </c>
      <c r="O184" s="5" t="str" cm="1">
        <f t="array" ref="O184">_xlfn.LET(_xlpm.y,Clean_Data[[#This Row],[Year_Num]],_xlfn.IFS(_xlpm.y&lt;500,"Ancient",_xlpm.y&lt;1500,"Medieval",_xlpm.y&lt;1800,"Early Modern",_xlpm.y&lt;1946,"Modern",TRUE,"Contemporary"))</f>
        <v>Contemporary</v>
      </c>
      <c r="P184" s="5" t="str">
        <f>_xlfn.XLOOKUP(Clean_Data[[#This Row],[Country]],country_region[Country],country_region[Country_Standard],"Not found")</f>
        <v>China</v>
      </c>
      <c r="Q184" s="5" t="str">
        <f>_xlfn.XLOOKUP(Clean_Data[[#This Row],[Country]],country_region[Country],country_region[Region],"Not found")</f>
        <v>East Asia</v>
      </c>
      <c r="R184" s="5" t="str">
        <f>_xlfn.XLOOKUP(Clean_Data[[#This Row],[Type of Event]],event_type_category[Type of Event],event_type_category[Category],"Not found")</f>
        <v>Economy &amp; Infrastructure</v>
      </c>
    </row>
    <row r="185" spans="1:18">
      <c r="A185">
        <v>201</v>
      </c>
      <c r="B185" t="s">
        <v>983</v>
      </c>
      <c r="E185" t="s">
        <v>648</v>
      </c>
      <c r="F185" t="s">
        <v>749</v>
      </c>
      <c r="G185" t="s">
        <v>984</v>
      </c>
      <c r="H185" t="s">
        <v>985</v>
      </c>
      <c r="I185" t="s">
        <v>986</v>
      </c>
      <c r="J185" t="s">
        <v>753</v>
      </c>
      <c r="L185" t="s">
        <v>54</v>
      </c>
      <c r="M185">
        <v>2002</v>
      </c>
      <c r="N185" s="5">
        <f>ROUNDUP(Clean_Data[[#This Row],[Year_Num]]/100,0)</f>
        <v>21</v>
      </c>
      <c r="O185" s="5" t="str" cm="1">
        <f t="array" ref="O185">_xlfn.LET(_xlpm.y,Clean_Data[[#This Row],[Year_Num]],_xlfn.IFS(_xlpm.y&lt;500,"Ancient",_xlpm.y&lt;1500,"Medieval",_xlpm.y&lt;1800,"Early Modern",_xlpm.y&lt;1946,"Modern",TRUE,"Contemporary"))</f>
        <v>Contemporary</v>
      </c>
      <c r="P185" s="5" t="str">
        <f>_xlfn.XLOOKUP(Clean_Data[[#This Row],[Country]],country_region[Country],country_region[Country_Standard],"Not found")</f>
        <v>China</v>
      </c>
      <c r="Q185" s="5" t="str">
        <f>_xlfn.XLOOKUP(Clean_Data[[#This Row],[Country]],country_region[Country],country_region[Region],"Not found")</f>
        <v>East Asia</v>
      </c>
      <c r="R185" s="5" t="str">
        <f>_xlfn.XLOOKUP(Clean_Data[[#This Row],[Type of Event]],event_type_category[Type of Event],event_type_category[Category],"Not found")</f>
        <v>Society &amp; Health</v>
      </c>
    </row>
    <row r="186" spans="1:18">
      <c r="A186">
        <v>202</v>
      </c>
      <c r="B186" t="s">
        <v>4875</v>
      </c>
      <c r="C186" t="s">
        <v>335</v>
      </c>
      <c r="D186" t="s">
        <v>267</v>
      </c>
      <c r="E186" t="s">
        <v>144</v>
      </c>
      <c r="F186" t="s">
        <v>749</v>
      </c>
      <c r="G186" t="s">
        <v>145</v>
      </c>
      <c r="H186" t="s">
        <v>828</v>
      </c>
      <c r="I186" t="s">
        <v>4876</v>
      </c>
      <c r="J186" t="s">
        <v>989</v>
      </c>
      <c r="K186" t="s">
        <v>990</v>
      </c>
      <c r="L186" t="s">
        <v>36</v>
      </c>
      <c r="M186">
        <v>2005</v>
      </c>
      <c r="N186" s="5">
        <f>ROUNDUP(Clean_Data[[#This Row],[Year_Num]]/100,0)</f>
        <v>21</v>
      </c>
      <c r="O186" s="5" t="str" cm="1">
        <f t="array" ref="O186">_xlfn.LET(_xlpm.y,Clean_Data[[#This Row],[Year_Num]],_xlfn.IFS(_xlpm.y&lt;500,"Ancient",_xlpm.y&lt;1500,"Medieval",_xlpm.y&lt;1800,"Early Modern",_xlpm.y&lt;1946,"Modern",TRUE,"Contemporary"))</f>
        <v>Contemporary</v>
      </c>
      <c r="P186" s="5" t="str">
        <f>_xlfn.XLOOKUP(Clean_Data[[#This Row],[Country]],country_region[Country],country_region[Country_Standard],"Not found")</f>
        <v>China</v>
      </c>
      <c r="Q186" s="5" t="str">
        <f>_xlfn.XLOOKUP(Clean_Data[[#This Row],[Country]],country_region[Country],country_region[Region],"Not found")</f>
        <v>East Asia</v>
      </c>
      <c r="R186" s="5" t="str">
        <f>_xlfn.XLOOKUP(Clean_Data[[#This Row],[Type of Event]],event_type_category[Type of Event],event_type_category[Category],"Not found")</f>
        <v>Politics &amp; Law</v>
      </c>
    </row>
    <row r="187" spans="1:18">
      <c r="A187">
        <v>203</v>
      </c>
      <c r="B187" t="s">
        <v>4877</v>
      </c>
      <c r="E187" t="s">
        <v>84</v>
      </c>
      <c r="F187" t="s">
        <v>749</v>
      </c>
      <c r="G187" t="s">
        <v>692</v>
      </c>
      <c r="H187" t="s">
        <v>300</v>
      </c>
      <c r="I187" t="s">
        <v>4878</v>
      </c>
      <c r="J187" t="s">
        <v>895</v>
      </c>
      <c r="K187" t="s">
        <v>993</v>
      </c>
      <c r="L187" t="s">
        <v>21</v>
      </c>
      <c r="M187">
        <v>2008</v>
      </c>
      <c r="N187" s="5">
        <f>ROUNDUP(Clean_Data[[#This Row],[Year_Num]]/100,0)</f>
        <v>21</v>
      </c>
      <c r="O187" s="5" t="str" cm="1">
        <f t="array" ref="O187">_xlfn.LET(_xlpm.y,Clean_Data[[#This Row],[Year_Num]],_xlfn.IFS(_xlpm.y&lt;500,"Ancient",_xlpm.y&lt;1500,"Medieval",_xlpm.y&lt;1800,"Early Modern",_xlpm.y&lt;1946,"Modern",TRUE,"Contemporary"))</f>
        <v>Contemporary</v>
      </c>
      <c r="P187" s="5" t="str">
        <f>_xlfn.XLOOKUP(Clean_Data[[#This Row],[Country]],country_region[Country],country_region[Country_Standard],"Not found")</f>
        <v>China</v>
      </c>
      <c r="Q187" s="5" t="str">
        <f>_xlfn.XLOOKUP(Clean_Data[[#This Row],[Country]],country_region[Country],country_region[Region],"Not found")</f>
        <v>East Asia</v>
      </c>
      <c r="R187" s="5" t="str">
        <f>_xlfn.XLOOKUP(Clean_Data[[#This Row],[Type of Event]],event_type_category[Type of Event],event_type_category[Category],"Not found")</f>
        <v>Economy &amp; Infrastructure</v>
      </c>
    </row>
    <row r="188" spans="1:18">
      <c r="A188">
        <v>204</v>
      </c>
      <c r="B188" t="s">
        <v>994</v>
      </c>
      <c r="C188" t="s">
        <v>46</v>
      </c>
      <c r="D188" t="s">
        <v>47</v>
      </c>
      <c r="E188" t="s">
        <v>623</v>
      </c>
      <c r="F188" t="s">
        <v>749</v>
      </c>
      <c r="G188" t="s">
        <v>995</v>
      </c>
      <c r="H188" t="s">
        <v>908</v>
      </c>
      <c r="I188" t="s">
        <v>996</v>
      </c>
      <c r="J188" t="s">
        <v>997</v>
      </c>
      <c r="K188" t="s">
        <v>998</v>
      </c>
      <c r="L188" t="s">
        <v>21</v>
      </c>
      <c r="M188">
        <v>2010</v>
      </c>
      <c r="N188" s="5">
        <f>ROUNDUP(Clean_Data[[#This Row],[Year_Num]]/100,0)</f>
        <v>21</v>
      </c>
      <c r="O188" s="5" t="str" cm="1">
        <f t="array" ref="O188">_xlfn.LET(_xlpm.y,Clean_Data[[#This Row],[Year_Num]],_xlfn.IFS(_xlpm.y&lt;500,"Ancient",_xlpm.y&lt;1500,"Medieval",_xlpm.y&lt;1800,"Early Modern",_xlpm.y&lt;1946,"Modern",TRUE,"Contemporary"))</f>
        <v>Contemporary</v>
      </c>
      <c r="P188" s="5" t="str">
        <f>_xlfn.XLOOKUP(Clean_Data[[#This Row],[Country]],country_region[Country],country_region[Country_Standard],"Not found")</f>
        <v>China</v>
      </c>
      <c r="Q188" s="5" t="str">
        <f>_xlfn.XLOOKUP(Clean_Data[[#This Row],[Country]],country_region[Country],country_region[Region],"Not found")</f>
        <v>East Asia</v>
      </c>
      <c r="R188" s="5" t="str">
        <f>_xlfn.XLOOKUP(Clean_Data[[#This Row],[Type of Event]],event_type_category[Type of Event],event_type_category[Category],"Not found")</f>
        <v>Culture, Religion &amp; Sport</v>
      </c>
    </row>
    <row r="189" spans="1:18">
      <c r="A189">
        <v>205</v>
      </c>
      <c r="B189" t="s">
        <v>999</v>
      </c>
      <c r="C189" t="s">
        <v>335</v>
      </c>
      <c r="D189" t="s">
        <v>267</v>
      </c>
      <c r="E189" t="s">
        <v>279</v>
      </c>
      <c r="F189" t="s">
        <v>749</v>
      </c>
      <c r="G189" t="s">
        <v>31</v>
      </c>
      <c r="H189" t="s">
        <v>828</v>
      </c>
      <c r="I189" t="s">
        <v>1000</v>
      </c>
      <c r="J189" t="s">
        <v>895</v>
      </c>
      <c r="K189" t="s">
        <v>982</v>
      </c>
      <c r="L189" t="s">
        <v>36</v>
      </c>
      <c r="M189">
        <v>2013</v>
      </c>
      <c r="N189" s="5">
        <f>ROUNDUP(Clean_Data[[#This Row],[Year_Num]]/100,0)</f>
        <v>21</v>
      </c>
      <c r="O189" s="5" t="str" cm="1">
        <f t="array" ref="O189">_xlfn.LET(_xlpm.y,Clean_Data[[#This Row],[Year_Num]],_xlfn.IFS(_xlpm.y&lt;500,"Ancient",_xlpm.y&lt;1500,"Medieval",_xlpm.y&lt;1800,"Early Modern",_xlpm.y&lt;1946,"Modern",TRUE,"Contemporary"))</f>
        <v>Contemporary</v>
      </c>
      <c r="P189" s="5" t="str">
        <f>_xlfn.XLOOKUP(Clean_Data[[#This Row],[Country]],country_region[Country],country_region[Country_Standard],"Not found")</f>
        <v>China</v>
      </c>
      <c r="Q189" s="5" t="str">
        <f>_xlfn.XLOOKUP(Clean_Data[[#This Row],[Country]],country_region[Country],country_region[Region],"Not found")</f>
        <v>East Asia</v>
      </c>
      <c r="R189" s="5" t="str">
        <f>_xlfn.XLOOKUP(Clean_Data[[#This Row],[Type of Event]],event_type_category[Type of Event],event_type_category[Category],"Not found")</f>
        <v>Politics &amp; Law</v>
      </c>
    </row>
    <row r="190" spans="1:18">
      <c r="A190">
        <v>206</v>
      </c>
      <c r="B190" t="s">
        <v>1001</v>
      </c>
      <c r="E190" t="s">
        <v>341</v>
      </c>
      <c r="F190" t="s">
        <v>749</v>
      </c>
      <c r="G190" t="s">
        <v>213</v>
      </c>
      <c r="H190" t="s">
        <v>300</v>
      </c>
      <c r="I190" t="s">
        <v>4879</v>
      </c>
      <c r="J190" t="s">
        <v>1003</v>
      </c>
      <c r="K190" t="s">
        <v>887</v>
      </c>
      <c r="L190" t="s">
        <v>36</v>
      </c>
      <c r="M190">
        <v>2015</v>
      </c>
      <c r="N190" s="5">
        <f>ROUNDUP(Clean_Data[[#This Row],[Year_Num]]/100,0)</f>
        <v>21</v>
      </c>
      <c r="O190" s="5" t="str" cm="1">
        <f t="array" ref="O190">_xlfn.LET(_xlpm.y,Clean_Data[[#This Row],[Year_Num]],_xlfn.IFS(_xlpm.y&lt;500,"Ancient",_xlpm.y&lt;1500,"Medieval",_xlpm.y&lt;1800,"Early Modern",_xlpm.y&lt;1946,"Modern",TRUE,"Contemporary"))</f>
        <v>Contemporary</v>
      </c>
      <c r="P190" s="5" t="str">
        <f>_xlfn.XLOOKUP(Clean_Data[[#This Row],[Country]],country_region[Country],country_region[Country_Standard],"Not found")</f>
        <v>China</v>
      </c>
      <c r="Q190" s="5" t="str">
        <f>_xlfn.XLOOKUP(Clean_Data[[#This Row],[Country]],country_region[Country],country_region[Region],"Not found")</f>
        <v>East Asia</v>
      </c>
      <c r="R190" s="5" t="str">
        <f>_xlfn.XLOOKUP(Clean_Data[[#This Row],[Type of Event]],event_type_category[Type of Event],event_type_category[Category],"Not found")</f>
        <v>Economy &amp; Infrastructure</v>
      </c>
    </row>
    <row r="191" spans="1:18">
      <c r="A191">
        <v>207</v>
      </c>
      <c r="B191" t="s">
        <v>1004</v>
      </c>
      <c r="C191" t="s">
        <v>353</v>
      </c>
      <c r="D191" t="s">
        <v>211</v>
      </c>
      <c r="E191" t="s">
        <v>299</v>
      </c>
      <c r="F191" t="s">
        <v>749</v>
      </c>
      <c r="G191" t="s">
        <v>489</v>
      </c>
      <c r="H191" t="s">
        <v>1005</v>
      </c>
      <c r="I191" t="s">
        <v>1006</v>
      </c>
      <c r="J191" t="s">
        <v>1007</v>
      </c>
      <c r="K191" t="s">
        <v>1008</v>
      </c>
      <c r="L191" t="s">
        <v>54</v>
      </c>
      <c r="M191">
        <v>2016</v>
      </c>
      <c r="N191" s="5">
        <f>ROUNDUP(Clean_Data[[#This Row],[Year_Num]]/100,0)</f>
        <v>21</v>
      </c>
      <c r="O191" s="5" t="str" cm="1">
        <f t="array" ref="O191">_xlfn.LET(_xlpm.y,Clean_Data[[#This Row],[Year_Num]],_xlfn.IFS(_xlpm.y&lt;500,"Ancient",_xlpm.y&lt;1500,"Medieval",_xlpm.y&lt;1800,"Early Modern",_xlpm.y&lt;1946,"Modern",TRUE,"Contemporary"))</f>
        <v>Contemporary</v>
      </c>
      <c r="P191" s="5" t="str">
        <f>_xlfn.XLOOKUP(Clean_Data[[#This Row],[Country]],country_region[Country],country_region[Country_Standard],"Not found")</f>
        <v>China</v>
      </c>
      <c r="Q191" s="5" t="str">
        <f>_xlfn.XLOOKUP(Clean_Data[[#This Row],[Country]],country_region[Country],country_region[Region],"Not found")</f>
        <v>East Asia</v>
      </c>
      <c r="R191" s="5" t="str">
        <f>_xlfn.XLOOKUP(Clean_Data[[#This Row],[Type of Event]],event_type_category[Type of Event],event_type_category[Category],"Not found")</f>
        <v>Diplomacy &amp; International Relations</v>
      </c>
    </row>
    <row r="192" spans="1:18">
      <c r="A192">
        <v>208</v>
      </c>
      <c r="B192" t="s">
        <v>4880</v>
      </c>
      <c r="C192" t="s">
        <v>46</v>
      </c>
      <c r="D192" t="s">
        <v>66</v>
      </c>
      <c r="E192" t="s">
        <v>166</v>
      </c>
      <c r="F192" t="s">
        <v>749</v>
      </c>
      <c r="G192" t="s">
        <v>288</v>
      </c>
      <c r="H192" t="s">
        <v>326</v>
      </c>
      <c r="I192" t="s">
        <v>1010</v>
      </c>
      <c r="J192" t="s">
        <v>1011</v>
      </c>
      <c r="K192" t="s">
        <v>1012</v>
      </c>
      <c r="L192" t="s">
        <v>21</v>
      </c>
      <c r="M192">
        <v>2020</v>
      </c>
      <c r="N192" s="5">
        <f>ROUNDUP(Clean_Data[[#This Row],[Year_Num]]/100,0)</f>
        <v>21</v>
      </c>
      <c r="O192" s="5" t="str" cm="1">
        <f t="array" ref="O192">_xlfn.LET(_xlpm.y,Clean_Data[[#This Row],[Year_Num]],_xlfn.IFS(_xlpm.y&lt;500,"Ancient",_xlpm.y&lt;1500,"Medieval",_xlpm.y&lt;1800,"Early Modern",_xlpm.y&lt;1946,"Modern",TRUE,"Contemporary"))</f>
        <v>Contemporary</v>
      </c>
      <c r="P192" s="5" t="str">
        <f>_xlfn.XLOOKUP(Clean_Data[[#This Row],[Country]],country_region[Country],country_region[Country_Standard],"Not found")</f>
        <v>China</v>
      </c>
      <c r="Q192" s="5" t="str">
        <f>_xlfn.XLOOKUP(Clean_Data[[#This Row],[Country]],country_region[Country],country_region[Region],"Not found")</f>
        <v>East Asia</v>
      </c>
      <c r="R192" s="5" t="str">
        <f>_xlfn.XLOOKUP(Clean_Data[[#This Row],[Type of Event]],event_type_category[Type of Event],event_type_category[Category],"Not found")</f>
        <v>Science, Technology &amp; Exploration</v>
      </c>
    </row>
    <row r="193" spans="1:18">
      <c r="A193">
        <v>209</v>
      </c>
      <c r="B193" t="s">
        <v>1013</v>
      </c>
      <c r="C193" t="s">
        <v>246</v>
      </c>
      <c r="D193" t="s">
        <v>66</v>
      </c>
      <c r="E193" t="s">
        <v>166</v>
      </c>
      <c r="F193" t="s">
        <v>749</v>
      </c>
      <c r="G193" t="s">
        <v>1014</v>
      </c>
      <c r="H193" t="s">
        <v>1015</v>
      </c>
      <c r="I193" t="s">
        <v>1016</v>
      </c>
      <c r="J193" t="s">
        <v>1017</v>
      </c>
      <c r="K193" t="s">
        <v>1018</v>
      </c>
      <c r="L193" t="s">
        <v>21</v>
      </c>
      <c r="M193">
        <v>2020</v>
      </c>
      <c r="N193" s="5">
        <f>ROUNDUP(Clean_Data[[#This Row],[Year_Num]]/100,0)</f>
        <v>21</v>
      </c>
      <c r="O193" s="5" t="str" cm="1">
        <f t="array" ref="O193">_xlfn.LET(_xlpm.y,Clean_Data[[#This Row],[Year_Num]],_xlfn.IFS(_xlpm.y&lt;500,"Ancient",_xlpm.y&lt;1500,"Medieval",_xlpm.y&lt;1800,"Early Modern",_xlpm.y&lt;1946,"Modern",TRUE,"Contemporary"))</f>
        <v>Contemporary</v>
      </c>
      <c r="P193" s="5" t="str">
        <f>_xlfn.XLOOKUP(Clean_Data[[#This Row],[Country]],country_region[Country],country_region[Country_Standard],"Not found")</f>
        <v>China</v>
      </c>
      <c r="Q193" s="5" t="str">
        <f>_xlfn.XLOOKUP(Clean_Data[[#This Row],[Country]],country_region[Country],country_region[Region],"Not found")</f>
        <v>East Asia</v>
      </c>
      <c r="R193" s="5" t="str">
        <f>_xlfn.XLOOKUP(Clean_Data[[#This Row],[Type of Event]],event_type_category[Type of Event],event_type_category[Category],"Not found")</f>
        <v>Economy &amp; Infrastructure</v>
      </c>
    </row>
    <row r="194" spans="1:18">
      <c r="A194">
        <v>210</v>
      </c>
      <c r="B194" t="s">
        <v>1019</v>
      </c>
      <c r="E194" t="s">
        <v>1020</v>
      </c>
      <c r="F194" t="s">
        <v>1021</v>
      </c>
      <c r="G194" t="s">
        <v>1022</v>
      </c>
      <c r="H194" t="s">
        <v>1023</v>
      </c>
      <c r="I194" t="s">
        <v>1024</v>
      </c>
      <c r="J194" t="s">
        <v>1025</v>
      </c>
      <c r="K194" t="s">
        <v>1026</v>
      </c>
      <c r="L194" t="s">
        <v>21</v>
      </c>
      <c r="M194">
        <v>882</v>
      </c>
      <c r="N194" s="5">
        <f>ROUNDUP(Clean_Data[[#This Row],[Year_Num]]/100,0)</f>
        <v>9</v>
      </c>
      <c r="O194" s="5" t="str" cm="1">
        <f t="array" ref="O194">_xlfn.LET(_xlpm.y,Clean_Data[[#This Row],[Year_Num]],_xlfn.IFS(_xlpm.y&lt;500,"Ancient",_xlpm.y&lt;1500,"Medieval",_xlpm.y&lt;1800,"Early Modern",_xlpm.y&lt;1946,"Modern",TRUE,"Contemporary"))</f>
        <v>Medieval</v>
      </c>
      <c r="P194" s="5" t="str">
        <f>_xlfn.XLOOKUP(Clean_Data[[#This Row],[Country]],country_region[Country],country_region[Country_Standard],"Not found")</f>
        <v>Russia</v>
      </c>
      <c r="Q194" s="5" t="str">
        <f>_xlfn.XLOOKUP(Clean_Data[[#This Row],[Country]],country_region[Country],country_region[Region],"Not found")</f>
        <v>Europe</v>
      </c>
      <c r="R194" s="5" t="str">
        <f>_xlfn.XLOOKUP(Clean_Data[[#This Row],[Type of Event]],event_type_category[Type of Event],event_type_category[Category],"Not found")</f>
        <v>Independence &amp; Nation-Building</v>
      </c>
    </row>
    <row r="195" spans="1:18">
      <c r="A195">
        <v>212</v>
      </c>
      <c r="B195" t="s">
        <v>1027</v>
      </c>
      <c r="E195" t="s">
        <v>1028</v>
      </c>
      <c r="F195" t="s">
        <v>1021</v>
      </c>
      <c r="G195" t="s">
        <v>1029</v>
      </c>
      <c r="H195" t="s">
        <v>1030</v>
      </c>
      <c r="I195" t="s">
        <v>1031</v>
      </c>
      <c r="J195" t="s">
        <v>1032</v>
      </c>
      <c r="K195" t="s">
        <v>1033</v>
      </c>
      <c r="L195" t="s">
        <v>54</v>
      </c>
      <c r="M195">
        <v>1237</v>
      </c>
      <c r="N195" s="5">
        <f>ROUNDUP(Clean_Data[[#This Row],[Year_Num]]/100,0)</f>
        <v>13</v>
      </c>
      <c r="O195" s="5" t="str" cm="1">
        <f t="array" ref="O195">_xlfn.LET(_xlpm.y,Clean_Data[[#This Row],[Year_Num]],_xlfn.IFS(_xlpm.y&lt;500,"Ancient",_xlpm.y&lt;1500,"Medieval",_xlpm.y&lt;1800,"Early Modern",_xlpm.y&lt;1946,"Modern",TRUE,"Contemporary"))</f>
        <v>Medieval</v>
      </c>
      <c r="P195" s="5" t="str">
        <f>_xlfn.XLOOKUP(Clean_Data[[#This Row],[Country]],country_region[Country],country_region[Country_Standard],"Not found")</f>
        <v>Russia</v>
      </c>
      <c r="Q195" s="5" t="str">
        <f>_xlfn.XLOOKUP(Clean_Data[[#This Row],[Country]],country_region[Country],country_region[Region],"Not found")</f>
        <v>Europe</v>
      </c>
      <c r="R195" s="5" t="str">
        <f>_xlfn.XLOOKUP(Clean_Data[[#This Row],[Type of Event]],event_type_category[Type of Event],event_type_category[Category],"Not found")</f>
        <v>War &amp; Conflict</v>
      </c>
    </row>
    <row r="196" spans="1:18">
      <c r="A196">
        <v>213</v>
      </c>
      <c r="B196" t="s">
        <v>1034</v>
      </c>
      <c r="C196" t="s">
        <v>298</v>
      </c>
      <c r="D196" t="s">
        <v>286</v>
      </c>
      <c r="E196" t="s">
        <v>1035</v>
      </c>
      <c r="F196" t="s">
        <v>1021</v>
      </c>
      <c r="G196" t="s">
        <v>356</v>
      </c>
      <c r="H196" t="s">
        <v>1036</v>
      </c>
      <c r="I196" t="s">
        <v>1037</v>
      </c>
      <c r="J196" t="s">
        <v>1038</v>
      </c>
      <c r="K196" t="s">
        <v>1039</v>
      </c>
      <c r="L196" t="s">
        <v>21</v>
      </c>
      <c r="M196">
        <v>1380</v>
      </c>
      <c r="N196" s="5">
        <f>ROUNDUP(Clean_Data[[#This Row],[Year_Num]]/100,0)</f>
        <v>14</v>
      </c>
      <c r="O196" s="5" t="str" cm="1">
        <f t="array" ref="O196">_xlfn.LET(_xlpm.y,Clean_Data[[#This Row],[Year_Num]],_xlfn.IFS(_xlpm.y&lt;500,"Ancient",_xlpm.y&lt;1500,"Medieval",_xlpm.y&lt;1800,"Early Modern",_xlpm.y&lt;1946,"Modern",TRUE,"Contemporary"))</f>
        <v>Medieval</v>
      </c>
      <c r="P196" s="5" t="str">
        <f>_xlfn.XLOOKUP(Clean_Data[[#This Row],[Country]],country_region[Country],country_region[Country_Standard],"Not found")</f>
        <v>Russia</v>
      </c>
      <c r="Q196" s="5" t="str">
        <f>_xlfn.XLOOKUP(Clean_Data[[#This Row],[Country]],country_region[Country],country_region[Region],"Not found")</f>
        <v>Europe</v>
      </c>
      <c r="R196" s="5" t="str">
        <f>_xlfn.XLOOKUP(Clean_Data[[#This Row],[Type of Event]],event_type_category[Type of Event],event_type_category[Category],"Not found")</f>
        <v>War &amp; Conflict</v>
      </c>
    </row>
    <row r="197" spans="1:18">
      <c r="A197">
        <v>214</v>
      </c>
      <c r="B197" t="s">
        <v>1040</v>
      </c>
      <c r="E197" t="s">
        <v>1041</v>
      </c>
      <c r="F197" t="s">
        <v>1021</v>
      </c>
      <c r="G197" t="s">
        <v>1042</v>
      </c>
      <c r="H197" t="s">
        <v>1043</v>
      </c>
      <c r="I197" t="s">
        <v>1044</v>
      </c>
      <c r="J197" t="s">
        <v>1045</v>
      </c>
      <c r="K197" t="s">
        <v>1046</v>
      </c>
      <c r="L197" t="s">
        <v>21</v>
      </c>
      <c r="M197">
        <v>1490</v>
      </c>
      <c r="N197" s="5">
        <f>ROUNDUP(Clean_Data[[#This Row],[Year_Num]]/100,0)</f>
        <v>15</v>
      </c>
      <c r="O197" s="5" t="str" cm="1">
        <f t="array" ref="O197">_xlfn.LET(_xlpm.y,Clean_Data[[#This Row],[Year_Num]],_xlfn.IFS(_xlpm.y&lt;500,"Ancient",_xlpm.y&lt;1500,"Medieval",_xlpm.y&lt;1800,"Early Modern",_xlpm.y&lt;1946,"Modern",TRUE,"Contemporary"))</f>
        <v>Medieval</v>
      </c>
      <c r="P197" s="5" t="str">
        <f>_xlfn.XLOOKUP(Clean_Data[[#This Row],[Country]],country_region[Country],country_region[Country_Standard],"Not found")</f>
        <v>Russia</v>
      </c>
      <c r="Q197" s="5" t="str">
        <f>_xlfn.XLOOKUP(Clean_Data[[#This Row],[Country]],country_region[Country],country_region[Region],"Not found")</f>
        <v>Europe</v>
      </c>
      <c r="R197" s="5" t="str">
        <f>_xlfn.XLOOKUP(Clean_Data[[#This Row],[Type of Event]],event_type_category[Type of Event],event_type_category[Category],"Not found")</f>
        <v>Independence &amp; Nation-Building</v>
      </c>
    </row>
    <row r="198" spans="1:18">
      <c r="A198">
        <v>216</v>
      </c>
      <c r="B198" t="s">
        <v>1047</v>
      </c>
      <c r="E198" t="s">
        <v>1048</v>
      </c>
      <c r="F198" t="s">
        <v>1021</v>
      </c>
      <c r="G198" t="s">
        <v>1049</v>
      </c>
      <c r="H198" t="s">
        <v>1021</v>
      </c>
      <c r="I198" t="s">
        <v>1050</v>
      </c>
      <c r="J198" t="s">
        <v>1051</v>
      </c>
      <c r="K198" t="s">
        <v>1052</v>
      </c>
      <c r="L198" t="s">
        <v>54</v>
      </c>
      <c r="M198">
        <v>1598</v>
      </c>
      <c r="N198" s="5">
        <f>ROUNDUP(Clean_Data[[#This Row],[Year_Num]]/100,0)</f>
        <v>16</v>
      </c>
      <c r="O198" s="5" t="str" cm="1">
        <f t="array" ref="O198">_xlfn.LET(_xlpm.y,Clean_Data[[#This Row],[Year_Num]],_xlfn.IFS(_xlpm.y&lt;500,"Ancient",_xlpm.y&lt;1500,"Medieval",_xlpm.y&lt;1800,"Early Modern",_xlpm.y&lt;1946,"Modern",TRUE,"Contemporary"))</f>
        <v>Early Modern</v>
      </c>
      <c r="P198" s="5" t="str">
        <f>_xlfn.XLOOKUP(Clean_Data[[#This Row],[Country]],country_region[Country],country_region[Country_Standard],"Not found")</f>
        <v>Russia</v>
      </c>
      <c r="Q198" s="5" t="str">
        <f>_xlfn.XLOOKUP(Clean_Data[[#This Row],[Country]],country_region[Country],country_region[Region],"Not found")</f>
        <v>Europe</v>
      </c>
      <c r="R198" s="5" t="str">
        <f>_xlfn.XLOOKUP(Clean_Data[[#This Row],[Type of Event]],event_type_category[Type of Event],event_type_category[Category],"Not found")</f>
        <v>Politics &amp; Law</v>
      </c>
    </row>
    <row r="199" spans="1:18">
      <c r="A199">
        <v>218</v>
      </c>
      <c r="B199" t="s">
        <v>1053</v>
      </c>
      <c r="E199" t="s">
        <v>1054</v>
      </c>
      <c r="F199" t="s">
        <v>1021</v>
      </c>
      <c r="G199" t="s">
        <v>1055</v>
      </c>
      <c r="H199" t="s">
        <v>1021</v>
      </c>
      <c r="I199" t="s">
        <v>1056</v>
      </c>
      <c r="J199" t="s">
        <v>1057</v>
      </c>
      <c r="K199" t="s">
        <v>1058</v>
      </c>
      <c r="L199" t="s">
        <v>21</v>
      </c>
      <c r="M199">
        <v>1730</v>
      </c>
      <c r="N199" s="5">
        <f>ROUNDUP(Clean_Data[[#This Row],[Year_Num]]/100,0)</f>
        <v>18</v>
      </c>
      <c r="O199" s="5" t="str" cm="1">
        <f t="array" ref="O199">_xlfn.LET(_xlpm.y,Clean_Data[[#This Row],[Year_Num]],_xlfn.IFS(_xlpm.y&lt;500,"Ancient",_xlpm.y&lt;1500,"Medieval",_xlpm.y&lt;1800,"Early Modern",_xlpm.y&lt;1946,"Modern",TRUE,"Contemporary"))</f>
        <v>Early Modern</v>
      </c>
      <c r="P199" s="5" t="str">
        <f>_xlfn.XLOOKUP(Clean_Data[[#This Row],[Country]],country_region[Country],country_region[Country_Standard],"Not found")</f>
        <v>Russia</v>
      </c>
      <c r="Q199" s="5" t="str">
        <f>_xlfn.XLOOKUP(Clean_Data[[#This Row],[Country]],country_region[Country],country_region[Region],"Not found")</f>
        <v>Europe</v>
      </c>
      <c r="R199" s="5" t="str">
        <f>_xlfn.XLOOKUP(Clean_Data[[#This Row],[Type of Event]],event_type_category[Type of Event],event_type_category[Category],"Not found")</f>
        <v>Economy &amp; Infrastructure</v>
      </c>
    </row>
    <row r="200" spans="1:18">
      <c r="A200">
        <v>222</v>
      </c>
      <c r="B200" t="s">
        <v>4881</v>
      </c>
      <c r="C200" t="s">
        <v>1060</v>
      </c>
      <c r="E200" t="s">
        <v>116</v>
      </c>
      <c r="F200" t="s">
        <v>1021</v>
      </c>
      <c r="G200" t="s">
        <v>138</v>
      </c>
      <c r="H200" t="s">
        <v>1061</v>
      </c>
      <c r="I200" t="s">
        <v>1062</v>
      </c>
      <c r="J200" t="s">
        <v>1063</v>
      </c>
      <c r="K200" t="s">
        <v>1064</v>
      </c>
      <c r="L200" t="s">
        <v>54</v>
      </c>
      <c r="M200">
        <v>1905</v>
      </c>
      <c r="N200" s="5">
        <f>ROUNDUP(Clean_Data[[#This Row],[Year_Num]]/100,0)</f>
        <v>20</v>
      </c>
      <c r="O200" s="5" t="str" cm="1">
        <f t="array" ref="O200">_xlfn.LET(_xlpm.y,Clean_Data[[#This Row],[Year_Num]],_xlfn.IFS(_xlpm.y&lt;500,"Ancient",_xlpm.y&lt;1500,"Medieval",_xlpm.y&lt;1800,"Early Modern",_xlpm.y&lt;1946,"Modern",TRUE,"Contemporary"))</f>
        <v>Modern</v>
      </c>
      <c r="P200" s="5" t="str">
        <f>_xlfn.XLOOKUP(Clean_Data[[#This Row],[Country]],country_region[Country],country_region[Country_Standard],"Not found")</f>
        <v>Russia</v>
      </c>
      <c r="Q200" s="5" t="str">
        <f>_xlfn.XLOOKUP(Clean_Data[[#This Row],[Country]],country_region[Country],country_region[Region],"Not found")</f>
        <v>Europe</v>
      </c>
      <c r="R200" s="5" t="str">
        <f>_xlfn.XLOOKUP(Clean_Data[[#This Row],[Type of Event]],event_type_category[Type of Event],event_type_category[Category],"Not found")</f>
        <v>War &amp; Conflict</v>
      </c>
    </row>
    <row r="201" spans="1:18">
      <c r="A201">
        <v>224</v>
      </c>
      <c r="B201" t="s">
        <v>1065</v>
      </c>
      <c r="C201" t="s">
        <v>200</v>
      </c>
      <c r="D201" t="s">
        <v>158</v>
      </c>
      <c r="E201" t="s">
        <v>1066</v>
      </c>
      <c r="F201" t="s">
        <v>1021</v>
      </c>
      <c r="G201" t="s">
        <v>1067</v>
      </c>
      <c r="H201" t="s">
        <v>1068</v>
      </c>
      <c r="I201" t="s">
        <v>1069</v>
      </c>
      <c r="J201" t="s">
        <v>1070</v>
      </c>
      <c r="K201" t="s">
        <v>1071</v>
      </c>
      <c r="L201" t="s">
        <v>21</v>
      </c>
      <c r="M201">
        <v>1917</v>
      </c>
      <c r="N201" s="5">
        <f>ROUNDUP(Clean_Data[[#This Row],[Year_Num]]/100,0)</f>
        <v>20</v>
      </c>
      <c r="O201" s="5" t="str" cm="1">
        <f t="array" ref="O201">_xlfn.LET(_xlpm.y,Clean_Data[[#This Row],[Year_Num]],_xlfn.IFS(_xlpm.y&lt;500,"Ancient",_xlpm.y&lt;1500,"Medieval",_xlpm.y&lt;1800,"Early Modern",_xlpm.y&lt;1946,"Modern",TRUE,"Contemporary"))</f>
        <v>Modern</v>
      </c>
      <c r="P201" s="5" t="str">
        <f>_xlfn.XLOOKUP(Clean_Data[[#This Row],[Country]],country_region[Country],country_region[Country_Standard],"Not found")</f>
        <v>Russia</v>
      </c>
      <c r="Q201" s="5" t="str">
        <f>_xlfn.XLOOKUP(Clean_Data[[#This Row],[Country]],country_region[Country],country_region[Region],"Not found")</f>
        <v>Europe</v>
      </c>
      <c r="R201" s="5" t="str">
        <f>_xlfn.XLOOKUP(Clean_Data[[#This Row],[Type of Event]],event_type_category[Type of Event],event_type_category[Category],"Not found")</f>
        <v>Politics &amp; Law</v>
      </c>
    </row>
    <row r="202" spans="1:18">
      <c r="A202">
        <v>225</v>
      </c>
      <c r="B202" t="s">
        <v>1072</v>
      </c>
      <c r="C202" t="s">
        <v>1066</v>
      </c>
      <c r="E202" t="s">
        <v>387</v>
      </c>
      <c r="F202" t="s">
        <v>1021</v>
      </c>
      <c r="G202" t="s">
        <v>801</v>
      </c>
      <c r="H202" t="s">
        <v>1021</v>
      </c>
      <c r="I202" t="s">
        <v>4882</v>
      </c>
      <c r="J202" t="s">
        <v>1051</v>
      </c>
      <c r="K202" t="s">
        <v>1074</v>
      </c>
      <c r="L202" t="s">
        <v>54</v>
      </c>
      <c r="M202">
        <v>1922</v>
      </c>
      <c r="N202" s="5">
        <f>ROUNDUP(Clean_Data[[#This Row],[Year_Num]]/100,0)</f>
        <v>20</v>
      </c>
      <c r="O202" s="5" t="str" cm="1">
        <f t="array" ref="O202">_xlfn.LET(_xlpm.y,Clean_Data[[#This Row],[Year_Num]],_xlfn.IFS(_xlpm.y&lt;500,"Ancient",_xlpm.y&lt;1500,"Medieval",_xlpm.y&lt;1800,"Early Modern",_xlpm.y&lt;1946,"Modern",TRUE,"Contemporary"))</f>
        <v>Modern</v>
      </c>
      <c r="P202" s="5" t="str">
        <f>_xlfn.XLOOKUP(Clean_Data[[#This Row],[Country]],country_region[Country],country_region[Country_Standard],"Not found")</f>
        <v>Russia</v>
      </c>
      <c r="Q202" s="5" t="str">
        <f>_xlfn.XLOOKUP(Clean_Data[[#This Row],[Country]],country_region[Country],country_region[Region],"Not found")</f>
        <v>Europe</v>
      </c>
      <c r="R202" s="5" t="str">
        <f>_xlfn.XLOOKUP(Clean_Data[[#This Row],[Type of Event]],event_type_category[Type of Event],event_type_category[Category],"Not found")</f>
        <v>War &amp; Conflict</v>
      </c>
    </row>
    <row r="203" spans="1:18">
      <c r="A203">
        <v>227</v>
      </c>
      <c r="B203" t="s">
        <v>1075</v>
      </c>
      <c r="C203" t="s">
        <v>1076</v>
      </c>
      <c r="E203" t="s">
        <v>1077</v>
      </c>
      <c r="F203" t="s">
        <v>1021</v>
      </c>
      <c r="G203" t="s">
        <v>1078</v>
      </c>
      <c r="H203" t="s">
        <v>1079</v>
      </c>
      <c r="I203" t="s">
        <v>1080</v>
      </c>
      <c r="J203" t="s">
        <v>1081</v>
      </c>
      <c r="K203" t="s">
        <v>1082</v>
      </c>
      <c r="L203" t="s">
        <v>54</v>
      </c>
      <c r="M203">
        <v>1938</v>
      </c>
      <c r="N203" s="5">
        <f>ROUNDUP(Clean_Data[[#This Row],[Year_Num]]/100,0)</f>
        <v>20</v>
      </c>
      <c r="O203" s="5" t="str" cm="1">
        <f t="array" ref="O203">_xlfn.LET(_xlpm.y,Clean_Data[[#This Row],[Year_Num]],_xlfn.IFS(_xlpm.y&lt;500,"Ancient",_xlpm.y&lt;1500,"Medieval",_xlpm.y&lt;1800,"Early Modern",_xlpm.y&lt;1946,"Modern",TRUE,"Contemporary"))</f>
        <v>Modern</v>
      </c>
      <c r="P203" s="5" t="str">
        <f>_xlfn.XLOOKUP(Clean_Data[[#This Row],[Country]],country_region[Country],country_region[Country_Standard],"Not found")</f>
        <v>Russia</v>
      </c>
      <c r="Q203" s="5" t="str">
        <f>_xlfn.XLOOKUP(Clean_Data[[#This Row],[Country]],country_region[Country],country_region[Region],"Not found")</f>
        <v>Europe</v>
      </c>
      <c r="R203" s="5" t="str">
        <f>_xlfn.XLOOKUP(Clean_Data[[#This Row],[Type of Event]],event_type_category[Type of Event],event_type_category[Category],"Not found")</f>
        <v>Politics &amp; Law</v>
      </c>
    </row>
    <row r="204" spans="1:18">
      <c r="A204">
        <v>228</v>
      </c>
      <c r="B204" t="s">
        <v>1083</v>
      </c>
      <c r="C204" t="s">
        <v>325</v>
      </c>
      <c r="D204" t="s">
        <v>100</v>
      </c>
      <c r="E204" t="s">
        <v>1084</v>
      </c>
      <c r="F204" t="s">
        <v>1021</v>
      </c>
      <c r="G204" t="s">
        <v>138</v>
      </c>
      <c r="H204" t="s">
        <v>1079</v>
      </c>
      <c r="I204" t="s">
        <v>1085</v>
      </c>
      <c r="J204" t="s">
        <v>1086</v>
      </c>
      <c r="K204" t="s">
        <v>1087</v>
      </c>
      <c r="L204" t="s">
        <v>54</v>
      </c>
      <c r="M204">
        <v>1941</v>
      </c>
      <c r="N204" s="5">
        <f>ROUNDUP(Clean_Data[[#This Row],[Year_Num]]/100,0)</f>
        <v>20</v>
      </c>
      <c r="O204" s="5" t="str" cm="1">
        <f t="array" ref="O204">_xlfn.LET(_xlpm.y,Clean_Data[[#This Row],[Year_Num]],_xlfn.IFS(_xlpm.y&lt;500,"Ancient",_xlpm.y&lt;1500,"Medieval",_xlpm.y&lt;1800,"Early Modern",_xlpm.y&lt;1946,"Modern",TRUE,"Contemporary"))</f>
        <v>Modern</v>
      </c>
      <c r="P204" s="5" t="str">
        <f>_xlfn.XLOOKUP(Clean_Data[[#This Row],[Country]],country_region[Country],country_region[Country_Standard],"Not found")</f>
        <v>Russia</v>
      </c>
      <c r="Q204" s="5" t="str">
        <f>_xlfn.XLOOKUP(Clean_Data[[#This Row],[Country]],country_region[Country],country_region[Region],"Not found")</f>
        <v>Europe</v>
      </c>
      <c r="R204" s="5" t="str">
        <f>_xlfn.XLOOKUP(Clean_Data[[#This Row],[Type of Event]],event_type_category[Type of Event],event_type_category[Category],"Not found")</f>
        <v>War &amp; Conflict</v>
      </c>
    </row>
    <row r="205" spans="1:18">
      <c r="A205">
        <v>229</v>
      </c>
      <c r="B205" t="s">
        <v>1088</v>
      </c>
      <c r="C205" t="s">
        <v>240</v>
      </c>
      <c r="D205" t="s">
        <v>47</v>
      </c>
      <c r="E205" t="s">
        <v>682</v>
      </c>
      <c r="F205" t="s">
        <v>1021</v>
      </c>
      <c r="G205" t="s">
        <v>1089</v>
      </c>
      <c r="H205" t="s">
        <v>1079</v>
      </c>
      <c r="I205" t="s">
        <v>1090</v>
      </c>
      <c r="J205" t="s">
        <v>1086</v>
      </c>
      <c r="K205" t="s">
        <v>1091</v>
      </c>
      <c r="L205" t="s">
        <v>21</v>
      </c>
      <c r="M205">
        <v>1945</v>
      </c>
      <c r="N205" s="5">
        <f>ROUNDUP(Clean_Data[[#This Row],[Year_Num]]/100,0)</f>
        <v>20</v>
      </c>
      <c r="O205" s="5" t="str" cm="1">
        <f t="array" ref="O205">_xlfn.LET(_xlpm.y,Clean_Data[[#This Row],[Year_Num]],_xlfn.IFS(_xlpm.y&lt;500,"Ancient",_xlpm.y&lt;1500,"Medieval",_xlpm.y&lt;1800,"Early Modern",_xlpm.y&lt;1946,"Modern",TRUE,"Contemporary"))</f>
        <v>Modern</v>
      </c>
      <c r="P205" s="5" t="str">
        <f>_xlfn.XLOOKUP(Clean_Data[[#This Row],[Country]],country_region[Country],country_region[Country_Standard],"Not found")</f>
        <v>Russia</v>
      </c>
      <c r="Q205" s="5" t="str">
        <f>_xlfn.XLOOKUP(Clean_Data[[#This Row],[Country]],country_region[Country],country_region[Region],"Not found")</f>
        <v>Europe</v>
      </c>
      <c r="R205" s="5" t="str">
        <f>_xlfn.XLOOKUP(Clean_Data[[#This Row],[Type of Event]],event_type_category[Type of Event],event_type_category[Category],"Not found")</f>
        <v>War &amp; Conflict</v>
      </c>
    </row>
    <row r="206" spans="1:18">
      <c r="A206">
        <v>230</v>
      </c>
      <c r="B206" t="s">
        <v>4883</v>
      </c>
      <c r="C206" t="s">
        <v>65</v>
      </c>
      <c r="D206" t="s">
        <v>267</v>
      </c>
      <c r="E206" t="s">
        <v>1093</v>
      </c>
      <c r="F206" t="s">
        <v>1021</v>
      </c>
      <c r="G206" t="s">
        <v>1094</v>
      </c>
      <c r="H206" t="s">
        <v>4884</v>
      </c>
      <c r="I206" t="s">
        <v>1096</v>
      </c>
      <c r="J206" t="s">
        <v>1057</v>
      </c>
      <c r="K206" t="s">
        <v>1097</v>
      </c>
      <c r="L206" t="s">
        <v>54</v>
      </c>
      <c r="M206">
        <v>1918</v>
      </c>
      <c r="N206" s="5">
        <f>ROUNDUP(Clean_Data[[#This Row],[Year_Num]]/100,0)</f>
        <v>20</v>
      </c>
      <c r="O206" s="5" t="str" cm="1">
        <f t="array" ref="O206">_xlfn.LET(_xlpm.y,Clean_Data[[#This Row],[Year_Num]],_xlfn.IFS(_xlpm.y&lt;500,"Ancient",_xlpm.y&lt;1500,"Medieval",_xlpm.y&lt;1800,"Early Modern",_xlpm.y&lt;1946,"Modern",TRUE,"Contemporary"))</f>
        <v>Modern</v>
      </c>
      <c r="P206" s="5" t="str">
        <f>_xlfn.XLOOKUP(Clean_Data[[#This Row],[Country]],country_region[Country],country_region[Country_Standard],"Not found")</f>
        <v>Russia</v>
      </c>
      <c r="Q206" s="5" t="str">
        <f>_xlfn.XLOOKUP(Clean_Data[[#This Row],[Country]],country_region[Country],country_region[Region],"Not found")</f>
        <v>Europe</v>
      </c>
      <c r="R206" s="5" t="str">
        <f>_xlfn.XLOOKUP(Clean_Data[[#This Row],[Type of Event]],event_type_category[Type of Event],event_type_category[Category],"Not found")</f>
        <v>Diplomacy &amp; International Relations</v>
      </c>
    </row>
    <row r="207" spans="1:18">
      <c r="A207">
        <v>231</v>
      </c>
      <c r="B207" t="s">
        <v>1098</v>
      </c>
      <c r="C207" t="s">
        <v>115</v>
      </c>
      <c r="D207" t="s">
        <v>267</v>
      </c>
      <c r="E207" t="s">
        <v>1099</v>
      </c>
      <c r="F207" t="s">
        <v>1021</v>
      </c>
      <c r="G207" t="s">
        <v>919</v>
      </c>
      <c r="H207" t="s">
        <v>1100</v>
      </c>
      <c r="I207" t="s">
        <v>1101</v>
      </c>
      <c r="J207" t="s">
        <v>1102</v>
      </c>
      <c r="K207" t="s">
        <v>1097</v>
      </c>
      <c r="L207" t="s">
        <v>54</v>
      </c>
      <c r="M207">
        <v>1921</v>
      </c>
      <c r="N207" s="5">
        <f>ROUNDUP(Clean_Data[[#This Row],[Year_Num]]/100,0)</f>
        <v>20</v>
      </c>
      <c r="O207" s="5" t="str" cm="1">
        <f t="array" ref="O207">_xlfn.LET(_xlpm.y,Clean_Data[[#This Row],[Year_Num]],_xlfn.IFS(_xlpm.y&lt;500,"Ancient",_xlpm.y&lt;1500,"Medieval",_xlpm.y&lt;1800,"Early Modern",_xlpm.y&lt;1946,"Modern",TRUE,"Contemporary"))</f>
        <v>Modern</v>
      </c>
      <c r="P207" s="5" t="str">
        <f>_xlfn.XLOOKUP(Clean_Data[[#This Row],[Country]],country_region[Country],country_region[Country_Standard],"Not found")</f>
        <v>Russia</v>
      </c>
      <c r="Q207" s="5" t="str">
        <f>_xlfn.XLOOKUP(Clean_Data[[#This Row],[Country]],country_region[Country],country_region[Region],"Not found")</f>
        <v>Europe</v>
      </c>
      <c r="R207" s="5" t="str">
        <f>_xlfn.XLOOKUP(Clean_Data[[#This Row],[Type of Event]],event_type_category[Type of Event],event_type_category[Category],"Not found")</f>
        <v>War &amp; Conflict</v>
      </c>
    </row>
    <row r="208" spans="1:18">
      <c r="A208">
        <v>232</v>
      </c>
      <c r="B208" t="s">
        <v>1103</v>
      </c>
      <c r="C208" t="s">
        <v>246</v>
      </c>
      <c r="D208" t="s">
        <v>66</v>
      </c>
      <c r="E208" t="s">
        <v>387</v>
      </c>
      <c r="F208" t="s">
        <v>1021</v>
      </c>
      <c r="G208" t="s">
        <v>31</v>
      </c>
      <c r="H208" t="s">
        <v>1104</v>
      </c>
      <c r="I208" t="s">
        <v>1105</v>
      </c>
      <c r="J208" t="s">
        <v>1106</v>
      </c>
      <c r="K208" t="s">
        <v>1107</v>
      </c>
      <c r="L208" t="s">
        <v>21</v>
      </c>
      <c r="M208">
        <v>1922</v>
      </c>
      <c r="N208" s="5">
        <f>ROUNDUP(Clean_Data[[#This Row],[Year_Num]]/100,0)</f>
        <v>20</v>
      </c>
      <c r="O208" s="5" t="str" cm="1">
        <f t="array" ref="O208">_xlfn.LET(_xlpm.y,Clean_Data[[#This Row],[Year_Num]],_xlfn.IFS(_xlpm.y&lt;500,"Ancient",_xlpm.y&lt;1500,"Medieval",_xlpm.y&lt;1800,"Early Modern",_xlpm.y&lt;1946,"Modern",TRUE,"Contemporary"))</f>
        <v>Modern</v>
      </c>
      <c r="P208" s="5" t="str">
        <f>_xlfn.XLOOKUP(Clean_Data[[#This Row],[Country]],country_region[Country],country_region[Country_Standard],"Not found")</f>
        <v>Russia</v>
      </c>
      <c r="Q208" s="5" t="str">
        <f>_xlfn.XLOOKUP(Clean_Data[[#This Row],[Country]],country_region[Country],country_region[Region],"Not found")</f>
        <v>Europe</v>
      </c>
      <c r="R208" s="5" t="str">
        <f>_xlfn.XLOOKUP(Clean_Data[[#This Row],[Type of Event]],event_type_category[Type of Event],event_type_category[Category],"Not found")</f>
        <v>Politics &amp; Law</v>
      </c>
    </row>
    <row r="209" spans="1:18">
      <c r="A209">
        <v>233</v>
      </c>
      <c r="B209" t="s">
        <v>1108</v>
      </c>
      <c r="E209" t="s">
        <v>1109</v>
      </c>
      <c r="F209" t="s">
        <v>1021</v>
      </c>
      <c r="G209" t="s">
        <v>213</v>
      </c>
      <c r="H209" t="s">
        <v>1079</v>
      </c>
      <c r="I209" t="s">
        <v>1110</v>
      </c>
      <c r="J209" t="s">
        <v>1111</v>
      </c>
      <c r="K209" t="s">
        <v>1082</v>
      </c>
      <c r="L209" t="s">
        <v>54</v>
      </c>
      <c r="M209">
        <v>1929</v>
      </c>
      <c r="N209" s="5">
        <f>ROUNDUP(Clean_Data[[#This Row],[Year_Num]]/100,0)</f>
        <v>20</v>
      </c>
      <c r="O209" s="5" t="str" cm="1">
        <f t="array" ref="O209">_xlfn.LET(_xlpm.y,Clean_Data[[#This Row],[Year_Num]],_xlfn.IFS(_xlpm.y&lt;500,"Ancient",_xlpm.y&lt;1500,"Medieval",_xlpm.y&lt;1800,"Early Modern",_xlpm.y&lt;1946,"Modern",TRUE,"Contemporary"))</f>
        <v>Modern</v>
      </c>
      <c r="P209" s="5" t="str">
        <f>_xlfn.XLOOKUP(Clean_Data[[#This Row],[Country]],country_region[Country],country_region[Country_Standard],"Not found")</f>
        <v>Russia</v>
      </c>
      <c r="Q209" s="5" t="str">
        <f>_xlfn.XLOOKUP(Clean_Data[[#This Row],[Country]],country_region[Country],country_region[Region],"Not found")</f>
        <v>Europe</v>
      </c>
      <c r="R209" s="5" t="str">
        <f>_xlfn.XLOOKUP(Clean_Data[[#This Row],[Type of Event]],event_type_category[Type of Event],event_type_category[Category],"Not found")</f>
        <v>Economy &amp; Infrastructure</v>
      </c>
    </row>
    <row r="210" spans="1:18">
      <c r="A210">
        <v>234</v>
      </c>
      <c r="B210" t="s">
        <v>4885</v>
      </c>
      <c r="E210" t="s">
        <v>1113</v>
      </c>
      <c r="F210" t="s">
        <v>1021</v>
      </c>
      <c r="G210" t="s">
        <v>213</v>
      </c>
      <c r="H210" t="s">
        <v>1079</v>
      </c>
      <c r="I210" t="s">
        <v>1114</v>
      </c>
      <c r="J210" t="s">
        <v>1115</v>
      </c>
      <c r="K210" t="s">
        <v>1082</v>
      </c>
      <c r="L210" t="s">
        <v>36</v>
      </c>
      <c r="M210">
        <v>1928</v>
      </c>
      <c r="N210" s="5">
        <f>ROUNDUP(Clean_Data[[#This Row],[Year_Num]]/100,0)</f>
        <v>20</v>
      </c>
      <c r="O210" s="5" t="str" cm="1">
        <f t="array" ref="O210">_xlfn.LET(_xlpm.y,Clean_Data[[#This Row],[Year_Num]],_xlfn.IFS(_xlpm.y&lt;500,"Ancient",_xlpm.y&lt;1500,"Medieval",_xlpm.y&lt;1800,"Early Modern",_xlpm.y&lt;1946,"Modern",TRUE,"Contemporary"))</f>
        <v>Modern</v>
      </c>
      <c r="P210" s="5" t="str">
        <f>_xlfn.XLOOKUP(Clean_Data[[#This Row],[Country]],country_region[Country],country_region[Country_Standard],"Not found")</f>
        <v>Russia</v>
      </c>
      <c r="Q210" s="5" t="str">
        <f>_xlfn.XLOOKUP(Clean_Data[[#This Row],[Country]],country_region[Country],country_region[Region],"Not found")</f>
        <v>Europe</v>
      </c>
      <c r="R210" s="5" t="str">
        <f>_xlfn.XLOOKUP(Clean_Data[[#This Row],[Type of Event]],event_type_category[Type of Event],event_type_category[Category],"Not found")</f>
        <v>Economy &amp; Infrastructure</v>
      </c>
    </row>
    <row r="211" spans="1:18">
      <c r="A211">
        <v>235</v>
      </c>
      <c r="B211" t="s">
        <v>4886</v>
      </c>
      <c r="C211" t="s">
        <v>246</v>
      </c>
      <c r="D211" t="s">
        <v>83</v>
      </c>
      <c r="E211" t="s">
        <v>1117</v>
      </c>
      <c r="F211" t="s">
        <v>1021</v>
      </c>
      <c r="G211" t="s">
        <v>138</v>
      </c>
      <c r="H211" t="s">
        <v>1118</v>
      </c>
      <c r="I211" t="s">
        <v>1119</v>
      </c>
      <c r="J211" t="s">
        <v>1120</v>
      </c>
      <c r="K211" t="s">
        <v>1121</v>
      </c>
      <c r="L211" t="s">
        <v>54</v>
      </c>
      <c r="M211">
        <v>1939</v>
      </c>
      <c r="N211" s="5">
        <f>ROUNDUP(Clean_Data[[#This Row],[Year_Num]]/100,0)</f>
        <v>20</v>
      </c>
      <c r="O211" s="5" t="str" cm="1">
        <f t="array" ref="O211">_xlfn.LET(_xlpm.y,Clean_Data[[#This Row],[Year_Num]],_xlfn.IFS(_xlpm.y&lt;500,"Ancient",_xlpm.y&lt;1500,"Medieval",_xlpm.y&lt;1800,"Early Modern",_xlpm.y&lt;1946,"Modern",TRUE,"Contemporary"))</f>
        <v>Modern</v>
      </c>
      <c r="P211" s="5" t="str">
        <f>_xlfn.XLOOKUP(Clean_Data[[#This Row],[Country]],country_region[Country],country_region[Country_Standard],"Not found")</f>
        <v>Russia</v>
      </c>
      <c r="Q211" s="5" t="str">
        <f>_xlfn.XLOOKUP(Clean_Data[[#This Row],[Country]],country_region[Country],country_region[Region],"Not found")</f>
        <v>Europe</v>
      </c>
      <c r="R211" s="5" t="str">
        <f>_xlfn.XLOOKUP(Clean_Data[[#This Row],[Type of Event]],event_type_category[Type of Event],event_type_category[Category],"Not found")</f>
        <v>War &amp; Conflict</v>
      </c>
    </row>
    <row r="212" spans="1:18">
      <c r="A212">
        <v>236</v>
      </c>
      <c r="B212" t="s">
        <v>1122</v>
      </c>
      <c r="C212" t="s">
        <v>298</v>
      </c>
      <c r="D212" t="s">
        <v>286</v>
      </c>
      <c r="E212" t="s">
        <v>1084</v>
      </c>
      <c r="F212" t="s">
        <v>1021</v>
      </c>
      <c r="G212" t="s">
        <v>1123</v>
      </c>
      <c r="H212" t="s">
        <v>1124</v>
      </c>
      <c r="I212" t="s">
        <v>1125</v>
      </c>
      <c r="J212" t="s">
        <v>1126</v>
      </c>
      <c r="K212" t="s">
        <v>1127</v>
      </c>
      <c r="L212" t="s">
        <v>54</v>
      </c>
      <c r="M212">
        <v>1941</v>
      </c>
      <c r="N212" s="5">
        <f>ROUNDUP(Clean_Data[[#This Row],[Year_Num]]/100,0)</f>
        <v>20</v>
      </c>
      <c r="O212" s="5" t="str" cm="1">
        <f t="array" ref="O212">_xlfn.LET(_xlpm.y,Clean_Data[[#This Row],[Year_Num]],_xlfn.IFS(_xlpm.y&lt;500,"Ancient",_xlpm.y&lt;1500,"Medieval",_xlpm.y&lt;1800,"Early Modern",_xlpm.y&lt;1946,"Modern",TRUE,"Contemporary"))</f>
        <v>Modern</v>
      </c>
      <c r="P212" s="5" t="str">
        <f>_xlfn.XLOOKUP(Clean_Data[[#This Row],[Country]],country_region[Country],country_region[Country_Standard],"Not found")</f>
        <v>Russia</v>
      </c>
      <c r="Q212" s="5" t="str">
        <f>_xlfn.XLOOKUP(Clean_Data[[#This Row],[Country]],country_region[Country],country_region[Region],"Not found")</f>
        <v>Europe</v>
      </c>
      <c r="R212" s="5" t="str">
        <f>_xlfn.XLOOKUP(Clean_Data[[#This Row],[Type of Event]],event_type_category[Type of Event],event_type_category[Category],"Not found")</f>
        <v>War &amp; Conflict</v>
      </c>
    </row>
    <row r="213" spans="1:18">
      <c r="A213">
        <v>237</v>
      </c>
      <c r="B213" t="s">
        <v>1128</v>
      </c>
      <c r="C213" t="s">
        <v>1129</v>
      </c>
      <c r="D213" t="s">
        <v>211</v>
      </c>
      <c r="E213" t="s">
        <v>411</v>
      </c>
      <c r="F213" t="s">
        <v>1021</v>
      </c>
      <c r="G213" t="s">
        <v>1130</v>
      </c>
      <c r="H213" t="s">
        <v>1131</v>
      </c>
      <c r="I213" t="s">
        <v>1132</v>
      </c>
      <c r="J213" t="s">
        <v>1133</v>
      </c>
      <c r="K213" t="s">
        <v>1134</v>
      </c>
      <c r="L213" t="s">
        <v>21</v>
      </c>
      <c r="M213">
        <v>1942</v>
      </c>
      <c r="N213" s="5">
        <f>ROUNDUP(Clean_Data[[#This Row],[Year_Num]]/100,0)</f>
        <v>20</v>
      </c>
      <c r="O213" s="5" t="str" cm="1">
        <f t="array" ref="O213">_xlfn.LET(_xlpm.y,Clean_Data[[#This Row],[Year_Num]],_xlfn.IFS(_xlpm.y&lt;500,"Ancient",_xlpm.y&lt;1500,"Medieval",_xlpm.y&lt;1800,"Early Modern",_xlpm.y&lt;1946,"Modern",TRUE,"Contemporary"))</f>
        <v>Modern</v>
      </c>
      <c r="P213" s="5" t="str">
        <f>_xlfn.XLOOKUP(Clean_Data[[#This Row],[Country]],country_region[Country],country_region[Country_Standard],"Not found")</f>
        <v>Russia</v>
      </c>
      <c r="Q213" s="5" t="str">
        <f>_xlfn.XLOOKUP(Clean_Data[[#This Row],[Country]],country_region[Country],country_region[Region],"Not found")</f>
        <v>Europe</v>
      </c>
      <c r="R213" s="5" t="str">
        <f>_xlfn.XLOOKUP(Clean_Data[[#This Row],[Type of Event]],event_type_category[Type of Event],event_type_category[Category],"Not found")</f>
        <v>War &amp; Conflict</v>
      </c>
    </row>
    <row r="214" spans="1:18">
      <c r="A214">
        <v>238</v>
      </c>
      <c r="B214" t="s">
        <v>1135</v>
      </c>
      <c r="C214" t="s">
        <v>580</v>
      </c>
      <c r="D214" t="s">
        <v>158</v>
      </c>
      <c r="E214" t="s">
        <v>422</v>
      </c>
      <c r="F214" t="s">
        <v>1021</v>
      </c>
      <c r="G214" t="s">
        <v>1136</v>
      </c>
      <c r="H214" t="s">
        <v>1043</v>
      </c>
      <c r="I214" t="s">
        <v>4887</v>
      </c>
      <c r="J214" t="s">
        <v>1138</v>
      </c>
      <c r="K214" t="s">
        <v>1139</v>
      </c>
      <c r="L214" t="s">
        <v>21</v>
      </c>
      <c r="M214">
        <v>1943</v>
      </c>
      <c r="N214" s="5">
        <f>ROUNDUP(Clean_Data[[#This Row],[Year_Num]]/100,0)</f>
        <v>20</v>
      </c>
      <c r="O214" s="5" t="str" cm="1">
        <f t="array" ref="O214">_xlfn.LET(_xlpm.y,Clean_Data[[#This Row],[Year_Num]],_xlfn.IFS(_xlpm.y&lt;500,"Ancient",_xlpm.y&lt;1500,"Medieval",_xlpm.y&lt;1800,"Early Modern",_xlpm.y&lt;1946,"Modern",TRUE,"Contemporary"))</f>
        <v>Modern</v>
      </c>
      <c r="P214" s="5" t="str">
        <f>_xlfn.XLOOKUP(Clean_Data[[#This Row],[Country]],country_region[Country],country_region[Country_Standard],"Not found")</f>
        <v>Russia</v>
      </c>
      <c r="Q214" s="5" t="str">
        <f>_xlfn.XLOOKUP(Clean_Data[[#This Row],[Country]],country_region[Country],country_region[Region],"Not found")</f>
        <v>Europe</v>
      </c>
      <c r="R214" s="5" t="str">
        <f>_xlfn.XLOOKUP(Clean_Data[[#This Row],[Type of Event]],event_type_category[Type of Event],event_type_category[Category],"Not found")</f>
        <v>Diplomacy &amp; International Relations</v>
      </c>
    </row>
    <row r="215" spans="1:18">
      <c r="A215">
        <v>239</v>
      </c>
      <c r="B215" t="s">
        <v>1140</v>
      </c>
      <c r="C215" t="s">
        <v>230</v>
      </c>
      <c r="D215" t="s">
        <v>173</v>
      </c>
      <c r="E215" t="s">
        <v>682</v>
      </c>
      <c r="F215" t="s">
        <v>1021</v>
      </c>
      <c r="G215" t="s">
        <v>1141</v>
      </c>
      <c r="H215" t="s">
        <v>1142</v>
      </c>
      <c r="I215" t="s">
        <v>4888</v>
      </c>
      <c r="J215" t="s">
        <v>1144</v>
      </c>
      <c r="K215" t="s">
        <v>1139</v>
      </c>
      <c r="L215" t="s">
        <v>36</v>
      </c>
      <c r="M215">
        <v>1945</v>
      </c>
      <c r="N215" s="5">
        <f>ROUNDUP(Clean_Data[[#This Row],[Year_Num]]/100,0)</f>
        <v>20</v>
      </c>
      <c r="O215" s="5" t="str" cm="1">
        <f t="array" ref="O215">_xlfn.LET(_xlpm.y,Clean_Data[[#This Row],[Year_Num]],_xlfn.IFS(_xlpm.y&lt;500,"Ancient",_xlpm.y&lt;1500,"Medieval",_xlpm.y&lt;1800,"Early Modern",_xlpm.y&lt;1946,"Modern",TRUE,"Contemporary"))</f>
        <v>Modern</v>
      </c>
      <c r="P215" s="5" t="str">
        <f>_xlfn.XLOOKUP(Clean_Data[[#This Row],[Country]],country_region[Country],country_region[Country_Standard],"Not found")</f>
        <v>Russia</v>
      </c>
      <c r="Q215" s="5" t="str">
        <f>_xlfn.XLOOKUP(Clean_Data[[#This Row],[Country]],country_region[Country],country_region[Region],"Not found")</f>
        <v>Europe</v>
      </c>
      <c r="R215" s="5" t="str">
        <f>_xlfn.XLOOKUP(Clean_Data[[#This Row],[Type of Event]],event_type_category[Type of Event],event_type_category[Category],"Not found")</f>
        <v>Diplomacy &amp; International Relations</v>
      </c>
    </row>
    <row r="216" spans="1:18">
      <c r="A216">
        <v>240</v>
      </c>
      <c r="B216" t="s">
        <v>1145</v>
      </c>
      <c r="C216" t="s">
        <v>165</v>
      </c>
      <c r="D216" t="s">
        <v>267</v>
      </c>
      <c r="E216" t="s">
        <v>1146</v>
      </c>
      <c r="F216" t="s">
        <v>1147</v>
      </c>
      <c r="G216" t="s">
        <v>31</v>
      </c>
      <c r="H216" t="s">
        <v>1043</v>
      </c>
      <c r="I216" t="s">
        <v>4889</v>
      </c>
      <c r="J216" t="s">
        <v>1081</v>
      </c>
      <c r="L216" t="s">
        <v>36</v>
      </c>
      <c r="M216">
        <v>1953</v>
      </c>
      <c r="N216" s="5">
        <f>ROUNDUP(Clean_Data[[#This Row],[Year_Num]]/100,0)</f>
        <v>20</v>
      </c>
      <c r="O216" s="5" t="str" cm="1">
        <f t="array" ref="O216">_xlfn.LET(_xlpm.y,Clean_Data[[#This Row],[Year_Num]],_xlfn.IFS(_xlpm.y&lt;500,"Ancient",_xlpm.y&lt;1500,"Medieval",_xlpm.y&lt;1800,"Early Modern",_xlpm.y&lt;1946,"Modern",TRUE,"Contemporary"))</f>
        <v>Contemporary</v>
      </c>
      <c r="P216" s="5" t="str">
        <f>_xlfn.XLOOKUP(Clean_Data[[#This Row],[Country]],country_region[Country],country_region[Country_Standard],"Not found")</f>
        <v>USSR</v>
      </c>
      <c r="Q216" s="5" t="str">
        <f>_xlfn.XLOOKUP(Clean_Data[[#This Row],[Country]],country_region[Country],country_region[Region],"Not found")</f>
        <v>Europe</v>
      </c>
      <c r="R216" s="5" t="str">
        <f>_xlfn.XLOOKUP(Clean_Data[[#This Row],[Type of Event]],event_type_category[Type of Event],event_type_category[Category],"Not found")</f>
        <v>Politics &amp; Law</v>
      </c>
    </row>
    <row r="217" spans="1:18">
      <c r="A217">
        <v>241</v>
      </c>
      <c r="B217" t="s">
        <v>1149</v>
      </c>
      <c r="C217" t="s">
        <v>230</v>
      </c>
      <c r="D217" t="s">
        <v>158</v>
      </c>
      <c r="E217" t="s">
        <v>1150</v>
      </c>
      <c r="F217" t="s">
        <v>1147</v>
      </c>
      <c r="G217" t="s">
        <v>288</v>
      </c>
      <c r="H217" t="s">
        <v>1151</v>
      </c>
      <c r="I217" t="s">
        <v>1152</v>
      </c>
      <c r="J217" t="s">
        <v>753</v>
      </c>
      <c r="K217" t="s">
        <v>1153</v>
      </c>
      <c r="L217" t="s">
        <v>21</v>
      </c>
      <c r="M217">
        <v>1957</v>
      </c>
      <c r="N217" s="5">
        <f>ROUNDUP(Clean_Data[[#This Row],[Year_Num]]/100,0)</f>
        <v>20</v>
      </c>
      <c r="O217" s="5" t="str" cm="1">
        <f t="array" ref="O217">_xlfn.LET(_xlpm.y,Clean_Data[[#This Row],[Year_Num]],_xlfn.IFS(_xlpm.y&lt;500,"Ancient",_xlpm.y&lt;1500,"Medieval",_xlpm.y&lt;1800,"Early Modern",_xlpm.y&lt;1946,"Modern",TRUE,"Contemporary"))</f>
        <v>Contemporary</v>
      </c>
      <c r="P217" s="5" t="str">
        <f>_xlfn.XLOOKUP(Clean_Data[[#This Row],[Country]],country_region[Country],country_region[Country_Standard],"Not found")</f>
        <v>USSR</v>
      </c>
      <c r="Q217" s="5" t="str">
        <f>_xlfn.XLOOKUP(Clean_Data[[#This Row],[Country]],country_region[Country],country_region[Region],"Not found")</f>
        <v>Europe</v>
      </c>
      <c r="R217" s="5" t="str">
        <f>_xlfn.XLOOKUP(Clean_Data[[#This Row],[Type of Event]],event_type_category[Type of Event],event_type_category[Category],"Not found")</f>
        <v>Science, Technology &amp; Exploration</v>
      </c>
    </row>
    <row r="218" spans="1:18">
      <c r="A218">
        <v>242</v>
      </c>
      <c r="B218" t="s">
        <v>1154</v>
      </c>
      <c r="C218" t="s">
        <v>150</v>
      </c>
      <c r="D218" t="s">
        <v>158</v>
      </c>
      <c r="E218" t="s">
        <v>189</v>
      </c>
      <c r="F218" t="s">
        <v>1147</v>
      </c>
      <c r="G218" t="s">
        <v>1155</v>
      </c>
      <c r="H218" t="s">
        <v>1156</v>
      </c>
      <c r="I218" t="s">
        <v>4890</v>
      </c>
      <c r="J218" t="s">
        <v>753</v>
      </c>
      <c r="K218" t="s">
        <v>1158</v>
      </c>
      <c r="L218" t="s">
        <v>54</v>
      </c>
      <c r="M218">
        <v>1962</v>
      </c>
      <c r="N218" s="5">
        <f>ROUNDUP(Clean_Data[[#This Row],[Year_Num]]/100,0)</f>
        <v>20</v>
      </c>
      <c r="O218" s="5" t="str" cm="1">
        <f t="array" ref="O218">_xlfn.LET(_xlpm.y,Clean_Data[[#This Row],[Year_Num]],_xlfn.IFS(_xlpm.y&lt;500,"Ancient",_xlpm.y&lt;1500,"Medieval",_xlpm.y&lt;1800,"Early Modern",_xlpm.y&lt;1946,"Modern",TRUE,"Contemporary"))</f>
        <v>Contemporary</v>
      </c>
      <c r="P218" s="5" t="str">
        <f>_xlfn.XLOOKUP(Clean_Data[[#This Row],[Country]],country_region[Country],country_region[Country_Standard],"Not found")</f>
        <v>USSR</v>
      </c>
      <c r="Q218" s="5" t="str">
        <f>_xlfn.XLOOKUP(Clean_Data[[#This Row],[Country]],country_region[Country],country_region[Region],"Not found")</f>
        <v>Europe</v>
      </c>
      <c r="R218" s="5" t="str">
        <f>_xlfn.XLOOKUP(Clean_Data[[#This Row],[Type of Event]],event_type_category[Type of Event],event_type_category[Category],"Not found")</f>
        <v>Diplomacy &amp; International Relations</v>
      </c>
    </row>
    <row r="219" spans="1:18">
      <c r="A219">
        <v>243</v>
      </c>
      <c r="B219" t="s">
        <v>1159</v>
      </c>
      <c r="C219" t="s">
        <v>200</v>
      </c>
      <c r="D219" t="s">
        <v>173</v>
      </c>
      <c r="E219" t="s">
        <v>494</v>
      </c>
      <c r="F219" t="s">
        <v>1147</v>
      </c>
      <c r="G219" t="s">
        <v>31</v>
      </c>
      <c r="H219" t="s">
        <v>1043</v>
      </c>
      <c r="I219" t="s">
        <v>4891</v>
      </c>
      <c r="J219" t="s">
        <v>1161</v>
      </c>
      <c r="K219" t="s">
        <v>1162</v>
      </c>
      <c r="L219" t="s">
        <v>21</v>
      </c>
      <c r="M219">
        <v>1956</v>
      </c>
      <c r="N219" s="5">
        <f>ROUNDUP(Clean_Data[[#This Row],[Year_Num]]/100,0)</f>
        <v>20</v>
      </c>
      <c r="O219" s="5" t="str" cm="1">
        <f t="array" ref="O219">_xlfn.LET(_xlpm.y,Clean_Data[[#This Row],[Year_Num]],_xlfn.IFS(_xlpm.y&lt;500,"Ancient",_xlpm.y&lt;1500,"Medieval",_xlpm.y&lt;1800,"Early Modern",_xlpm.y&lt;1946,"Modern",TRUE,"Contemporary"))</f>
        <v>Contemporary</v>
      </c>
      <c r="P219" s="5" t="str">
        <f>_xlfn.XLOOKUP(Clean_Data[[#This Row],[Country]],country_region[Country],country_region[Country_Standard],"Not found")</f>
        <v>USSR</v>
      </c>
      <c r="Q219" s="5" t="str">
        <f>_xlfn.XLOOKUP(Clean_Data[[#This Row],[Country]],country_region[Country],country_region[Region],"Not found")</f>
        <v>Europe</v>
      </c>
      <c r="R219" s="5" t="str">
        <f>_xlfn.XLOOKUP(Clean_Data[[#This Row],[Type of Event]],event_type_category[Type of Event],event_type_category[Category],"Not found")</f>
        <v>Politics &amp; Law</v>
      </c>
    </row>
    <row r="220" spans="1:18">
      <c r="A220">
        <v>244</v>
      </c>
      <c r="B220" t="s">
        <v>1163</v>
      </c>
      <c r="C220" t="s">
        <v>91</v>
      </c>
      <c r="D220" t="s">
        <v>57</v>
      </c>
      <c r="E220" t="s">
        <v>1164</v>
      </c>
      <c r="F220" t="s">
        <v>1147</v>
      </c>
      <c r="G220" t="s">
        <v>1165</v>
      </c>
      <c r="H220" t="s">
        <v>1166</v>
      </c>
      <c r="I220" t="s">
        <v>1167</v>
      </c>
      <c r="J220" t="s">
        <v>1168</v>
      </c>
      <c r="K220" t="s">
        <v>1169</v>
      </c>
      <c r="L220" t="s">
        <v>54</v>
      </c>
      <c r="M220">
        <v>1968</v>
      </c>
      <c r="N220" s="5">
        <f>ROUNDUP(Clean_Data[[#This Row],[Year_Num]]/100,0)</f>
        <v>20</v>
      </c>
      <c r="O220" s="5" t="str" cm="1">
        <f t="array" ref="O220">_xlfn.LET(_xlpm.y,Clean_Data[[#This Row],[Year_Num]],_xlfn.IFS(_xlpm.y&lt;500,"Ancient",_xlpm.y&lt;1500,"Medieval",_xlpm.y&lt;1800,"Early Modern",_xlpm.y&lt;1946,"Modern",TRUE,"Contemporary"))</f>
        <v>Contemporary</v>
      </c>
      <c r="P220" s="5" t="str">
        <f>_xlfn.XLOOKUP(Clean_Data[[#This Row],[Country]],country_region[Country],country_region[Country_Standard],"Not found")</f>
        <v>USSR</v>
      </c>
      <c r="Q220" s="5" t="str">
        <f>_xlfn.XLOOKUP(Clean_Data[[#This Row],[Country]],country_region[Country],country_region[Region],"Not found")</f>
        <v>Europe</v>
      </c>
      <c r="R220" s="5" t="str">
        <f>_xlfn.XLOOKUP(Clean_Data[[#This Row],[Type of Event]],event_type_category[Type of Event],event_type_category[Category],"Not found")</f>
        <v>War &amp; Conflict</v>
      </c>
    </row>
    <row r="221" spans="1:18">
      <c r="A221">
        <v>245</v>
      </c>
      <c r="B221" t="s">
        <v>4892</v>
      </c>
      <c r="C221" t="s">
        <v>218</v>
      </c>
      <c r="D221" t="s">
        <v>66</v>
      </c>
      <c r="E221" t="s">
        <v>883</v>
      </c>
      <c r="F221" t="s">
        <v>1147</v>
      </c>
      <c r="G221" t="s">
        <v>138</v>
      </c>
      <c r="H221" t="s">
        <v>1171</v>
      </c>
      <c r="I221" t="s">
        <v>1172</v>
      </c>
      <c r="J221" t="s">
        <v>1173</v>
      </c>
      <c r="K221" t="s">
        <v>1169</v>
      </c>
      <c r="L221" t="s">
        <v>54</v>
      </c>
      <c r="M221">
        <v>1979</v>
      </c>
      <c r="N221" s="5">
        <f>ROUNDUP(Clean_Data[[#This Row],[Year_Num]]/100,0)</f>
        <v>20</v>
      </c>
      <c r="O221" s="5" t="str" cm="1">
        <f t="array" ref="O221">_xlfn.LET(_xlpm.y,Clean_Data[[#This Row],[Year_Num]],_xlfn.IFS(_xlpm.y&lt;500,"Ancient",_xlpm.y&lt;1500,"Medieval",_xlpm.y&lt;1800,"Early Modern",_xlpm.y&lt;1946,"Modern",TRUE,"Contemporary"))</f>
        <v>Contemporary</v>
      </c>
      <c r="P221" s="5" t="str">
        <f>_xlfn.XLOOKUP(Clean_Data[[#This Row],[Country]],country_region[Country],country_region[Country_Standard],"Not found")</f>
        <v>USSR</v>
      </c>
      <c r="Q221" s="5" t="str">
        <f>_xlfn.XLOOKUP(Clean_Data[[#This Row],[Country]],country_region[Country],country_region[Region],"Not found")</f>
        <v>Europe</v>
      </c>
      <c r="R221" s="5" t="str">
        <f>_xlfn.XLOOKUP(Clean_Data[[#This Row],[Type of Event]],event_type_category[Type of Event],event_type_category[Category],"Not found")</f>
        <v>War &amp; Conflict</v>
      </c>
    </row>
    <row r="222" spans="1:18">
      <c r="A222">
        <v>246</v>
      </c>
      <c r="B222" t="s">
        <v>1174</v>
      </c>
      <c r="E222" t="s">
        <v>201</v>
      </c>
      <c r="F222" t="s">
        <v>1147</v>
      </c>
      <c r="G222" t="s">
        <v>1175</v>
      </c>
      <c r="H222" t="s">
        <v>1079</v>
      </c>
      <c r="I222" t="s">
        <v>1176</v>
      </c>
      <c r="J222" t="s">
        <v>1081</v>
      </c>
      <c r="K222" t="s">
        <v>1177</v>
      </c>
      <c r="L222" t="s">
        <v>21</v>
      </c>
      <c r="M222">
        <v>1975</v>
      </c>
      <c r="N222" s="5">
        <f>ROUNDUP(Clean_Data[[#This Row],[Year_Num]]/100,0)</f>
        <v>20</v>
      </c>
      <c r="O222" s="5" t="str" cm="1">
        <f t="array" ref="O222">_xlfn.LET(_xlpm.y,Clean_Data[[#This Row],[Year_Num]],_xlfn.IFS(_xlpm.y&lt;500,"Ancient",_xlpm.y&lt;1500,"Medieval",_xlpm.y&lt;1800,"Early Modern",_xlpm.y&lt;1946,"Modern",TRUE,"Contemporary"))</f>
        <v>Contemporary</v>
      </c>
      <c r="P222" s="5" t="str">
        <f>_xlfn.XLOOKUP(Clean_Data[[#This Row],[Country]],country_region[Country],country_region[Country_Standard],"Not found")</f>
        <v>USSR</v>
      </c>
      <c r="Q222" s="5" t="str">
        <f>_xlfn.XLOOKUP(Clean_Data[[#This Row],[Country]],country_region[Country],country_region[Region],"Not found")</f>
        <v>Europe</v>
      </c>
      <c r="R222" s="5" t="str">
        <f>_xlfn.XLOOKUP(Clean_Data[[#This Row],[Type of Event]],event_type_category[Type of Event],event_type_category[Category],"Not found")</f>
        <v>Economy &amp; Infrastructure</v>
      </c>
    </row>
    <row r="223" spans="1:18">
      <c r="A223">
        <v>247</v>
      </c>
      <c r="B223" t="s">
        <v>1178</v>
      </c>
      <c r="C223" t="s">
        <v>82</v>
      </c>
      <c r="D223" t="s">
        <v>39</v>
      </c>
      <c r="E223" t="s">
        <v>613</v>
      </c>
      <c r="F223" t="s">
        <v>1147</v>
      </c>
      <c r="G223" t="s">
        <v>1179</v>
      </c>
      <c r="H223" t="s">
        <v>1180</v>
      </c>
      <c r="I223" t="s">
        <v>1181</v>
      </c>
      <c r="J223" t="s">
        <v>753</v>
      </c>
      <c r="L223" t="s">
        <v>54</v>
      </c>
      <c r="M223">
        <v>1986</v>
      </c>
      <c r="N223" s="5">
        <f>ROUNDUP(Clean_Data[[#This Row],[Year_Num]]/100,0)</f>
        <v>20</v>
      </c>
      <c r="O223" s="5" t="str" cm="1">
        <f t="array" ref="O223">_xlfn.LET(_xlpm.y,Clean_Data[[#This Row],[Year_Num]],_xlfn.IFS(_xlpm.y&lt;500,"Ancient",_xlpm.y&lt;1500,"Medieval",_xlpm.y&lt;1800,"Early Modern",_xlpm.y&lt;1946,"Modern",TRUE,"Contemporary"))</f>
        <v>Contemporary</v>
      </c>
      <c r="P223" s="5" t="str">
        <f>_xlfn.XLOOKUP(Clean_Data[[#This Row],[Country]],country_region[Country],country_region[Country_Standard],"Not found")</f>
        <v>USSR</v>
      </c>
      <c r="Q223" s="5" t="str">
        <f>_xlfn.XLOOKUP(Clean_Data[[#This Row],[Country]],country_region[Country],country_region[Region],"Not found")</f>
        <v>Europe</v>
      </c>
      <c r="R223" s="5" t="str">
        <f>_xlfn.XLOOKUP(Clean_Data[[#This Row],[Type of Event]],event_type_category[Type of Event],event_type_category[Category],"Not found")</f>
        <v>Disasters &amp; Accidents</v>
      </c>
    </row>
    <row r="224" spans="1:18">
      <c r="A224">
        <v>248</v>
      </c>
      <c r="B224" t="s">
        <v>1182</v>
      </c>
      <c r="C224" t="s">
        <v>240</v>
      </c>
      <c r="D224" t="s">
        <v>83</v>
      </c>
      <c r="E224" t="s">
        <v>966</v>
      </c>
      <c r="F224" t="s">
        <v>1147</v>
      </c>
      <c r="G224" t="s">
        <v>31</v>
      </c>
      <c r="H224" t="s">
        <v>1183</v>
      </c>
      <c r="I224" t="s">
        <v>1184</v>
      </c>
      <c r="J224" t="s">
        <v>1185</v>
      </c>
      <c r="L224" t="s">
        <v>21</v>
      </c>
      <c r="M224">
        <v>1989</v>
      </c>
      <c r="N224" s="5">
        <f>ROUNDUP(Clean_Data[[#This Row],[Year_Num]]/100,0)</f>
        <v>20</v>
      </c>
      <c r="O224" s="5" t="str" cm="1">
        <f t="array" ref="O224">_xlfn.LET(_xlpm.y,Clean_Data[[#This Row],[Year_Num]],_xlfn.IFS(_xlpm.y&lt;500,"Ancient",_xlpm.y&lt;1500,"Medieval",_xlpm.y&lt;1800,"Early Modern",_xlpm.y&lt;1946,"Modern",TRUE,"Contemporary"))</f>
        <v>Contemporary</v>
      </c>
      <c r="P224" s="5" t="str">
        <f>_xlfn.XLOOKUP(Clean_Data[[#This Row],[Country]],country_region[Country],country_region[Country_Standard],"Not found")</f>
        <v>USSR</v>
      </c>
      <c r="Q224" s="5" t="str">
        <f>_xlfn.XLOOKUP(Clean_Data[[#This Row],[Country]],country_region[Country],country_region[Region],"Not found")</f>
        <v>Europe</v>
      </c>
      <c r="R224" s="5" t="str">
        <f>_xlfn.XLOOKUP(Clean_Data[[#This Row],[Type of Event]],event_type_category[Type of Event],event_type_category[Category],"Not found")</f>
        <v>Politics &amp; Law</v>
      </c>
    </row>
    <row r="225" spans="1:18">
      <c r="A225">
        <v>249</v>
      </c>
      <c r="B225" t="s">
        <v>1186</v>
      </c>
      <c r="C225" t="s">
        <v>82</v>
      </c>
      <c r="D225" t="s">
        <v>66</v>
      </c>
      <c r="E225" t="s">
        <v>212</v>
      </c>
      <c r="F225" t="s">
        <v>1147</v>
      </c>
      <c r="G225" t="s">
        <v>31</v>
      </c>
      <c r="H225" t="s">
        <v>1079</v>
      </c>
      <c r="I225" t="s">
        <v>1187</v>
      </c>
      <c r="J225" t="s">
        <v>1188</v>
      </c>
      <c r="K225" t="s">
        <v>1189</v>
      </c>
      <c r="L225" t="s">
        <v>21</v>
      </c>
      <c r="M225">
        <v>1991</v>
      </c>
      <c r="N225" s="5">
        <f>ROUNDUP(Clean_Data[[#This Row],[Year_Num]]/100,0)</f>
        <v>20</v>
      </c>
      <c r="O225" s="5" t="str" cm="1">
        <f t="array" ref="O225">_xlfn.LET(_xlpm.y,Clean_Data[[#This Row],[Year_Num]],_xlfn.IFS(_xlpm.y&lt;500,"Ancient",_xlpm.y&lt;1500,"Medieval",_xlpm.y&lt;1800,"Early Modern",_xlpm.y&lt;1946,"Modern",TRUE,"Contemporary"))</f>
        <v>Contemporary</v>
      </c>
      <c r="P225" s="5" t="str">
        <f>_xlfn.XLOOKUP(Clean_Data[[#This Row],[Country]],country_region[Country],country_region[Country_Standard],"Not found")</f>
        <v>USSR</v>
      </c>
      <c r="Q225" s="5" t="str">
        <f>_xlfn.XLOOKUP(Clean_Data[[#This Row],[Country]],country_region[Country],country_region[Region],"Not found")</f>
        <v>Europe</v>
      </c>
      <c r="R225" s="5" t="str">
        <f>_xlfn.XLOOKUP(Clean_Data[[#This Row],[Type of Event]],event_type_category[Type of Event],event_type_category[Category],"Not found")</f>
        <v>Politics &amp; Law</v>
      </c>
    </row>
    <row r="226" spans="1:18">
      <c r="A226">
        <v>250</v>
      </c>
      <c r="B226" t="s">
        <v>1190</v>
      </c>
      <c r="C226" t="s">
        <v>353</v>
      </c>
      <c r="D226" t="s">
        <v>100</v>
      </c>
      <c r="E226" t="s">
        <v>212</v>
      </c>
      <c r="F226" t="s">
        <v>1021</v>
      </c>
      <c r="G226" t="s">
        <v>31</v>
      </c>
      <c r="H226" t="s">
        <v>1021</v>
      </c>
      <c r="I226" t="s">
        <v>4893</v>
      </c>
      <c r="J226" t="s">
        <v>1192</v>
      </c>
      <c r="K226" t="s">
        <v>1193</v>
      </c>
      <c r="L226" t="s">
        <v>21</v>
      </c>
      <c r="M226">
        <v>1991</v>
      </c>
      <c r="N226" s="5">
        <f>ROUNDUP(Clean_Data[[#This Row],[Year_Num]]/100,0)</f>
        <v>20</v>
      </c>
      <c r="O226" s="5" t="str" cm="1">
        <f t="array" ref="O226">_xlfn.LET(_xlpm.y,Clean_Data[[#This Row],[Year_Num]],_xlfn.IFS(_xlpm.y&lt;500,"Ancient",_xlpm.y&lt;1500,"Medieval",_xlpm.y&lt;1800,"Early Modern",_xlpm.y&lt;1946,"Modern",TRUE,"Contemporary"))</f>
        <v>Contemporary</v>
      </c>
      <c r="P226" s="5" t="str">
        <f>_xlfn.XLOOKUP(Clean_Data[[#This Row],[Country]],country_region[Country],country_region[Country_Standard],"Not found")</f>
        <v>Russia</v>
      </c>
      <c r="Q226" s="5" t="str">
        <f>_xlfn.XLOOKUP(Clean_Data[[#This Row],[Country]],country_region[Country],country_region[Region],"Not found")</f>
        <v>Europe</v>
      </c>
      <c r="R226" s="5" t="str">
        <f>_xlfn.XLOOKUP(Clean_Data[[#This Row],[Type of Event]],event_type_category[Type of Event],event_type_category[Category],"Not found")</f>
        <v>Politics &amp; Law</v>
      </c>
    </row>
    <row r="227" spans="1:18">
      <c r="A227">
        <v>251</v>
      </c>
      <c r="B227" t="s">
        <v>1194</v>
      </c>
      <c r="C227" t="s">
        <v>38</v>
      </c>
      <c r="D227" t="s">
        <v>286</v>
      </c>
      <c r="E227" t="s">
        <v>1195</v>
      </c>
      <c r="F227" t="s">
        <v>1021</v>
      </c>
      <c r="G227" t="s">
        <v>1049</v>
      </c>
      <c r="H227" t="s">
        <v>1043</v>
      </c>
      <c r="I227" t="s">
        <v>4894</v>
      </c>
      <c r="J227" t="s">
        <v>1192</v>
      </c>
      <c r="K227" t="s">
        <v>1197</v>
      </c>
      <c r="L227" t="s">
        <v>54</v>
      </c>
      <c r="M227">
        <v>1993</v>
      </c>
      <c r="N227" s="5">
        <f>ROUNDUP(Clean_Data[[#This Row],[Year_Num]]/100,0)</f>
        <v>20</v>
      </c>
      <c r="O227" s="5" t="str" cm="1">
        <f t="array" ref="O227">_xlfn.LET(_xlpm.y,Clean_Data[[#This Row],[Year_Num]],_xlfn.IFS(_xlpm.y&lt;500,"Ancient",_xlpm.y&lt;1500,"Medieval",_xlpm.y&lt;1800,"Early Modern",_xlpm.y&lt;1946,"Modern",TRUE,"Contemporary"))</f>
        <v>Contemporary</v>
      </c>
      <c r="P227" s="5" t="str">
        <f>_xlfn.XLOOKUP(Clean_Data[[#This Row],[Country]],country_region[Country],country_region[Country_Standard],"Not found")</f>
        <v>Russia</v>
      </c>
      <c r="Q227" s="5" t="str">
        <f>_xlfn.XLOOKUP(Clean_Data[[#This Row],[Country]],country_region[Country],country_region[Region],"Not found")</f>
        <v>Europe</v>
      </c>
      <c r="R227" s="5" t="str">
        <f>_xlfn.XLOOKUP(Clean_Data[[#This Row],[Type of Event]],event_type_category[Type of Event],event_type_category[Category],"Not found")</f>
        <v>Politics &amp; Law</v>
      </c>
    </row>
    <row r="228" spans="1:18">
      <c r="A228">
        <v>253</v>
      </c>
      <c r="B228" t="s">
        <v>1198</v>
      </c>
      <c r="C228" t="s">
        <v>1129</v>
      </c>
      <c r="D228" t="s">
        <v>57</v>
      </c>
      <c r="E228" t="s">
        <v>75</v>
      </c>
      <c r="F228" t="s">
        <v>1021</v>
      </c>
      <c r="G228" t="s">
        <v>1199</v>
      </c>
      <c r="H228" t="s">
        <v>1021</v>
      </c>
      <c r="I228" t="s">
        <v>1200</v>
      </c>
      <c r="J228" t="s">
        <v>1192</v>
      </c>
      <c r="K228" t="s">
        <v>1201</v>
      </c>
      <c r="L228" t="s">
        <v>54</v>
      </c>
      <c r="M228">
        <v>1998</v>
      </c>
      <c r="N228" s="5">
        <f>ROUNDUP(Clean_Data[[#This Row],[Year_Num]]/100,0)</f>
        <v>20</v>
      </c>
      <c r="O228" s="5" t="str" cm="1">
        <f t="array" ref="O228">_xlfn.LET(_xlpm.y,Clean_Data[[#This Row],[Year_Num]],_xlfn.IFS(_xlpm.y&lt;500,"Ancient",_xlpm.y&lt;1500,"Medieval",_xlpm.y&lt;1800,"Early Modern",_xlpm.y&lt;1946,"Modern",TRUE,"Contemporary"))</f>
        <v>Contemporary</v>
      </c>
      <c r="P228" s="5" t="str">
        <f>_xlfn.XLOOKUP(Clean_Data[[#This Row],[Country]],country_region[Country],country_region[Country_Standard],"Not found")</f>
        <v>Russia</v>
      </c>
      <c r="Q228" s="5" t="str">
        <f>_xlfn.XLOOKUP(Clean_Data[[#This Row],[Country]],country_region[Country],country_region[Region],"Not found")</f>
        <v>Europe</v>
      </c>
      <c r="R228" s="5" t="str">
        <f>_xlfn.XLOOKUP(Clean_Data[[#This Row],[Type of Event]],event_type_category[Type of Event],event_type_category[Category],"Not found")</f>
        <v>Economy &amp; Infrastructure</v>
      </c>
    </row>
    <row r="229" spans="1:18">
      <c r="A229">
        <v>254</v>
      </c>
      <c r="B229" t="s">
        <v>1202</v>
      </c>
      <c r="C229" t="s">
        <v>115</v>
      </c>
      <c r="D229" t="s">
        <v>47</v>
      </c>
      <c r="E229" t="s">
        <v>1203</v>
      </c>
      <c r="F229" t="s">
        <v>1021</v>
      </c>
      <c r="G229" t="s">
        <v>31</v>
      </c>
      <c r="H229" t="s">
        <v>1021</v>
      </c>
      <c r="I229" t="s">
        <v>1204</v>
      </c>
      <c r="J229" t="s">
        <v>1192</v>
      </c>
      <c r="K229" t="s">
        <v>1205</v>
      </c>
      <c r="L229" t="s">
        <v>36</v>
      </c>
      <c r="M229">
        <v>2000</v>
      </c>
      <c r="N229" s="5">
        <f>ROUNDUP(Clean_Data[[#This Row],[Year_Num]]/100,0)</f>
        <v>20</v>
      </c>
      <c r="O229" s="5" t="str" cm="1">
        <f t="array" ref="O229">_xlfn.LET(_xlpm.y,Clean_Data[[#This Row],[Year_Num]],_xlfn.IFS(_xlpm.y&lt;500,"Ancient",_xlpm.y&lt;1500,"Medieval",_xlpm.y&lt;1800,"Early Modern",_xlpm.y&lt;1946,"Modern",TRUE,"Contemporary"))</f>
        <v>Contemporary</v>
      </c>
      <c r="P229" s="5" t="str">
        <f>_xlfn.XLOOKUP(Clean_Data[[#This Row],[Country]],country_region[Country],country_region[Country_Standard],"Not found")</f>
        <v>Russia</v>
      </c>
      <c r="Q229" s="5" t="str">
        <f>_xlfn.XLOOKUP(Clean_Data[[#This Row],[Country]],country_region[Country],country_region[Region],"Not found")</f>
        <v>Europe</v>
      </c>
      <c r="R229" s="5" t="str">
        <f>_xlfn.XLOOKUP(Clean_Data[[#This Row],[Type of Event]],event_type_category[Type of Event],event_type_category[Category],"Not found")</f>
        <v>Politics &amp; Law</v>
      </c>
    </row>
    <row r="230" spans="1:18">
      <c r="A230">
        <v>255</v>
      </c>
      <c r="B230" t="s">
        <v>1206</v>
      </c>
      <c r="C230" t="s">
        <v>99</v>
      </c>
      <c r="D230" t="s">
        <v>158</v>
      </c>
      <c r="E230" t="s">
        <v>648</v>
      </c>
      <c r="F230" t="s">
        <v>1021</v>
      </c>
      <c r="G230" t="s">
        <v>85</v>
      </c>
      <c r="H230" t="s">
        <v>1043</v>
      </c>
      <c r="I230" t="s">
        <v>1207</v>
      </c>
      <c r="J230" t="s">
        <v>1208</v>
      </c>
      <c r="K230" t="s">
        <v>1209</v>
      </c>
      <c r="L230" t="s">
        <v>54</v>
      </c>
      <c r="M230">
        <v>2002</v>
      </c>
      <c r="N230" s="5">
        <f>ROUNDUP(Clean_Data[[#This Row],[Year_Num]]/100,0)</f>
        <v>21</v>
      </c>
      <c r="O230" s="5" t="str" cm="1">
        <f t="array" ref="O230">_xlfn.LET(_xlpm.y,Clean_Data[[#This Row],[Year_Num]],_xlfn.IFS(_xlpm.y&lt;500,"Ancient",_xlpm.y&lt;1500,"Medieval",_xlpm.y&lt;1800,"Early Modern",_xlpm.y&lt;1946,"Modern",TRUE,"Contemporary"))</f>
        <v>Contemporary</v>
      </c>
      <c r="P230" s="5" t="str">
        <f>_xlfn.XLOOKUP(Clean_Data[[#This Row],[Country]],country_region[Country],country_region[Country_Standard],"Not found")</f>
        <v>Russia</v>
      </c>
      <c r="Q230" s="5" t="str">
        <f>_xlfn.XLOOKUP(Clean_Data[[#This Row],[Country]],country_region[Country],country_region[Region],"Not found")</f>
        <v>Europe</v>
      </c>
      <c r="R230" s="5" t="str">
        <f>_xlfn.XLOOKUP(Clean_Data[[#This Row],[Type of Event]],event_type_category[Type of Event],event_type_category[Category],"Not found")</f>
        <v>War &amp; Conflict</v>
      </c>
    </row>
    <row r="231" spans="1:18">
      <c r="A231">
        <v>256</v>
      </c>
      <c r="B231" t="s">
        <v>1210</v>
      </c>
      <c r="C231" t="s">
        <v>46</v>
      </c>
      <c r="D231" t="s">
        <v>286</v>
      </c>
      <c r="E231" t="s">
        <v>643</v>
      </c>
      <c r="F231" t="s">
        <v>1021</v>
      </c>
      <c r="G231" t="s">
        <v>85</v>
      </c>
      <c r="H231" t="s">
        <v>1211</v>
      </c>
      <c r="I231" t="s">
        <v>1212</v>
      </c>
      <c r="J231" t="s">
        <v>1213</v>
      </c>
      <c r="K231" t="s">
        <v>1209</v>
      </c>
      <c r="L231" t="s">
        <v>54</v>
      </c>
      <c r="M231">
        <v>2004</v>
      </c>
      <c r="N231" s="5">
        <f>ROUNDUP(Clean_Data[[#This Row],[Year_Num]]/100,0)</f>
        <v>21</v>
      </c>
      <c r="O231" s="5" t="str" cm="1">
        <f t="array" ref="O231">_xlfn.LET(_xlpm.y,Clean_Data[[#This Row],[Year_Num]],_xlfn.IFS(_xlpm.y&lt;500,"Ancient",_xlpm.y&lt;1500,"Medieval",_xlpm.y&lt;1800,"Early Modern",_xlpm.y&lt;1946,"Modern",TRUE,"Contemporary"))</f>
        <v>Contemporary</v>
      </c>
      <c r="P231" s="5" t="str">
        <f>_xlfn.XLOOKUP(Clean_Data[[#This Row],[Country]],country_region[Country],country_region[Country_Standard],"Not found")</f>
        <v>Russia</v>
      </c>
      <c r="Q231" s="5" t="str">
        <f>_xlfn.XLOOKUP(Clean_Data[[#This Row],[Country]],country_region[Country],country_region[Region],"Not found")</f>
        <v>Europe</v>
      </c>
      <c r="R231" s="5" t="str">
        <f>_xlfn.XLOOKUP(Clean_Data[[#This Row],[Type of Event]],event_type_category[Type of Event],event_type_category[Category],"Not found")</f>
        <v>War &amp; Conflict</v>
      </c>
    </row>
    <row r="232" spans="1:18">
      <c r="A232">
        <v>257</v>
      </c>
      <c r="B232" t="s">
        <v>1214</v>
      </c>
      <c r="C232" t="s">
        <v>195</v>
      </c>
      <c r="D232" t="s">
        <v>267</v>
      </c>
      <c r="E232" t="s">
        <v>287</v>
      </c>
      <c r="F232" t="s">
        <v>1021</v>
      </c>
      <c r="G232" t="s">
        <v>1215</v>
      </c>
      <c r="H232" t="s">
        <v>1216</v>
      </c>
      <c r="I232" t="s">
        <v>1217</v>
      </c>
      <c r="J232" t="s">
        <v>1218</v>
      </c>
      <c r="K232" t="s">
        <v>1219</v>
      </c>
      <c r="L232" t="s">
        <v>54</v>
      </c>
      <c r="M232">
        <v>2014</v>
      </c>
      <c r="N232" s="5">
        <f>ROUNDUP(Clean_Data[[#This Row],[Year_Num]]/100,0)</f>
        <v>21</v>
      </c>
      <c r="O232" s="5" t="str" cm="1">
        <f t="array" ref="O232">_xlfn.LET(_xlpm.y,Clean_Data[[#This Row],[Year_Num]],_xlfn.IFS(_xlpm.y&lt;500,"Ancient",_xlpm.y&lt;1500,"Medieval",_xlpm.y&lt;1800,"Early Modern",_xlpm.y&lt;1946,"Modern",TRUE,"Contemporary"))</f>
        <v>Contemporary</v>
      </c>
      <c r="P232" s="5" t="str">
        <f>_xlfn.XLOOKUP(Clean_Data[[#This Row],[Country]],country_region[Country],country_region[Country_Standard],"Not found")</f>
        <v>Russia</v>
      </c>
      <c r="Q232" s="5" t="str">
        <f>_xlfn.XLOOKUP(Clean_Data[[#This Row],[Country]],country_region[Country],country_region[Region],"Not found")</f>
        <v>Europe</v>
      </c>
      <c r="R232" s="5" t="str">
        <f>_xlfn.XLOOKUP(Clean_Data[[#This Row],[Type of Event]],event_type_category[Type of Event],event_type_category[Category],"Not found")</f>
        <v>Independence &amp; Nation-Building</v>
      </c>
    </row>
    <row r="233" spans="1:18">
      <c r="A233">
        <v>258</v>
      </c>
      <c r="B233" t="s">
        <v>1220</v>
      </c>
      <c r="C233" t="s">
        <v>246</v>
      </c>
      <c r="D233" t="s">
        <v>286</v>
      </c>
      <c r="E233" t="s">
        <v>341</v>
      </c>
      <c r="F233" t="s">
        <v>1021</v>
      </c>
      <c r="G233" t="s">
        <v>1165</v>
      </c>
      <c r="H233" t="s">
        <v>1221</v>
      </c>
      <c r="I233" t="s">
        <v>1222</v>
      </c>
      <c r="J233" t="s">
        <v>1223</v>
      </c>
      <c r="K233" t="s">
        <v>1224</v>
      </c>
      <c r="L233" t="s">
        <v>36</v>
      </c>
      <c r="M233">
        <v>2015</v>
      </c>
      <c r="N233" s="5">
        <f>ROUNDUP(Clean_Data[[#This Row],[Year_Num]]/100,0)</f>
        <v>21</v>
      </c>
      <c r="O233" s="5" t="str" cm="1">
        <f t="array" ref="O233">_xlfn.LET(_xlpm.y,Clean_Data[[#This Row],[Year_Num]],_xlfn.IFS(_xlpm.y&lt;500,"Ancient",_xlpm.y&lt;1500,"Medieval",_xlpm.y&lt;1800,"Early Modern",_xlpm.y&lt;1946,"Modern",TRUE,"Contemporary"))</f>
        <v>Contemporary</v>
      </c>
      <c r="P233" s="5" t="str">
        <f>_xlfn.XLOOKUP(Clean_Data[[#This Row],[Country]],country_region[Country],country_region[Country_Standard],"Not found")</f>
        <v>Russia</v>
      </c>
      <c r="Q233" s="5" t="str">
        <f>_xlfn.XLOOKUP(Clean_Data[[#This Row],[Country]],country_region[Country],country_region[Region],"Not found")</f>
        <v>Europe</v>
      </c>
      <c r="R233" s="5" t="str">
        <f>_xlfn.XLOOKUP(Clean_Data[[#This Row],[Type of Event]],event_type_category[Type of Event],event_type_category[Category],"Not found")</f>
        <v>War &amp; Conflict</v>
      </c>
    </row>
    <row r="234" spans="1:18">
      <c r="A234">
        <v>259</v>
      </c>
      <c r="B234" t="s">
        <v>1225</v>
      </c>
      <c r="C234" t="s">
        <v>230</v>
      </c>
      <c r="D234" t="s">
        <v>267</v>
      </c>
      <c r="E234" t="s">
        <v>174</v>
      </c>
      <c r="F234" t="s">
        <v>1021</v>
      </c>
      <c r="G234" t="s">
        <v>1226</v>
      </c>
      <c r="H234" t="s">
        <v>1227</v>
      </c>
      <c r="I234" t="s">
        <v>1228</v>
      </c>
      <c r="J234" t="s">
        <v>1229</v>
      </c>
      <c r="K234" t="s">
        <v>1230</v>
      </c>
      <c r="L234" t="s">
        <v>54</v>
      </c>
      <c r="M234">
        <v>2018</v>
      </c>
      <c r="N234" s="5">
        <f>ROUNDUP(Clean_Data[[#This Row],[Year_Num]]/100,0)</f>
        <v>21</v>
      </c>
      <c r="O234" s="5" t="str" cm="1">
        <f t="array" ref="O234">_xlfn.LET(_xlpm.y,Clean_Data[[#This Row],[Year_Num]],_xlfn.IFS(_xlpm.y&lt;500,"Ancient",_xlpm.y&lt;1500,"Medieval",_xlpm.y&lt;1800,"Early Modern",_xlpm.y&lt;1946,"Modern",TRUE,"Contemporary"))</f>
        <v>Contemporary</v>
      </c>
      <c r="P234" s="5" t="str">
        <f>_xlfn.XLOOKUP(Clean_Data[[#This Row],[Country]],country_region[Country],country_region[Country_Standard],"Not found")</f>
        <v>Russia</v>
      </c>
      <c r="Q234" s="5" t="str">
        <f>_xlfn.XLOOKUP(Clean_Data[[#This Row],[Country]],country_region[Country],country_region[Region],"Not found")</f>
        <v>Europe</v>
      </c>
      <c r="R234" s="5" t="str">
        <f>_xlfn.XLOOKUP(Clean_Data[[#This Row],[Type of Event]],event_type_category[Type of Event],event_type_category[Category],"Not found")</f>
        <v>Diplomacy &amp; International Relations</v>
      </c>
    </row>
    <row r="235" spans="1:18">
      <c r="A235">
        <v>260</v>
      </c>
      <c r="B235" t="s">
        <v>1231</v>
      </c>
      <c r="E235" t="s">
        <v>1232</v>
      </c>
      <c r="F235" t="s">
        <v>1233</v>
      </c>
      <c r="G235" t="s">
        <v>252</v>
      </c>
      <c r="H235" t="s">
        <v>1234</v>
      </c>
      <c r="I235" t="s">
        <v>1235</v>
      </c>
      <c r="J235" t="s">
        <v>1236</v>
      </c>
      <c r="K235" t="s">
        <v>1237</v>
      </c>
      <c r="L235" t="s">
        <v>21</v>
      </c>
      <c r="M235">
        <v>538</v>
      </c>
      <c r="N235" s="5">
        <f>ROUNDUP(Clean_Data[[#This Row],[Year_Num]]/100,0)</f>
        <v>6</v>
      </c>
      <c r="O235" s="5" t="str" cm="1">
        <f t="array" ref="O235">_xlfn.LET(_xlpm.y,Clean_Data[[#This Row],[Year_Num]],_xlfn.IFS(_xlpm.y&lt;500,"Ancient",_xlpm.y&lt;1500,"Medieval",_xlpm.y&lt;1800,"Early Modern",_xlpm.y&lt;1946,"Modern",TRUE,"Contemporary"))</f>
        <v>Medieval</v>
      </c>
      <c r="P235" s="5" t="str">
        <f>_xlfn.XLOOKUP(Clean_Data[[#This Row],[Country]],country_region[Country],country_region[Country_Standard],"Not found")</f>
        <v>Japan</v>
      </c>
      <c r="Q235" s="5" t="str">
        <f>_xlfn.XLOOKUP(Clean_Data[[#This Row],[Country]],country_region[Country],country_region[Region],"Not found")</f>
        <v>East Asia</v>
      </c>
      <c r="R235" s="5" t="str">
        <f>_xlfn.XLOOKUP(Clean_Data[[#This Row],[Type of Event]],event_type_category[Type of Event],event_type_category[Category],"Not found")</f>
        <v>Culture, Religion &amp; Sport</v>
      </c>
    </row>
    <row r="236" spans="1:18">
      <c r="A236">
        <v>261</v>
      </c>
      <c r="B236" t="s">
        <v>1238</v>
      </c>
      <c r="E236" t="s">
        <v>1239</v>
      </c>
      <c r="F236" t="s">
        <v>1233</v>
      </c>
      <c r="G236" t="s">
        <v>31</v>
      </c>
      <c r="H236" t="s">
        <v>1233</v>
      </c>
      <c r="I236" t="s">
        <v>1240</v>
      </c>
      <c r="J236" t="s">
        <v>1236</v>
      </c>
      <c r="K236" t="s">
        <v>1241</v>
      </c>
      <c r="L236" t="s">
        <v>21</v>
      </c>
      <c r="M236">
        <v>645</v>
      </c>
      <c r="N236" s="5">
        <f>ROUNDUP(Clean_Data[[#This Row],[Year_Num]]/100,0)</f>
        <v>7</v>
      </c>
      <c r="O236" s="5" t="str" cm="1">
        <f t="array" ref="O236">_xlfn.LET(_xlpm.y,Clean_Data[[#This Row],[Year_Num]],_xlfn.IFS(_xlpm.y&lt;500,"Ancient",_xlpm.y&lt;1500,"Medieval",_xlpm.y&lt;1800,"Early Modern",_xlpm.y&lt;1946,"Modern",TRUE,"Contemporary"))</f>
        <v>Medieval</v>
      </c>
      <c r="P236" s="5" t="str">
        <f>_xlfn.XLOOKUP(Clean_Data[[#This Row],[Country]],country_region[Country],country_region[Country_Standard],"Not found")</f>
        <v>Japan</v>
      </c>
      <c r="Q236" s="5" t="str">
        <f>_xlfn.XLOOKUP(Clean_Data[[#This Row],[Country]],country_region[Country],country_region[Region],"Not found")</f>
        <v>East Asia</v>
      </c>
      <c r="R236" s="5" t="str">
        <f>_xlfn.XLOOKUP(Clean_Data[[#This Row],[Type of Event]],event_type_category[Type of Event],event_type_category[Category],"Not found")</f>
        <v>Politics &amp; Law</v>
      </c>
    </row>
    <row r="237" spans="1:18">
      <c r="A237">
        <v>262</v>
      </c>
      <c r="B237" t="s">
        <v>1242</v>
      </c>
      <c r="E237" t="s">
        <v>1243</v>
      </c>
      <c r="F237" t="s">
        <v>1233</v>
      </c>
      <c r="G237" t="s">
        <v>1244</v>
      </c>
      <c r="H237" t="s">
        <v>1245</v>
      </c>
      <c r="I237" t="s">
        <v>1246</v>
      </c>
      <c r="J237" t="s">
        <v>1236</v>
      </c>
      <c r="K237" t="s">
        <v>1247</v>
      </c>
      <c r="L237" t="s">
        <v>21</v>
      </c>
      <c r="M237">
        <v>710</v>
      </c>
      <c r="N237" s="5">
        <f>ROUNDUP(Clean_Data[[#This Row],[Year_Num]]/100,0)</f>
        <v>8</v>
      </c>
      <c r="O237" s="5" t="str" cm="1">
        <f t="array" ref="O237">_xlfn.LET(_xlpm.y,Clean_Data[[#This Row],[Year_Num]],_xlfn.IFS(_xlpm.y&lt;500,"Ancient",_xlpm.y&lt;1500,"Medieval",_xlpm.y&lt;1800,"Early Modern",_xlpm.y&lt;1946,"Modern",TRUE,"Contemporary"))</f>
        <v>Medieval</v>
      </c>
      <c r="P237" s="5" t="str">
        <f>_xlfn.XLOOKUP(Clean_Data[[#This Row],[Country]],country_region[Country],country_region[Country_Standard],"Not found")</f>
        <v>Japan</v>
      </c>
      <c r="Q237" s="5" t="str">
        <f>_xlfn.XLOOKUP(Clean_Data[[#This Row],[Country]],country_region[Country],country_region[Region],"Not found")</f>
        <v>East Asia</v>
      </c>
      <c r="R237" s="5" t="str">
        <f>_xlfn.XLOOKUP(Clean_Data[[#This Row],[Type of Event]],event_type_category[Type of Event],event_type_category[Category],"Not found")</f>
        <v>Culture, Religion &amp; Sport</v>
      </c>
    </row>
    <row r="238" spans="1:18">
      <c r="A238">
        <v>263</v>
      </c>
      <c r="B238" t="s">
        <v>1248</v>
      </c>
      <c r="E238" t="s">
        <v>1249</v>
      </c>
      <c r="F238" t="s">
        <v>1233</v>
      </c>
      <c r="G238" t="s">
        <v>1244</v>
      </c>
      <c r="H238" t="s">
        <v>4895</v>
      </c>
      <c r="I238" t="s">
        <v>1251</v>
      </c>
      <c r="J238" t="s">
        <v>1236</v>
      </c>
      <c r="K238" t="s">
        <v>1252</v>
      </c>
      <c r="L238" t="s">
        <v>21</v>
      </c>
      <c r="M238">
        <v>794</v>
      </c>
      <c r="N238" s="5">
        <f>ROUNDUP(Clean_Data[[#This Row],[Year_Num]]/100,0)</f>
        <v>8</v>
      </c>
      <c r="O238" s="5" t="str" cm="1">
        <f t="array" ref="O238">_xlfn.LET(_xlpm.y,Clean_Data[[#This Row],[Year_Num]],_xlfn.IFS(_xlpm.y&lt;500,"Ancient",_xlpm.y&lt;1500,"Medieval",_xlpm.y&lt;1800,"Early Modern",_xlpm.y&lt;1946,"Modern",TRUE,"Contemporary"))</f>
        <v>Medieval</v>
      </c>
      <c r="P238" s="5" t="str">
        <f>_xlfn.XLOOKUP(Clean_Data[[#This Row],[Country]],country_region[Country],country_region[Country_Standard],"Not found")</f>
        <v>Japan</v>
      </c>
      <c r="Q238" s="5" t="str">
        <f>_xlfn.XLOOKUP(Clean_Data[[#This Row],[Country]],country_region[Country],country_region[Region],"Not found")</f>
        <v>East Asia</v>
      </c>
      <c r="R238" s="5" t="str">
        <f>_xlfn.XLOOKUP(Clean_Data[[#This Row],[Type of Event]],event_type_category[Type of Event],event_type_category[Category],"Not found")</f>
        <v>Culture, Religion &amp; Sport</v>
      </c>
    </row>
    <row r="239" spans="1:18">
      <c r="A239">
        <v>264</v>
      </c>
      <c r="B239" t="s">
        <v>1253</v>
      </c>
      <c r="E239" t="s">
        <v>1254</v>
      </c>
      <c r="F239" t="s">
        <v>1233</v>
      </c>
      <c r="G239" t="s">
        <v>1255</v>
      </c>
      <c r="H239" t="s">
        <v>4895</v>
      </c>
      <c r="I239" t="s">
        <v>4896</v>
      </c>
      <c r="J239" t="s">
        <v>1257</v>
      </c>
      <c r="K239" t="s">
        <v>1258</v>
      </c>
      <c r="L239" t="s">
        <v>21</v>
      </c>
      <c r="M239">
        <v>1030</v>
      </c>
      <c r="N239" s="5">
        <f>ROUNDUP(Clean_Data[[#This Row],[Year_Num]]/100,0)</f>
        <v>11</v>
      </c>
      <c r="O239" s="5" t="str" cm="1">
        <f t="array" ref="O239">_xlfn.LET(_xlpm.y,Clean_Data[[#This Row],[Year_Num]],_xlfn.IFS(_xlpm.y&lt;500,"Ancient",_xlpm.y&lt;1500,"Medieval",_xlpm.y&lt;1800,"Early Modern",_xlpm.y&lt;1946,"Modern",TRUE,"Contemporary"))</f>
        <v>Medieval</v>
      </c>
      <c r="P239" s="5" t="str">
        <f>_xlfn.XLOOKUP(Clean_Data[[#This Row],[Country]],country_region[Country],country_region[Country_Standard],"Not found")</f>
        <v>Japan</v>
      </c>
      <c r="Q239" s="5" t="str">
        <f>_xlfn.XLOOKUP(Clean_Data[[#This Row],[Country]],country_region[Country],country_region[Region],"Not found")</f>
        <v>East Asia</v>
      </c>
      <c r="R239" s="5" t="str">
        <f>_xlfn.XLOOKUP(Clean_Data[[#This Row],[Type of Event]],event_type_category[Type of Event],event_type_category[Category],"Not found")</f>
        <v>Culture, Religion &amp; Sport</v>
      </c>
    </row>
    <row r="240" spans="1:18">
      <c r="A240">
        <v>265</v>
      </c>
      <c r="B240" t="s">
        <v>1259</v>
      </c>
      <c r="E240" t="s">
        <v>1260</v>
      </c>
      <c r="F240" t="s">
        <v>1233</v>
      </c>
      <c r="G240" t="s">
        <v>563</v>
      </c>
      <c r="H240" t="s">
        <v>1261</v>
      </c>
      <c r="I240" t="s">
        <v>1262</v>
      </c>
      <c r="J240" t="s">
        <v>1236</v>
      </c>
      <c r="K240" t="s">
        <v>1263</v>
      </c>
      <c r="L240" t="s">
        <v>36</v>
      </c>
      <c r="M240">
        <v>1185</v>
      </c>
      <c r="N240" s="5">
        <f>ROUNDUP(Clean_Data[[#This Row],[Year_Num]]/100,0)</f>
        <v>12</v>
      </c>
      <c r="O240" s="5" t="str" cm="1">
        <f t="array" ref="O240">_xlfn.LET(_xlpm.y,Clean_Data[[#This Row],[Year_Num]],_xlfn.IFS(_xlpm.y&lt;500,"Ancient",_xlpm.y&lt;1500,"Medieval",_xlpm.y&lt;1800,"Early Modern",_xlpm.y&lt;1946,"Modern",TRUE,"Contemporary"))</f>
        <v>Medieval</v>
      </c>
      <c r="P240" s="5" t="str">
        <f>_xlfn.XLOOKUP(Clean_Data[[#This Row],[Country]],country_region[Country],country_region[Country_Standard],"Not found")</f>
        <v>Japan</v>
      </c>
      <c r="Q240" s="5" t="str">
        <f>_xlfn.XLOOKUP(Clean_Data[[#This Row],[Country]],country_region[Country],country_region[Region],"Not found")</f>
        <v>East Asia</v>
      </c>
      <c r="R240" s="5" t="str">
        <f>_xlfn.XLOOKUP(Clean_Data[[#This Row],[Type of Event]],event_type_category[Type of Event],event_type_category[Category],"Not found")</f>
        <v>War &amp; Conflict</v>
      </c>
    </row>
    <row r="241" spans="1:18">
      <c r="A241">
        <v>266</v>
      </c>
      <c r="B241" t="s">
        <v>1264</v>
      </c>
      <c r="E241" t="s">
        <v>1265</v>
      </c>
      <c r="F241" t="s">
        <v>1233</v>
      </c>
      <c r="G241" t="s">
        <v>356</v>
      </c>
      <c r="H241" t="s">
        <v>1266</v>
      </c>
      <c r="I241" t="s">
        <v>1267</v>
      </c>
      <c r="J241" t="s">
        <v>1268</v>
      </c>
      <c r="K241" t="s">
        <v>1269</v>
      </c>
      <c r="L241" t="s">
        <v>21</v>
      </c>
      <c r="M241">
        <v>1274</v>
      </c>
      <c r="N241" s="5">
        <f>ROUNDUP(Clean_Data[[#This Row],[Year_Num]]/100,0)</f>
        <v>13</v>
      </c>
      <c r="O241" s="5" t="str" cm="1">
        <f t="array" ref="O241">_xlfn.LET(_xlpm.y,Clean_Data[[#This Row],[Year_Num]],_xlfn.IFS(_xlpm.y&lt;500,"Ancient",_xlpm.y&lt;1500,"Medieval",_xlpm.y&lt;1800,"Early Modern",_xlpm.y&lt;1946,"Modern",TRUE,"Contemporary"))</f>
        <v>Medieval</v>
      </c>
      <c r="P241" s="5" t="str">
        <f>_xlfn.XLOOKUP(Clean_Data[[#This Row],[Country]],country_region[Country],country_region[Country_Standard],"Not found")</f>
        <v>Japan</v>
      </c>
      <c r="Q241" s="5" t="str">
        <f>_xlfn.XLOOKUP(Clean_Data[[#This Row],[Country]],country_region[Country],country_region[Region],"Not found")</f>
        <v>East Asia</v>
      </c>
      <c r="R241" s="5" t="str">
        <f>_xlfn.XLOOKUP(Clean_Data[[#This Row],[Type of Event]],event_type_category[Type of Event],event_type_category[Category],"Not found")</f>
        <v>War &amp; Conflict</v>
      </c>
    </row>
    <row r="242" spans="1:18">
      <c r="A242">
        <v>267</v>
      </c>
      <c r="B242" t="s">
        <v>1270</v>
      </c>
      <c r="E242" t="s">
        <v>1271</v>
      </c>
      <c r="F242" t="s">
        <v>1233</v>
      </c>
      <c r="G242" t="s">
        <v>252</v>
      </c>
      <c r="H242" t="s">
        <v>1272</v>
      </c>
      <c r="I242" t="s">
        <v>1273</v>
      </c>
      <c r="J242" t="s">
        <v>1236</v>
      </c>
      <c r="K242" t="s">
        <v>1274</v>
      </c>
      <c r="L242" t="s">
        <v>36</v>
      </c>
      <c r="M242">
        <v>1336</v>
      </c>
      <c r="N242" s="5">
        <f>ROUNDUP(Clean_Data[[#This Row],[Year_Num]]/100,0)</f>
        <v>14</v>
      </c>
      <c r="O242" s="5" t="str" cm="1">
        <f t="array" ref="O242">_xlfn.LET(_xlpm.y,Clean_Data[[#This Row],[Year_Num]],_xlfn.IFS(_xlpm.y&lt;500,"Ancient",_xlpm.y&lt;1500,"Medieval",_xlpm.y&lt;1800,"Early Modern",_xlpm.y&lt;1946,"Modern",TRUE,"Contemporary"))</f>
        <v>Medieval</v>
      </c>
      <c r="P242" s="5" t="str">
        <f>_xlfn.XLOOKUP(Clean_Data[[#This Row],[Country]],country_region[Country],country_region[Country_Standard],"Not found")</f>
        <v>Japan</v>
      </c>
      <c r="Q242" s="5" t="str">
        <f>_xlfn.XLOOKUP(Clean_Data[[#This Row],[Country]],country_region[Country],country_region[Region],"Not found")</f>
        <v>East Asia</v>
      </c>
      <c r="R242" s="5" t="str">
        <f>_xlfn.XLOOKUP(Clean_Data[[#This Row],[Type of Event]],event_type_category[Type of Event],event_type_category[Category],"Not found")</f>
        <v>Culture, Religion &amp; Sport</v>
      </c>
    </row>
    <row r="243" spans="1:18">
      <c r="A243">
        <v>268</v>
      </c>
      <c r="B243" t="s">
        <v>1275</v>
      </c>
      <c r="E243" t="s">
        <v>1276</v>
      </c>
      <c r="F243" t="s">
        <v>1233</v>
      </c>
      <c r="G243" t="s">
        <v>801</v>
      </c>
      <c r="H243" t="s">
        <v>1277</v>
      </c>
      <c r="I243" t="s">
        <v>1278</v>
      </c>
      <c r="J243" t="s">
        <v>1236</v>
      </c>
      <c r="K243" t="s">
        <v>1279</v>
      </c>
      <c r="L243" t="s">
        <v>54</v>
      </c>
      <c r="M243">
        <v>1467</v>
      </c>
      <c r="N243" s="5">
        <f>ROUNDUP(Clean_Data[[#This Row],[Year_Num]]/100,0)</f>
        <v>15</v>
      </c>
      <c r="O243" s="5" t="str" cm="1">
        <f t="array" ref="O243">_xlfn.LET(_xlpm.y,Clean_Data[[#This Row],[Year_Num]],_xlfn.IFS(_xlpm.y&lt;500,"Ancient",_xlpm.y&lt;1500,"Medieval",_xlpm.y&lt;1800,"Early Modern",_xlpm.y&lt;1946,"Modern",TRUE,"Contemporary"))</f>
        <v>Medieval</v>
      </c>
      <c r="P243" s="5" t="str">
        <f>_xlfn.XLOOKUP(Clean_Data[[#This Row],[Country]],country_region[Country],country_region[Country_Standard],"Not found")</f>
        <v>Japan</v>
      </c>
      <c r="Q243" s="5" t="str">
        <f>_xlfn.XLOOKUP(Clean_Data[[#This Row],[Country]],country_region[Country],country_region[Region],"Not found")</f>
        <v>East Asia</v>
      </c>
      <c r="R243" s="5" t="str">
        <f>_xlfn.XLOOKUP(Clean_Data[[#This Row],[Type of Event]],event_type_category[Type of Event],event_type_category[Category],"Not found")</f>
        <v>War &amp; Conflict</v>
      </c>
    </row>
    <row r="244" spans="1:18">
      <c r="A244">
        <v>269</v>
      </c>
      <c r="B244" t="s">
        <v>1280</v>
      </c>
      <c r="E244" t="s">
        <v>1281</v>
      </c>
      <c r="F244" t="s">
        <v>1233</v>
      </c>
      <c r="G244" t="s">
        <v>1282</v>
      </c>
      <c r="H244" t="s">
        <v>1283</v>
      </c>
      <c r="I244" t="s">
        <v>1284</v>
      </c>
      <c r="J244" t="s">
        <v>1285</v>
      </c>
      <c r="K244" t="s">
        <v>1286</v>
      </c>
      <c r="L244" t="s">
        <v>36</v>
      </c>
      <c r="M244">
        <v>1543</v>
      </c>
      <c r="N244" s="5">
        <f>ROUNDUP(Clean_Data[[#This Row],[Year_Num]]/100,0)</f>
        <v>16</v>
      </c>
      <c r="O244" s="5" t="str" cm="1">
        <f t="array" ref="O244">_xlfn.LET(_xlpm.y,Clean_Data[[#This Row],[Year_Num]],_xlfn.IFS(_xlpm.y&lt;500,"Ancient",_xlpm.y&lt;1500,"Medieval",_xlpm.y&lt;1800,"Early Modern",_xlpm.y&lt;1946,"Modern",TRUE,"Contemporary"))</f>
        <v>Early Modern</v>
      </c>
      <c r="P244" s="5" t="str">
        <f>_xlfn.XLOOKUP(Clean_Data[[#This Row],[Country]],country_region[Country],country_region[Country_Standard],"Not found")</f>
        <v>Japan</v>
      </c>
      <c r="Q244" s="5" t="str">
        <f>_xlfn.XLOOKUP(Clean_Data[[#This Row],[Country]],country_region[Country],country_region[Region],"Not found")</f>
        <v>East Asia</v>
      </c>
      <c r="R244" s="5" t="str">
        <f>_xlfn.XLOOKUP(Clean_Data[[#This Row],[Type of Event]],event_type_category[Type of Event],event_type_category[Category],"Not found")</f>
        <v>Science, Technology &amp; Exploration</v>
      </c>
    </row>
    <row r="245" spans="1:18">
      <c r="A245">
        <v>270</v>
      </c>
      <c r="B245" t="s">
        <v>4897</v>
      </c>
      <c r="E245" t="s">
        <v>1288</v>
      </c>
      <c r="F245" t="s">
        <v>1233</v>
      </c>
      <c r="G245" t="s">
        <v>252</v>
      </c>
      <c r="H245" t="s">
        <v>1289</v>
      </c>
      <c r="I245" t="s">
        <v>1290</v>
      </c>
      <c r="J245" t="s">
        <v>1236</v>
      </c>
      <c r="K245" t="s">
        <v>1291</v>
      </c>
      <c r="L245" t="s">
        <v>21</v>
      </c>
      <c r="M245">
        <v>1568</v>
      </c>
      <c r="N245" s="5">
        <f>ROUNDUP(Clean_Data[[#This Row],[Year_Num]]/100,0)</f>
        <v>16</v>
      </c>
      <c r="O245" s="5" t="str" cm="1">
        <f t="array" ref="O245">_xlfn.LET(_xlpm.y,Clean_Data[[#This Row],[Year_Num]],_xlfn.IFS(_xlpm.y&lt;500,"Ancient",_xlpm.y&lt;1500,"Medieval",_xlpm.y&lt;1800,"Early Modern",_xlpm.y&lt;1946,"Modern",TRUE,"Contemporary"))</f>
        <v>Early Modern</v>
      </c>
      <c r="P245" s="5" t="str">
        <f>_xlfn.XLOOKUP(Clean_Data[[#This Row],[Country]],country_region[Country],country_region[Country_Standard],"Not found")</f>
        <v>Japan</v>
      </c>
      <c r="Q245" s="5" t="str">
        <f>_xlfn.XLOOKUP(Clean_Data[[#This Row],[Country]],country_region[Country],country_region[Region],"Not found")</f>
        <v>East Asia</v>
      </c>
      <c r="R245" s="5" t="str">
        <f>_xlfn.XLOOKUP(Clean_Data[[#This Row],[Type of Event]],event_type_category[Type of Event],event_type_category[Category],"Not found")</f>
        <v>Culture, Religion &amp; Sport</v>
      </c>
    </row>
    <row r="246" spans="1:18">
      <c r="A246">
        <v>271</v>
      </c>
      <c r="B246" t="s">
        <v>1292</v>
      </c>
      <c r="E246" t="s">
        <v>1293</v>
      </c>
      <c r="F246" t="s">
        <v>1233</v>
      </c>
      <c r="G246" t="s">
        <v>31</v>
      </c>
      <c r="H246" t="s">
        <v>1294</v>
      </c>
      <c r="I246" t="s">
        <v>1295</v>
      </c>
      <c r="J246" t="s">
        <v>1236</v>
      </c>
      <c r="K246" t="s">
        <v>1296</v>
      </c>
      <c r="L246" t="s">
        <v>21</v>
      </c>
      <c r="M246">
        <v>1603</v>
      </c>
      <c r="N246" s="5">
        <f>ROUNDUP(Clean_Data[[#This Row],[Year_Num]]/100,0)</f>
        <v>17</v>
      </c>
      <c r="O246" s="5" t="str" cm="1">
        <f t="array" ref="O246">_xlfn.LET(_xlpm.y,Clean_Data[[#This Row],[Year_Num]],_xlfn.IFS(_xlpm.y&lt;500,"Ancient",_xlpm.y&lt;1500,"Medieval",_xlpm.y&lt;1800,"Early Modern",_xlpm.y&lt;1946,"Modern",TRUE,"Contemporary"))</f>
        <v>Early Modern</v>
      </c>
      <c r="P246" s="5" t="str">
        <f>_xlfn.XLOOKUP(Clean_Data[[#This Row],[Country]],country_region[Country],country_region[Country_Standard],"Not found")</f>
        <v>Japan</v>
      </c>
      <c r="Q246" s="5" t="str">
        <f>_xlfn.XLOOKUP(Clean_Data[[#This Row],[Country]],country_region[Country],country_region[Region],"Not found")</f>
        <v>East Asia</v>
      </c>
      <c r="R246" s="5" t="str">
        <f>_xlfn.XLOOKUP(Clean_Data[[#This Row],[Type of Event]],event_type_category[Type of Event],event_type_category[Category],"Not found")</f>
        <v>Politics &amp; Law</v>
      </c>
    </row>
    <row r="247" spans="1:18">
      <c r="A247">
        <v>272</v>
      </c>
      <c r="B247" t="s">
        <v>1297</v>
      </c>
      <c r="E247" t="s">
        <v>1298</v>
      </c>
      <c r="F247" t="s">
        <v>1233</v>
      </c>
      <c r="G247" t="s">
        <v>1299</v>
      </c>
      <c r="H247" t="s">
        <v>1233</v>
      </c>
      <c r="I247" t="s">
        <v>1300</v>
      </c>
      <c r="J247" t="s">
        <v>1236</v>
      </c>
      <c r="K247" t="s">
        <v>1301</v>
      </c>
      <c r="L247" t="s">
        <v>36</v>
      </c>
      <c r="M247">
        <v>1635</v>
      </c>
      <c r="N247" s="5">
        <f>ROUNDUP(Clean_Data[[#This Row],[Year_Num]]/100,0)</f>
        <v>17</v>
      </c>
      <c r="O247" s="5" t="str" cm="1">
        <f t="array" ref="O247">_xlfn.LET(_xlpm.y,Clean_Data[[#This Row],[Year_Num]],_xlfn.IFS(_xlpm.y&lt;500,"Ancient",_xlpm.y&lt;1500,"Medieval",_xlpm.y&lt;1800,"Early Modern",_xlpm.y&lt;1946,"Modern",TRUE,"Contemporary"))</f>
        <v>Early Modern</v>
      </c>
      <c r="P247" s="5" t="str">
        <f>_xlfn.XLOOKUP(Clean_Data[[#This Row],[Country]],country_region[Country],country_region[Country_Standard],"Not found")</f>
        <v>Japan</v>
      </c>
      <c r="Q247" s="5" t="str">
        <f>_xlfn.XLOOKUP(Clean_Data[[#This Row],[Country]],country_region[Country],country_region[Region],"Not found")</f>
        <v>East Asia</v>
      </c>
      <c r="R247" s="5" t="str">
        <f>_xlfn.XLOOKUP(Clean_Data[[#This Row],[Type of Event]],event_type_category[Type of Event],event_type_category[Category],"Not found")</f>
        <v>Diplomacy &amp; International Relations</v>
      </c>
    </row>
    <row r="248" spans="1:18">
      <c r="A248">
        <v>273</v>
      </c>
      <c r="B248" t="s">
        <v>1302</v>
      </c>
      <c r="E248" t="s">
        <v>1303</v>
      </c>
      <c r="F248" t="s">
        <v>1233</v>
      </c>
      <c r="G248" t="s">
        <v>31</v>
      </c>
      <c r="H248" t="s">
        <v>1233</v>
      </c>
      <c r="I248" t="s">
        <v>1304</v>
      </c>
      <c r="J248" t="s">
        <v>1236</v>
      </c>
      <c r="K248" t="s">
        <v>1305</v>
      </c>
      <c r="L248" t="s">
        <v>21</v>
      </c>
      <c r="M248">
        <v>1868</v>
      </c>
      <c r="N248" s="5">
        <f>ROUNDUP(Clean_Data[[#This Row],[Year_Num]]/100,0)</f>
        <v>19</v>
      </c>
      <c r="O248" s="5" t="str" cm="1">
        <f t="array" ref="O248">_xlfn.LET(_xlpm.y,Clean_Data[[#This Row],[Year_Num]],_xlfn.IFS(_xlpm.y&lt;500,"Ancient",_xlpm.y&lt;1500,"Medieval",_xlpm.y&lt;1800,"Early Modern",_xlpm.y&lt;1946,"Modern",TRUE,"Contemporary"))</f>
        <v>Modern</v>
      </c>
      <c r="P248" s="5" t="str">
        <f>_xlfn.XLOOKUP(Clean_Data[[#This Row],[Country]],country_region[Country],country_region[Country_Standard],"Not found")</f>
        <v>Japan</v>
      </c>
      <c r="Q248" s="5" t="str">
        <f>_xlfn.XLOOKUP(Clean_Data[[#This Row],[Country]],country_region[Country],country_region[Region],"Not found")</f>
        <v>East Asia</v>
      </c>
      <c r="R248" s="5" t="str">
        <f>_xlfn.XLOOKUP(Clean_Data[[#This Row],[Type of Event]],event_type_category[Type of Event],event_type_category[Category],"Not found")</f>
        <v>Politics &amp; Law</v>
      </c>
    </row>
    <row r="249" spans="1:18">
      <c r="A249">
        <v>274</v>
      </c>
      <c r="B249" t="s">
        <v>4898</v>
      </c>
      <c r="E249" t="s">
        <v>1307</v>
      </c>
      <c r="F249" t="s">
        <v>1233</v>
      </c>
      <c r="G249" t="s">
        <v>138</v>
      </c>
      <c r="H249" t="s">
        <v>1308</v>
      </c>
      <c r="I249" t="s">
        <v>1309</v>
      </c>
      <c r="J249" t="s">
        <v>1310</v>
      </c>
      <c r="K249" t="s">
        <v>1311</v>
      </c>
      <c r="L249" t="s">
        <v>21</v>
      </c>
      <c r="M249">
        <v>1894</v>
      </c>
      <c r="N249" s="5">
        <f>ROUNDUP(Clean_Data[[#This Row],[Year_Num]]/100,0)</f>
        <v>19</v>
      </c>
      <c r="O249" s="5" t="str" cm="1">
        <f t="array" ref="O249">_xlfn.LET(_xlpm.y,Clean_Data[[#This Row],[Year_Num]],_xlfn.IFS(_xlpm.y&lt;500,"Ancient",_xlpm.y&lt;1500,"Medieval",_xlpm.y&lt;1800,"Early Modern",_xlpm.y&lt;1946,"Modern",TRUE,"Contemporary"))</f>
        <v>Modern</v>
      </c>
      <c r="P249" s="5" t="str">
        <f>_xlfn.XLOOKUP(Clean_Data[[#This Row],[Country]],country_region[Country],country_region[Country_Standard],"Not found")</f>
        <v>Japan</v>
      </c>
      <c r="Q249" s="5" t="str">
        <f>_xlfn.XLOOKUP(Clean_Data[[#This Row],[Country]],country_region[Country],country_region[Region],"Not found")</f>
        <v>East Asia</v>
      </c>
      <c r="R249" s="5" t="str">
        <f>_xlfn.XLOOKUP(Clean_Data[[#This Row],[Type of Event]],event_type_category[Type of Event],event_type_category[Category],"Not found")</f>
        <v>War &amp; Conflict</v>
      </c>
    </row>
    <row r="250" spans="1:18">
      <c r="A250">
        <v>275</v>
      </c>
      <c r="B250" t="s">
        <v>4881</v>
      </c>
      <c r="E250" t="s">
        <v>1060</v>
      </c>
      <c r="F250" t="s">
        <v>1233</v>
      </c>
      <c r="G250" t="s">
        <v>138</v>
      </c>
      <c r="H250" t="s">
        <v>1061</v>
      </c>
      <c r="I250" t="s">
        <v>1312</v>
      </c>
      <c r="J250" t="s">
        <v>1063</v>
      </c>
      <c r="K250" t="s">
        <v>1311</v>
      </c>
      <c r="L250" t="s">
        <v>21</v>
      </c>
      <c r="M250">
        <v>1904</v>
      </c>
      <c r="N250" s="5">
        <f>ROUNDUP(Clean_Data[[#This Row],[Year_Num]]/100,0)</f>
        <v>20</v>
      </c>
      <c r="O250" s="5" t="str" cm="1">
        <f t="array" ref="O250">_xlfn.LET(_xlpm.y,Clean_Data[[#This Row],[Year_Num]],_xlfn.IFS(_xlpm.y&lt;500,"Ancient",_xlpm.y&lt;1500,"Medieval",_xlpm.y&lt;1800,"Early Modern",_xlpm.y&lt;1946,"Modern",TRUE,"Contemporary"))</f>
        <v>Modern</v>
      </c>
      <c r="P250" s="5" t="str">
        <f>_xlfn.XLOOKUP(Clean_Data[[#This Row],[Country]],country_region[Country],country_region[Country_Standard],"Not found")</f>
        <v>Japan</v>
      </c>
      <c r="Q250" s="5" t="str">
        <f>_xlfn.XLOOKUP(Clean_Data[[#This Row],[Country]],country_region[Country],country_region[Region],"Not found")</f>
        <v>East Asia</v>
      </c>
      <c r="R250" s="5" t="str">
        <f>_xlfn.XLOOKUP(Clean_Data[[#This Row],[Type of Event]],event_type_category[Type of Event],event_type_category[Category],"Not found")</f>
        <v>War &amp; Conflict</v>
      </c>
    </row>
    <row r="251" spans="1:18">
      <c r="A251">
        <v>276</v>
      </c>
      <c r="B251" t="s">
        <v>1313</v>
      </c>
      <c r="E251" t="s">
        <v>1314</v>
      </c>
      <c r="F251" t="s">
        <v>1233</v>
      </c>
      <c r="G251" t="s">
        <v>31</v>
      </c>
      <c r="H251" t="s">
        <v>1233</v>
      </c>
      <c r="I251" t="s">
        <v>1315</v>
      </c>
      <c r="J251" t="s">
        <v>1236</v>
      </c>
      <c r="L251" t="s">
        <v>36</v>
      </c>
      <c r="M251">
        <v>1912</v>
      </c>
      <c r="N251" s="5">
        <f>ROUNDUP(Clean_Data[[#This Row],[Year_Num]]/100,0)</f>
        <v>20</v>
      </c>
      <c r="O251" s="5" t="str" cm="1">
        <f t="array" ref="O251">_xlfn.LET(_xlpm.y,Clean_Data[[#This Row],[Year_Num]],_xlfn.IFS(_xlpm.y&lt;500,"Ancient",_xlpm.y&lt;1500,"Medieval",_xlpm.y&lt;1800,"Early Modern",_xlpm.y&lt;1946,"Modern",TRUE,"Contemporary"))</f>
        <v>Modern</v>
      </c>
      <c r="P251" s="5" t="str">
        <f>_xlfn.XLOOKUP(Clean_Data[[#This Row],[Country]],country_region[Country],country_region[Country_Standard],"Not found")</f>
        <v>Japan</v>
      </c>
      <c r="Q251" s="5" t="str">
        <f>_xlfn.XLOOKUP(Clean_Data[[#This Row],[Country]],country_region[Country],country_region[Region],"Not found")</f>
        <v>East Asia</v>
      </c>
      <c r="R251" s="5" t="str">
        <f>_xlfn.XLOOKUP(Clean_Data[[#This Row],[Type of Event]],event_type_category[Type of Event],event_type_category[Category],"Not found")</f>
        <v>Politics &amp; Law</v>
      </c>
    </row>
    <row r="252" spans="1:18">
      <c r="A252">
        <v>277</v>
      </c>
      <c r="B252" t="s">
        <v>1316</v>
      </c>
      <c r="C252" t="s">
        <v>195</v>
      </c>
      <c r="D252" t="s">
        <v>286</v>
      </c>
      <c r="E252" t="s">
        <v>732</v>
      </c>
      <c r="F252" t="s">
        <v>1233</v>
      </c>
      <c r="G252" t="s">
        <v>1029</v>
      </c>
      <c r="H252" t="s">
        <v>1317</v>
      </c>
      <c r="I252" t="s">
        <v>4899</v>
      </c>
      <c r="J252" t="s">
        <v>1319</v>
      </c>
      <c r="K252" t="s">
        <v>1320</v>
      </c>
      <c r="L252" t="s">
        <v>54</v>
      </c>
      <c r="M252">
        <v>1931</v>
      </c>
      <c r="N252" s="5">
        <f>ROUNDUP(Clean_Data[[#This Row],[Year_Num]]/100,0)</f>
        <v>20</v>
      </c>
      <c r="O252" s="5" t="str" cm="1">
        <f t="array" ref="O252">_xlfn.LET(_xlpm.y,Clean_Data[[#This Row],[Year_Num]],_xlfn.IFS(_xlpm.y&lt;500,"Ancient",_xlpm.y&lt;1500,"Medieval",_xlpm.y&lt;1800,"Early Modern",_xlpm.y&lt;1946,"Modern",TRUE,"Contemporary"))</f>
        <v>Modern</v>
      </c>
      <c r="P252" s="5" t="str">
        <f>_xlfn.XLOOKUP(Clean_Data[[#This Row],[Country]],country_region[Country],country_region[Country_Standard],"Not found")</f>
        <v>Japan</v>
      </c>
      <c r="Q252" s="5" t="str">
        <f>_xlfn.XLOOKUP(Clean_Data[[#This Row],[Country]],country_region[Country],country_region[Region],"Not found")</f>
        <v>East Asia</v>
      </c>
      <c r="R252" s="5" t="str">
        <f>_xlfn.XLOOKUP(Clean_Data[[#This Row],[Type of Event]],event_type_category[Type of Event],event_type_category[Category],"Not found")</f>
        <v>War &amp; Conflict</v>
      </c>
    </row>
    <row r="253" spans="1:18">
      <c r="A253">
        <v>278</v>
      </c>
      <c r="B253" t="s">
        <v>4900</v>
      </c>
      <c r="C253" t="s">
        <v>115</v>
      </c>
      <c r="D253" t="s">
        <v>211</v>
      </c>
      <c r="E253" t="s">
        <v>889</v>
      </c>
      <c r="F253" t="s">
        <v>1233</v>
      </c>
      <c r="G253" t="s">
        <v>138</v>
      </c>
      <c r="H253" t="s">
        <v>749</v>
      </c>
      <c r="I253" t="s">
        <v>1322</v>
      </c>
      <c r="J253" t="s">
        <v>1323</v>
      </c>
      <c r="K253" t="s">
        <v>1320</v>
      </c>
      <c r="L253" t="s">
        <v>54</v>
      </c>
      <c r="M253">
        <v>1937</v>
      </c>
      <c r="N253" s="5">
        <f>ROUNDUP(Clean_Data[[#This Row],[Year_Num]]/100,0)</f>
        <v>20</v>
      </c>
      <c r="O253" s="5" t="str" cm="1">
        <f t="array" ref="O253">_xlfn.LET(_xlpm.y,Clean_Data[[#This Row],[Year_Num]],_xlfn.IFS(_xlpm.y&lt;500,"Ancient",_xlpm.y&lt;1500,"Medieval",_xlpm.y&lt;1800,"Early Modern",_xlpm.y&lt;1946,"Modern",TRUE,"Contemporary"))</f>
        <v>Modern</v>
      </c>
      <c r="P253" s="5" t="str">
        <f>_xlfn.XLOOKUP(Clean_Data[[#This Row],[Country]],country_region[Country],country_region[Country_Standard],"Not found")</f>
        <v>Japan</v>
      </c>
      <c r="Q253" s="5" t="str">
        <f>_xlfn.XLOOKUP(Clean_Data[[#This Row],[Country]],country_region[Country],country_region[Region],"Not found")</f>
        <v>East Asia</v>
      </c>
      <c r="R253" s="5" t="str">
        <f>_xlfn.XLOOKUP(Clean_Data[[#This Row],[Type of Event]],event_type_category[Type of Event],event_type_category[Category],"Not found")</f>
        <v>War &amp; Conflict</v>
      </c>
    </row>
    <row r="254" spans="1:18">
      <c r="A254">
        <v>279</v>
      </c>
      <c r="B254" t="s">
        <v>1324</v>
      </c>
      <c r="C254" t="s">
        <v>1325</v>
      </c>
      <c r="D254" t="s">
        <v>57</v>
      </c>
      <c r="E254" t="s">
        <v>682</v>
      </c>
      <c r="F254" t="s">
        <v>1233</v>
      </c>
      <c r="G254" t="s">
        <v>1326</v>
      </c>
      <c r="H254" t="s">
        <v>1327</v>
      </c>
      <c r="I254" t="s">
        <v>1328</v>
      </c>
      <c r="J254" t="s">
        <v>1329</v>
      </c>
      <c r="K254" t="s">
        <v>1330</v>
      </c>
      <c r="L254" t="s">
        <v>54</v>
      </c>
      <c r="M254">
        <v>1945</v>
      </c>
      <c r="N254" s="5">
        <f>ROUNDUP(Clean_Data[[#This Row],[Year_Num]]/100,0)</f>
        <v>20</v>
      </c>
      <c r="O254" s="5" t="str" cm="1">
        <f t="array" ref="O254">_xlfn.LET(_xlpm.y,Clean_Data[[#This Row],[Year_Num]],_xlfn.IFS(_xlpm.y&lt;500,"Ancient",_xlpm.y&lt;1500,"Medieval",_xlpm.y&lt;1800,"Early Modern",_xlpm.y&lt;1946,"Modern",TRUE,"Contemporary"))</f>
        <v>Modern</v>
      </c>
      <c r="P254" s="5" t="str">
        <f>_xlfn.XLOOKUP(Clean_Data[[#This Row],[Country]],country_region[Country],country_region[Country_Standard],"Not found")</f>
        <v>Japan</v>
      </c>
      <c r="Q254" s="5" t="str">
        <f>_xlfn.XLOOKUP(Clean_Data[[#This Row],[Country]],country_region[Country],country_region[Region],"Not found")</f>
        <v>East Asia</v>
      </c>
      <c r="R254" s="5" t="str">
        <f>_xlfn.XLOOKUP(Clean_Data[[#This Row],[Type of Event]],event_type_category[Type of Event],event_type_category[Category],"Not found")</f>
        <v>War &amp; Conflict</v>
      </c>
    </row>
    <row r="255" spans="1:18">
      <c r="A255">
        <v>280</v>
      </c>
      <c r="B255" t="s">
        <v>1331</v>
      </c>
      <c r="C255" t="s">
        <v>298</v>
      </c>
      <c r="D255" t="s">
        <v>211</v>
      </c>
      <c r="E255" t="s">
        <v>1332</v>
      </c>
      <c r="F255" t="s">
        <v>1233</v>
      </c>
      <c r="G255" t="s">
        <v>489</v>
      </c>
      <c r="H255" t="s">
        <v>1333</v>
      </c>
      <c r="I255" t="s">
        <v>1334</v>
      </c>
      <c r="J255" t="s">
        <v>1236</v>
      </c>
      <c r="K255" t="s">
        <v>1335</v>
      </c>
      <c r="L255" t="s">
        <v>36</v>
      </c>
      <c r="M255">
        <v>1853</v>
      </c>
      <c r="N255" s="5">
        <f>ROUNDUP(Clean_Data[[#This Row],[Year_Num]]/100,0)</f>
        <v>19</v>
      </c>
      <c r="O255" s="5" t="str" cm="1">
        <f t="array" ref="O255">_xlfn.LET(_xlpm.y,Clean_Data[[#This Row],[Year_Num]],_xlfn.IFS(_xlpm.y&lt;500,"Ancient",_xlpm.y&lt;1500,"Medieval",_xlpm.y&lt;1800,"Early Modern",_xlpm.y&lt;1946,"Modern",TRUE,"Contemporary"))</f>
        <v>Modern</v>
      </c>
      <c r="P255" s="5" t="str">
        <f>_xlfn.XLOOKUP(Clean_Data[[#This Row],[Country]],country_region[Country],country_region[Country_Standard],"Not found")</f>
        <v>Japan</v>
      </c>
      <c r="Q255" s="5" t="str">
        <f>_xlfn.XLOOKUP(Clean_Data[[#This Row],[Country]],country_region[Country],country_region[Region],"Not found")</f>
        <v>East Asia</v>
      </c>
      <c r="R255" s="5" t="str">
        <f>_xlfn.XLOOKUP(Clean_Data[[#This Row],[Type of Event]],event_type_category[Type of Event],event_type_category[Category],"Not found")</f>
        <v>Diplomacy &amp; International Relations</v>
      </c>
    </row>
    <row r="256" spans="1:18">
      <c r="A256">
        <v>281</v>
      </c>
      <c r="B256" t="s">
        <v>1336</v>
      </c>
      <c r="E256" t="s">
        <v>1303</v>
      </c>
      <c r="F256" t="s">
        <v>1233</v>
      </c>
      <c r="G256" t="s">
        <v>801</v>
      </c>
      <c r="H256" t="s">
        <v>1233</v>
      </c>
      <c r="I256" t="s">
        <v>1337</v>
      </c>
      <c r="J256" t="s">
        <v>1236</v>
      </c>
      <c r="K256" t="s">
        <v>1338</v>
      </c>
      <c r="L256" t="s">
        <v>21</v>
      </c>
      <c r="M256">
        <v>1868</v>
      </c>
      <c r="N256" s="5">
        <f>ROUNDUP(Clean_Data[[#This Row],[Year_Num]]/100,0)</f>
        <v>19</v>
      </c>
      <c r="O256" s="5" t="str" cm="1">
        <f t="array" ref="O256">_xlfn.LET(_xlpm.y,Clean_Data[[#This Row],[Year_Num]],_xlfn.IFS(_xlpm.y&lt;500,"Ancient",_xlpm.y&lt;1500,"Medieval",_xlpm.y&lt;1800,"Early Modern",_xlpm.y&lt;1946,"Modern",TRUE,"Contemporary"))</f>
        <v>Modern</v>
      </c>
      <c r="P256" s="5" t="str">
        <f>_xlfn.XLOOKUP(Clean_Data[[#This Row],[Country]],country_region[Country],country_region[Country_Standard],"Not found")</f>
        <v>Japan</v>
      </c>
      <c r="Q256" s="5" t="str">
        <f>_xlfn.XLOOKUP(Clean_Data[[#This Row],[Country]],country_region[Country],country_region[Region],"Not found")</f>
        <v>East Asia</v>
      </c>
      <c r="R256" s="5" t="str">
        <f>_xlfn.XLOOKUP(Clean_Data[[#This Row],[Type of Event]],event_type_category[Type of Event],event_type_category[Category],"Not found")</f>
        <v>War &amp; Conflict</v>
      </c>
    </row>
    <row r="257" spans="1:18">
      <c r="A257">
        <v>282</v>
      </c>
      <c r="B257" t="s">
        <v>1339</v>
      </c>
      <c r="E257" t="s">
        <v>1340</v>
      </c>
      <c r="F257" t="s">
        <v>1233</v>
      </c>
      <c r="G257" t="s">
        <v>1341</v>
      </c>
      <c r="H257" t="s">
        <v>1342</v>
      </c>
      <c r="I257" t="s">
        <v>1343</v>
      </c>
      <c r="J257" t="s">
        <v>1236</v>
      </c>
      <c r="K257" t="s">
        <v>1344</v>
      </c>
      <c r="L257" t="s">
        <v>21</v>
      </c>
      <c r="M257">
        <v>1871</v>
      </c>
      <c r="N257" s="5">
        <f>ROUNDUP(Clean_Data[[#This Row],[Year_Num]]/100,0)</f>
        <v>19</v>
      </c>
      <c r="O257" s="5" t="str" cm="1">
        <f t="array" ref="O257">_xlfn.LET(_xlpm.y,Clean_Data[[#This Row],[Year_Num]],_xlfn.IFS(_xlpm.y&lt;500,"Ancient",_xlpm.y&lt;1500,"Medieval",_xlpm.y&lt;1800,"Early Modern",_xlpm.y&lt;1946,"Modern",TRUE,"Contemporary"))</f>
        <v>Modern</v>
      </c>
      <c r="P257" s="5" t="str">
        <f>_xlfn.XLOOKUP(Clean_Data[[#This Row],[Country]],country_region[Country],country_region[Country_Standard],"Not found")</f>
        <v>Japan</v>
      </c>
      <c r="Q257" s="5" t="str">
        <f>_xlfn.XLOOKUP(Clean_Data[[#This Row],[Country]],country_region[Country],country_region[Region],"Not found")</f>
        <v>East Asia</v>
      </c>
      <c r="R257" s="5" t="str">
        <f>_xlfn.XLOOKUP(Clean_Data[[#This Row],[Type of Event]],event_type_category[Type of Event],event_type_category[Category],"Not found")</f>
        <v>Diplomacy &amp; International Relations</v>
      </c>
    </row>
    <row r="258" spans="1:18">
      <c r="A258">
        <v>283</v>
      </c>
      <c r="B258" t="s">
        <v>1345</v>
      </c>
      <c r="E258" t="s">
        <v>1346</v>
      </c>
      <c r="F258" t="s">
        <v>1233</v>
      </c>
      <c r="G258" t="s">
        <v>919</v>
      </c>
      <c r="H258" t="s">
        <v>1266</v>
      </c>
      <c r="I258" t="s">
        <v>1347</v>
      </c>
      <c r="J258" t="s">
        <v>1348</v>
      </c>
      <c r="K258" t="s">
        <v>1349</v>
      </c>
      <c r="L258" t="s">
        <v>54</v>
      </c>
      <c r="M258">
        <v>1877</v>
      </c>
      <c r="N258" s="5">
        <f>ROUNDUP(Clean_Data[[#This Row],[Year_Num]]/100,0)</f>
        <v>19</v>
      </c>
      <c r="O258" s="5" t="str" cm="1">
        <f t="array" ref="O258">_xlfn.LET(_xlpm.y,Clean_Data[[#This Row],[Year_Num]],_xlfn.IFS(_xlpm.y&lt;500,"Ancient",_xlpm.y&lt;1500,"Medieval",_xlpm.y&lt;1800,"Early Modern",_xlpm.y&lt;1946,"Modern",TRUE,"Contemporary"))</f>
        <v>Modern</v>
      </c>
      <c r="P258" s="5" t="str">
        <f>_xlfn.XLOOKUP(Clean_Data[[#This Row],[Country]],country_region[Country],country_region[Country_Standard],"Not found")</f>
        <v>Japan</v>
      </c>
      <c r="Q258" s="5" t="str">
        <f>_xlfn.XLOOKUP(Clean_Data[[#This Row],[Country]],country_region[Country],country_region[Region],"Not found")</f>
        <v>East Asia</v>
      </c>
      <c r="R258" s="5" t="str">
        <f>_xlfn.XLOOKUP(Clean_Data[[#This Row],[Type of Event]],event_type_category[Type of Event],event_type_category[Category],"Not found")</f>
        <v>War &amp; Conflict</v>
      </c>
    </row>
    <row r="259" spans="1:18">
      <c r="A259">
        <v>284</v>
      </c>
      <c r="B259" t="s">
        <v>4901</v>
      </c>
      <c r="E259" t="s">
        <v>1307</v>
      </c>
      <c r="F259" t="s">
        <v>1233</v>
      </c>
      <c r="G259" t="s">
        <v>138</v>
      </c>
      <c r="H259" t="s">
        <v>1308</v>
      </c>
      <c r="I259" t="s">
        <v>1351</v>
      </c>
      <c r="J259" t="s">
        <v>1310</v>
      </c>
      <c r="K259" t="s">
        <v>1311</v>
      </c>
      <c r="L259" t="s">
        <v>21</v>
      </c>
      <c r="M259">
        <v>1894</v>
      </c>
      <c r="N259" s="5">
        <f>ROUNDUP(Clean_Data[[#This Row],[Year_Num]]/100,0)</f>
        <v>19</v>
      </c>
      <c r="O259" s="5" t="str" cm="1">
        <f t="array" ref="O259">_xlfn.LET(_xlpm.y,Clean_Data[[#This Row],[Year_Num]],_xlfn.IFS(_xlpm.y&lt;500,"Ancient",_xlpm.y&lt;1500,"Medieval",_xlpm.y&lt;1800,"Early Modern",_xlpm.y&lt;1946,"Modern",TRUE,"Contemporary"))</f>
        <v>Modern</v>
      </c>
      <c r="P259" s="5" t="str">
        <f>_xlfn.XLOOKUP(Clean_Data[[#This Row],[Country]],country_region[Country],country_region[Country_Standard],"Not found")</f>
        <v>Japan</v>
      </c>
      <c r="Q259" s="5" t="str">
        <f>_xlfn.XLOOKUP(Clean_Data[[#This Row],[Country]],country_region[Country],country_region[Region],"Not found")</f>
        <v>East Asia</v>
      </c>
      <c r="R259" s="5" t="str">
        <f>_xlfn.XLOOKUP(Clean_Data[[#This Row],[Type of Event]],event_type_category[Type of Event],event_type_category[Category],"Not found")</f>
        <v>War &amp; Conflict</v>
      </c>
    </row>
    <row r="260" spans="1:18">
      <c r="A260">
        <v>285</v>
      </c>
      <c r="B260" t="s">
        <v>4902</v>
      </c>
      <c r="C260" t="s">
        <v>325</v>
      </c>
      <c r="D260" t="s">
        <v>57</v>
      </c>
      <c r="E260" t="s">
        <v>1353</v>
      </c>
      <c r="F260" t="s">
        <v>1233</v>
      </c>
      <c r="G260" t="s">
        <v>581</v>
      </c>
      <c r="H260" t="s">
        <v>1354</v>
      </c>
      <c r="I260" t="s">
        <v>1355</v>
      </c>
      <c r="J260" t="s">
        <v>1356</v>
      </c>
      <c r="K260" t="s">
        <v>1357</v>
      </c>
      <c r="L260" t="s">
        <v>54</v>
      </c>
      <c r="M260">
        <v>1910</v>
      </c>
      <c r="N260" s="5">
        <f>ROUNDUP(Clean_Data[[#This Row],[Year_Num]]/100,0)</f>
        <v>20</v>
      </c>
      <c r="O260" s="5" t="str" cm="1">
        <f t="array" ref="O260">_xlfn.LET(_xlpm.y,Clean_Data[[#This Row],[Year_Num]],_xlfn.IFS(_xlpm.y&lt;500,"Ancient",_xlpm.y&lt;1500,"Medieval",_xlpm.y&lt;1800,"Early Modern",_xlpm.y&lt;1946,"Modern",TRUE,"Contemporary"))</f>
        <v>Modern</v>
      </c>
      <c r="P260" s="5" t="str">
        <f>_xlfn.XLOOKUP(Clean_Data[[#This Row],[Country]],country_region[Country],country_region[Country_Standard],"Not found")</f>
        <v>Japan</v>
      </c>
      <c r="Q260" s="5" t="str">
        <f>_xlfn.XLOOKUP(Clean_Data[[#This Row],[Country]],country_region[Country],country_region[Region],"Not found")</f>
        <v>East Asia</v>
      </c>
      <c r="R260" s="5" t="str">
        <f>_xlfn.XLOOKUP(Clean_Data[[#This Row],[Type of Event]],event_type_category[Type of Event],event_type_category[Category],"Not found")</f>
        <v>Diplomacy &amp; International Relations</v>
      </c>
    </row>
    <row r="261" spans="1:18">
      <c r="A261">
        <v>286</v>
      </c>
      <c r="B261" t="s">
        <v>1358</v>
      </c>
      <c r="E261" t="s">
        <v>387</v>
      </c>
      <c r="F261" t="s">
        <v>1233</v>
      </c>
      <c r="G261" t="s">
        <v>489</v>
      </c>
      <c r="H261" t="s">
        <v>1359</v>
      </c>
      <c r="I261" t="s">
        <v>1360</v>
      </c>
      <c r="J261" t="s">
        <v>79</v>
      </c>
      <c r="K261" t="s">
        <v>1361</v>
      </c>
      <c r="L261" t="s">
        <v>21</v>
      </c>
      <c r="M261">
        <v>1922</v>
      </c>
      <c r="N261" s="5">
        <f>ROUNDUP(Clean_Data[[#This Row],[Year_Num]]/100,0)</f>
        <v>20</v>
      </c>
      <c r="O261" s="5" t="str" cm="1">
        <f t="array" ref="O261">_xlfn.LET(_xlpm.y,Clean_Data[[#This Row],[Year_Num]],_xlfn.IFS(_xlpm.y&lt;500,"Ancient",_xlpm.y&lt;1500,"Medieval",_xlpm.y&lt;1800,"Early Modern",_xlpm.y&lt;1946,"Modern",TRUE,"Contemporary"))</f>
        <v>Modern</v>
      </c>
      <c r="P261" s="5" t="str">
        <f>_xlfn.XLOOKUP(Clean_Data[[#This Row],[Country]],country_region[Country],country_region[Country_Standard],"Not found")</f>
        <v>Japan</v>
      </c>
      <c r="Q261" s="5" t="str">
        <f>_xlfn.XLOOKUP(Clean_Data[[#This Row],[Country]],country_region[Country],country_region[Region],"Not found")</f>
        <v>East Asia</v>
      </c>
      <c r="R261" s="5" t="str">
        <f>_xlfn.XLOOKUP(Clean_Data[[#This Row],[Type of Event]],event_type_category[Type of Event],event_type_category[Category],"Not found")</f>
        <v>Diplomacy &amp; International Relations</v>
      </c>
    </row>
    <row r="262" spans="1:18">
      <c r="A262">
        <v>287</v>
      </c>
      <c r="B262" t="s">
        <v>1362</v>
      </c>
      <c r="C262" t="s">
        <v>195</v>
      </c>
      <c r="D262" t="s">
        <v>286</v>
      </c>
      <c r="E262" t="s">
        <v>732</v>
      </c>
      <c r="F262" t="s">
        <v>1233</v>
      </c>
      <c r="G262" t="s">
        <v>1363</v>
      </c>
      <c r="H262" t="s">
        <v>1317</v>
      </c>
      <c r="I262" t="s">
        <v>1364</v>
      </c>
      <c r="J262" t="s">
        <v>1319</v>
      </c>
      <c r="K262" t="s">
        <v>1320</v>
      </c>
      <c r="L262" t="s">
        <v>54</v>
      </c>
      <c r="M262">
        <v>1931</v>
      </c>
      <c r="N262" s="5">
        <f>ROUNDUP(Clean_Data[[#This Row],[Year_Num]]/100,0)</f>
        <v>20</v>
      </c>
      <c r="O262" s="5" t="str" cm="1">
        <f t="array" ref="O262">_xlfn.LET(_xlpm.y,Clean_Data[[#This Row],[Year_Num]],_xlfn.IFS(_xlpm.y&lt;500,"Ancient",_xlpm.y&lt;1500,"Medieval",_xlpm.y&lt;1800,"Early Modern",_xlpm.y&lt;1946,"Modern",TRUE,"Contemporary"))</f>
        <v>Modern</v>
      </c>
      <c r="P262" s="5" t="str">
        <f>_xlfn.XLOOKUP(Clean_Data[[#This Row],[Country]],country_region[Country],country_region[Country_Standard],"Not found")</f>
        <v>Japan</v>
      </c>
      <c r="Q262" s="5" t="str">
        <f>_xlfn.XLOOKUP(Clean_Data[[#This Row],[Country]],country_region[Country],country_region[Region],"Not found")</f>
        <v>East Asia</v>
      </c>
      <c r="R262" s="5" t="str">
        <f>_xlfn.XLOOKUP(Clean_Data[[#This Row],[Type of Event]],event_type_category[Type of Event],event_type_category[Category],"Not found")</f>
        <v>War &amp; Conflict</v>
      </c>
    </row>
    <row r="263" spans="1:18">
      <c r="A263">
        <v>288</v>
      </c>
      <c r="B263" t="s">
        <v>1365</v>
      </c>
      <c r="C263" t="s">
        <v>115</v>
      </c>
      <c r="D263" t="s">
        <v>211</v>
      </c>
      <c r="E263" t="s">
        <v>889</v>
      </c>
      <c r="F263" t="s">
        <v>1233</v>
      </c>
      <c r="G263" t="s">
        <v>138</v>
      </c>
      <c r="H263" t="s">
        <v>1366</v>
      </c>
      <c r="I263" t="s">
        <v>4903</v>
      </c>
      <c r="J263" t="s">
        <v>1319</v>
      </c>
      <c r="K263" t="s">
        <v>1368</v>
      </c>
      <c r="L263" t="s">
        <v>54</v>
      </c>
      <c r="M263">
        <v>1937</v>
      </c>
      <c r="N263" s="5">
        <f>ROUNDUP(Clean_Data[[#This Row],[Year_Num]]/100,0)</f>
        <v>20</v>
      </c>
      <c r="O263" s="5" t="str" cm="1">
        <f t="array" ref="O263">_xlfn.LET(_xlpm.y,Clean_Data[[#This Row],[Year_Num]],_xlfn.IFS(_xlpm.y&lt;500,"Ancient",_xlpm.y&lt;1500,"Medieval",_xlpm.y&lt;1800,"Early Modern",_xlpm.y&lt;1946,"Modern",TRUE,"Contemporary"))</f>
        <v>Modern</v>
      </c>
      <c r="P263" s="5" t="str">
        <f>_xlfn.XLOOKUP(Clean_Data[[#This Row],[Country]],country_region[Country],country_region[Country_Standard],"Not found")</f>
        <v>Japan</v>
      </c>
      <c r="Q263" s="5" t="str">
        <f>_xlfn.XLOOKUP(Clean_Data[[#This Row],[Country]],country_region[Country],country_region[Region],"Not found")</f>
        <v>East Asia</v>
      </c>
      <c r="R263" s="5" t="str">
        <f>_xlfn.XLOOKUP(Clean_Data[[#This Row],[Type of Event]],event_type_category[Type of Event],event_type_category[Category],"Not found")</f>
        <v>War &amp; Conflict</v>
      </c>
    </row>
    <row r="264" spans="1:18">
      <c r="A264">
        <v>289</v>
      </c>
      <c r="B264" t="s">
        <v>1369</v>
      </c>
      <c r="C264" t="s">
        <v>331</v>
      </c>
      <c r="D264" t="s">
        <v>286</v>
      </c>
      <c r="E264" t="s">
        <v>682</v>
      </c>
      <c r="F264" t="s">
        <v>1233</v>
      </c>
      <c r="G264" t="s">
        <v>1370</v>
      </c>
      <c r="H264" t="s">
        <v>1371</v>
      </c>
      <c r="I264" t="s">
        <v>4904</v>
      </c>
      <c r="J264" t="s">
        <v>1373</v>
      </c>
      <c r="K264" t="s">
        <v>1374</v>
      </c>
      <c r="L264" t="s">
        <v>54</v>
      </c>
      <c r="M264">
        <v>1945</v>
      </c>
      <c r="N264" s="5">
        <f>ROUNDUP(Clean_Data[[#This Row],[Year_Num]]/100,0)</f>
        <v>20</v>
      </c>
      <c r="O264" s="5" t="str" cm="1">
        <f t="array" ref="O264">_xlfn.LET(_xlpm.y,Clean_Data[[#This Row],[Year_Num]],_xlfn.IFS(_xlpm.y&lt;500,"Ancient",_xlpm.y&lt;1500,"Medieval",_xlpm.y&lt;1800,"Early Modern",_xlpm.y&lt;1946,"Modern",TRUE,"Contemporary"))</f>
        <v>Modern</v>
      </c>
      <c r="P264" s="5" t="str">
        <f>_xlfn.XLOOKUP(Clean_Data[[#This Row],[Country]],country_region[Country],country_region[Country_Standard],"Not found")</f>
        <v>Japan</v>
      </c>
      <c r="Q264" s="5" t="str">
        <f>_xlfn.XLOOKUP(Clean_Data[[#This Row],[Country]],country_region[Country],country_region[Region],"Not found")</f>
        <v>East Asia</v>
      </c>
      <c r="R264" s="5" t="str">
        <f>_xlfn.XLOOKUP(Clean_Data[[#This Row],[Type of Event]],event_type_category[Type of Event],event_type_category[Category],"Not found")</f>
        <v>War &amp; Conflict</v>
      </c>
    </row>
    <row r="265" spans="1:18">
      <c r="A265">
        <v>290</v>
      </c>
      <c r="B265" t="s">
        <v>1375</v>
      </c>
      <c r="C265" t="s">
        <v>298</v>
      </c>
      <c r="D265" t="s">
        <v>286</v>
      </c>
      <c r="E265" t="s">
        <v>185</v>
      </c>
      <c r="F265" t="s">
        <v>1233</v>
      </c>
      <c r="G265" t="s">
        <v>1094</v>
      </c>
      <c r="H265" t="s">
        <v>1376</v>
      </c>
      <c r="I265" t="s">
        <v>1377</v>
      </c>
      <c r="J265" t="s">
        <v>1373</v>
      </c>
      <c r="K265" t="s">
        <v>1378</v>
      </c>
      <c r="L265" t="s">
        <v>21</v>
      </c>
      <c r="M265">
        <v>1951</v>
      </c>
      <c r="N265" s="5">
        <f>ROUNDUP(Clean_Data[[#This Row],[Year_Num]]/100,0)</f>
        <v>20</v>
      </c>
      <c r="O265" s="5" t="str" cm="1">
        <f t="array" ref="O265">_xlfn.LET(_xlpm.y,Clean_Data[[#This Row],[Year_Num]],_xlfn.IFS(_xlpm.y&lt;500,"Ancient",_xlpm.y&lt;1500,"Medieval",_xlpm.y&lt;1800,"Early Modern",_xlpm.y&lt;1946,"Modern",TRUE,"Contemporary"))</f>
        <v>Contemporary</v>
      </c>
      <c r="P265" s="5" t="str">
        <f>_xlfn.XLOOKUP(Clean_Data[[#This Row],[Country]],country_region[Country],country_region[Country_Standard],"Not found")</f>
        <v>Japan</v>
      </c>
      <c r="Q265" s="5" t="str">
        <f>_xlfn.XLOOKUP(Clean_Data[[#This Row],[Country]],country_region[Country],country_region[Region],"Not found")</f>
        <v>East Asia</v>
      </c>
      <c r="R265" s="5" t="str">
        <f>_xlfn.XLOOKUP(Clean_Data[[#This Row],[Type of Event]],event_type_category[Type of Event],event_type_category[Category],"Not found")</f>
        <v>Diplomacy &amp; International Relations</v>
      </c>
    </row>
    <row r="266" spans="1:18">
      <c r="A266">
        <v>291</v>
      </c>
      <c r="B266" t="s">
        <v>1379</v>
      </c>
      <c r="C266" t="s">
        <v>195</v>
      </c>
      <c r="D266" t="s">
        <v>66</v>
      </c>
      <c r="E266" t="s">
        <v>494</v>
      </c>
      <c r="F266" t="s">
        <v>1233</v>
      </c>
      <c r="G266" t="s">
        <v>489</v>
      </c>
      <c r="H266" t="s">
        <v>490</v>
      </c>
      <c r="I266" t="s">
        <v>1380</v>
      </c>
      <c r="J266" t="s">
        <v>345</v>
      </c>
      <c r="K266" t="s">
        <v>1381</v>
      </c>
      <c r="L266" t="s">
        <v>21</v>
      </c>
      <c r="M266">
        <v>1956</v>
      </c>
      <c r="N266" s="5">
        <f>ROUNDUP(Clean_Data[[#This Row],[Year_Num]]/100,0)</f>
        <v>20</v>
      </c>
      <c r="O266" s="5" t="str" cm="1">
        <f t="array" ref="O266">_xlfn.LET(_xlpm.y,Clean_Data[[#This Row],[Year_Num]],_xlfn.IFS(_xlpm.y&lt;500,"Ancient",_xlpm.y&lt;1500,"Medieval",_xlpm.y&lt;1800,"Early Modern",_xlpm.y&lt;1946,"Modern",TRUE,"Contemporary"))</f>
        <v>Contemporary</v>
      </c>
      <c r="P266" s="5" t="str">
        <f>_xlfn.XLOOKUP(Clean_Data[[#This Row],[Country]],country_region[Country],country_region[Country_Standard],"Not found")</f>
        <v>Japan</v>
      </c>
      <c r="Q266" s="5" t="str">
        <f>_xlfn.XLOOKUP(Clean_Data[[#This Row],[Country]],country_region[Country],country_region[Region],"Not found")</f>
        <v>East Asia</v>
      </c>
      <c r="R266" s="5" t="str">
        <f>_xlfn.XLOOKUP(Clean_Data[[#This Row],[Type of Event]],event_type_category[Type of Event],event_type_category[Category],"Not found")</f>
        <v>Diplomacy &amp; International Relations</v>
      </c>
    </row>
    <row r="267" spans="1:18">
      <c r="A267">
        <v>292</v>
      </c>
      <c r="B267" t="s">
        <v>1382</v>
      </c>
      <c r="E267" t="s">
        <v>123</v>
      </c>
      <c r="F267" t="s">
        <v>1233</v>
      </c>
      <c r="G267" t="s">
        <v>213</v>
      </c>
      <c r="H267" t="s">
        <v>1233</v>
      </c>
      <c r="I267" t="s">
        <v>1383</v>
      </c>
      <c r="J267" t="s">
        <v>1384</v>
      </c>
      <c r="K267" t="s">
        <v>1385</v>
      </c>
      <c r="L267" t="s">
        <v>21</v>
      </c>
      <c r="M267">
        <v>1960</v>
      </c>
      <c r="N267" s="5">
        <f>ROUNDUP(Clean_Data[[#This Row],[Year_Num]]/100,0)</f>
        <v>20</v>
      </c>
      <c r="O267" s="5" t="str" cm="1">
        <f t="array" ref="O267">_xlfn.LET(_xlpm.y,Clean_Data[[#This Row],[Year_Num]],_xlfn.IFS(_xlpm.y&lt;500,"Ancient",_xlpm.y&lt;1500,"Medieval",_xlpm.y&lt;1800,"Early Modern",_xlpm.y&lt;1946,"Modern",TRUE,"Contemporary"))</f>
        <v>Contemporary</v>
      </c>
      <c r="P267" s="5" t="str">
        <f>_xlfn.XLOOKUP(Clean_Data[[#This Row],[Country]],country_region[Country],country_region[Country_Standard],"Not found")</f>
        <v>Japan</v>
      </c>
      <c r="Q267" s="5" t="str">
        <f>_xlfn.XLOOKUP(Clean_Data[[#This Row],[Country]],country_region[Country],country_region[Region],"Not found")</f>
        <v>East Asia</v>
      </c>
      <c r="R267" s="5" t="str">
        <f>_xlfn.XLOOKUP(Clean_Data[[#This Row],[Type of Event]],event_type_category[Type of Event],event_type_category[Category],"Not found")</f>
        <v>Economy &amp; Infrastructure</v>
      </c>
    </row>
    <row r="268" spans="1:18">
      <c r="A268">
        <v>293</v>
      </c>
      <c r="B268" t="s">
        <v>1386</v>
      </c>
      <c r="C268" t="s">
        <v>107</v>
      </c>
      <c r="D268" t="s">
        <v>158</v>
      </c>
      <c r="E268" t="s">
        <v>1387</v>
      </c>
      <c r="F268" t="s">
        <v>1233</v>
      </c>
      <c r="G268" t="s">
        <v>827</v>
      </c>
      <c r="H268" t="s">
        <v>1388</v>
      </c>
      <c r="I268" t="s">
        <v>1389</v>
      </c>
      <c r="J268" t="s">
        <v>830</v>
      </c>
      <c r="K268" t="s">
        <v>1381</v>
      </c>
      <c r="L268" t="s">
        <v>21</v>
      </c>
      <c r="M268">
        <v>1964</v>
      </c>
      <c r="N268" s="5">
        <f>ROUNDUP(Clean_Data[[#This Row],[Year_Num]]/100,0)</f>
        <v>20</v>
      </c>
      <c r="O268" s="5" t="str" cm="1">
        <f t="array" ref="O268">_xlfn.LET(_xlpm.y,Clean_Data[[#This Row],[Year_Num]],_xlfn.IFS(_xlpm.y&lt;500,"Ancient",_xlpm.y&lt;1500,"Medieval",_xlpm.y&lt;1800,"Early Modern",_xlpm.y&lt;1946,"Modern",TRUE,"Contemporary"))</f>
        <v>Contemporary</v>
      </c>
      <c r="P268" s="5" t="str">
        <f>_xlfn.XLOOKUP(Clean_Data[[#This Row],[Country]],country_region[Country],country_region[Country_Standard],"Not found")</f>
        <v>Japan</v>
      </c>
      <c r="Q268" s="5" t="str">
        <f>_xlfn.XLOOKUP(Clean_Data[[#This Row],[Country]],country_region[Country],country_region[Region],"Not found")</f>
        <v>East Asia</v>
      </c>
      <c r="R268" s="5" t="str">
        <f>_xlfn.XLOOKUP(Clean_Data[[#This Row],[Type of Event]],event_type_category[Type of Event],event_type_category[Category],"Not found")</f>
        <v>Culture, Religion &amp; Sport</v>
      </c>
    </row>
    <row r="269" spans="1:18">
      <c r="A269">
        <v>294</v>
      </c>
      <c r="B269" t="s">
        <v>1390</v>
      </c>
      <c r="C269" t="s">
        <v>56</v>
      </c>
      <c r="D269" t="s">
        <v>267</v>
      </c>
      <c r="E269" t="s">
        <v>1391</v>
      </c>
      <c r="F269" t="s">
        <v>1233</v>
      </c>
      <c r="G269" t="s">
        <v>1392</v>
      </c>
      <c r="H269" t="s">
        <v>1393</v>
      </c>
      <c r="I269" t="s">
        <v>1394</v>
      </c>
      <c r="J269" t="s">
        <v>997</v>
      </c>
      <c r="K269" t="s">
        <v>1381</v>
      </c>
      <c r="L269" t="s">
        <v>21</v>
      </c>
      <c r="M269">
        <v>1970</v>
      </c>
      <c r="N269" s="5">
        <f>ROUNDUP(Clean_Data[[#This Row],[Year_Num]]/100,0)</f>
        <v>20</v>
      </c>
      <c r="O269" s="5" t="str" cm="1">
        <f t="array" ref="O269">_xlfn.LET(_xlpm.y,Clean_Data[[#This Row],[Year_Num]],_xlfn.IFS(_xlpm.y&lt;500,"Ancient",_xlpm.y&lt;1500,"Medieval",_xlpm.y&lt;1800,"Early Modern",_xlpm.y&lt;1946,"Modern",TRUE,"Contemporary"))</f>
        <v>Contemporary</v>
      </c>
      <c r="P269" s="5" t="str">
        <f>_xlfn.XLOOKUP(Clean_Data[[#This Row],[Country]],country_region[Country],country_region[Country_Standard],"Not found")</f>
        <v>Japan</v>
      </c>
      <c r="Q269" s="5" t="str">
        <f>_xlfn.XLOOKUP(Clean_Data[[#This Row],[Country]],country_region[Country],country_region[Region],"Not found")</f>
        <v>East Asia</v>
      </c>
      <c r="R269" s="5" t="str">
        <f>_xlfn.XLOOKUP(Clean_Data[[#This Row],[Type of Event]],event_type_category[Type of Event],event_type_category[Category],"Not found")</f>
        <v>Culture, Religion &amp; Sport</v>
      </c>
    </row>
    <row r="270" spans="1:18">
      <c r="A270">
        <v>295</v>
      </c>
      <c r="B270" t="s">
        <v>1395</v>
      </c>
      <c r="C270" t="s">
        <v>158</v>
      </c>
      <c r="E270" t="s">
        <v>1396</v>
      </c>
      <c r="F270" t="s">
        <v>1233</v>
      </c>
      <c r="G270" t="s">
        <v>1199</v>
      </c>
      <c r="H270" t="s">
        <v>1233</v>
      </c>
      <c r="I270" t="s">
        <v>4905</v>
      </c>
      <c r="J270" t="s">
        <v>1398</v>
      </c>
      <c r="K270" t="s">
        <v>1381</v>
      </c>
      <c r="L270" t="s">
        <v>36</v>
      </c>
      <c r="M270">
        <v>1973</v>
      </c>
      <c r="N270" s="5">
        <f>ROUNDUP(Clean_Data[[#This Row],[Year_Num]]/100,0)</f>
        <v>20</v>
      </c>
      <c r="O270" s="5" t="str" cm="1">
        <f t="array" ref="O270">_xlfn.LET(_xlpm.y,Clean_Data[[#This Row],[Year_Num]],_xlfn.IFS(_xlpm.y&lt;500,"Ancient",_xlpm.y&lt;1500,"Medieval",_xlpm.y&lt;1800,"Early Modern",_xlpm.y&lt;1946,"Modern",TRUE,"Contemporary"))</f>
        <v>Contemporary</v>
      </c>
      <c r="P270" s="5" t="str">
        <f>_xlfn.XLOOKUP(Clean_Data[[#This Row],[Country]],country_region[Country],country_region[Country_Standard],"Not found")</f>
        <v>Japan</v>
      </c>
      <c r="Q270" s="5" t="str">
        <f>_xlfn.XLOOKUP(Clean_Data[[#This Row],[Country]],country_region[Country],country_region[Region],"Not found")</f>
        <v>East Asia</v>
      </c>
      <c r="R270" s="5" t="str">
        <f>_xlfn.XLOOKUP(Clean_Data[[#This Row],[Type of Event]],event_type_category[Type of Event],event_type_category[Category],"Not found")</f>
        <v>Economy &amp; Infrastructure</v>
      </c>
    </row>
    <row r="271" spans="1:18">
      <c r="A271">
        <v>296</v>
      </c>
      <c r="B271" t="s">
        <v>4906</v>
      </c>
      <c r="C271" t="s">
        <v>633</v>
      </c>
      <c r="D271" t="s">
        <v>286</v>
      </c>
      <c r="E271" t="s">
        <v>591</v>
      </c>
      <c r="F271" t="s">
        <v>1233</v>
      </c>
      <c r="G271" t="s">
        <v>1400</v>
      </c>
      <c r="H271" t="s">
        <v>828</v>
      </c>
      <c r="I271" t="s">
        <v>4907</v>
      </c>
      <c r="J271" t="s">
        <v>1402</v>
      </c>
      <c r="K271" t="s">
        <v>1403</v>
      </c>
      <c r="L271" t="s">
        <v>21</v>
      </c>
      <c r="M271">
        <v>1972</v>
      </c>
      <c r="N271" s="5">
        <f>ROUNDUP(Clean_Data[[#This Row],[Year_Num]]/100,0)</f>
        <v>20</v>
      </c>
      <c r="O271" s="5" t="str" cm="1">
        <f t="array" ref="O271">_xlfn.LET(_xlpm.y,Clean_Data[[#This Row],[Year_Num]],_xlfn.IFS(_xlpm.y&lt;500,"Ancient",_xlpm.y&lt;1500,"Medieval",_xlpm.y&lt;1800,"Early Modern",_xlpm.y&lt;1946,"Modern",TRUE,"Contemporary"))</f>
        <v>Contemporary</v>
      </c>
      <c r="P271" s="5" t="str">
        <f>_xlfn.XLOOKUP(Clean_Data[[#This Row],[Country]],country_region[Country],country_region[Country_Standard],"Not found")</f>
        <v>Japan</v>
      </c>
      <c r="Q271" s="5" t="str">
        <f>_xlfn.XLOOKUP(Clean_Data[[#This Row],[Country]],country_region[Country],country_region[Region],"Not found")</f>
        <v>East Asia</v>
      </c>
      <c r="R271" s="5" t="str">
        <f>_xlfn.XLOOKUP(Clean_Data[[#This Row],[Type of Event]],event_type_category[Type of Event],event_type_category[Category],"Not found")</f>
        <v>Diplomacy &amp; International Relations</v>
      </c>
    </row>
    <row r="272" spans="1:18">
      <c r="A272">
        <v>298</v>
      </c>
      <c r="B272" t="s">
        <v>1404</v>
      </c>
      <c r="C272" t="s">
        <v>298</v>
      </c>
      <c r="D272" t="s">
        <v>260</v>
      </c>
      <c r="E272" t="s">
        <v>966</v>
      </c>
      <c r="F272" t="s">
        <v>1233</v>
      </c>
      <c r="G272" t="s">
        <v>1405</v>
      </c>
      <c r="H272" t="s">
        <v>1233</v>
      </c>
      <c r="I272" t="s">
        <v>1406</v>
      </c>
      <c r="J272" t="s">
        <v>1373</v>
      </c>
      <c r="K272" t="s">
        <v>1407</v>
      </c>
      <c r="L272" t="s">
        <v>21</v>
      </c>
      <c r="M272">
        <v>1989</v>
      </c>
      <c r="N272" s="5">
        <f>ROUNDUP(Clean_Data[[#This Row],[Year_Num]]/100,0)</f>
        <v>20</v>
      </c>
      <c r="O272" s="5" t="str" cm="1">
        <f t="array" ref="O272">_xlfn.LET(_xlpm.y,Clean_Data[[#This Row],[Year_Num]],_xlfn.IFS(_xlpm.y&lt;500,"Ancient",_xlpm.y&lt;1500,"Medieval",_xlpm.y&lt;1800,"Early Modern",_xlpm.y&lt;1946,"Modern",TRUE,"Contemporary"))</f>
        <v>Contemporary</v>
      </c>
      <c r="P272" s="5" t="str">
        <f>_xlfn.XLOOKUP(Clean_Data[[#This Row],[Country]],country_region[Country],country_region[Country_Standard],"Not found")</f>
        <v>Japan</v>
      </c>
      <c r="Q272" s="5" t="str">
        <f>_xlfn.XLOOKUP(Clean_Data[[#This Row],[Country]],country_region[Country],country_region[Region],"Not found")</f>
        <v>East Asia</v>
      </c>
      <c r="R272" s="5" t="str">
        <f>_xlfn.XLOOKUP(Clean_Data[[#This Row],[Type of Event]],event_type_category[Type of Event],event_type_category[Category],"Not found")</f>
        <v>Culture, Religion &amp; Sport</v>
      </c>
    </row>
    <row r="273" spans="1:18">
      <c r="A273">
        <v>299</v>
      </c>
      <c r="B273" t="s">
        <v>1408</v>
      </c>
      <c r="C273" t="s">
        <v>1129</v>
      </c>
      <c r="D273" t="s">
        <v>260</v>
      </c>
      <c r="E273" t="s">
        <v>1409</v>
      </c>
      <c r="F273" t="s">
        <v>1233</v>
      </c>
      <c r="G273" t="s">
        <v>280</v>
      </c>
      <c r="H273" t="s">
        <v>1410</v>
      </c>
      <c r="I273" t="s">
        <v>1411</v>
      </c>
      <c r="J273" t="s">
        <v>1412</v>
      </c>
      <c r="L273" t="s">
        <v>54</v>
      </c>
      <c r="M273">
        <v>1995</v>
      </c>
      <c r="N273" s="5">
        <f>ROUNDUP(Clean_Data[[#This Row],[Year_Num]]/100,0)</f>
        <v>20</v>
      </c>
      <c r="O273" s="5" t="str" cm="1">
        <f t="array" ref="O273">_xlfn.LET(_xlpm.y,Clean_Data[[#This Row],[Year_Num]],_xlfn.IFS(_xlpm.y&lt;500,"Ancient",_xlpm.y&lt;1500,"Medieval",_xlpm.y&lt;1800,"Early Modern",_xlpm.y&lt;1946,"Modern",TRUE,"Contemporary"))</f>
        <v>Contemporary</v>
      </c>
      <c r="P273" s="5" t="str">
        <f>_xlfn.XLOOKUP(Clean_Data[[#This Row],[Country]],country_region[Country],country_region[Country_Standard],"Not found")</f>
        <v>Japan</v>
      </c>
      <c r="Q273" s="5" t="str">
        <f>_xlfn.XLOOKUP(Clean_Data[[#This Row],[Country]],country_region[Country],country_region[Region],"Not found")</f>
        <v>East Asia</v>
      </c>
      <c r="R273" s="5" t="str">
        <f>_xlfn.XLOOKUP(Clean_Data[[#This Row],[Type of Event]],event_type_category[Type of Event],event_type_category[Category],"Not found")</f>
        <v>Disasters &amp; Accidents</v>
      </c>
    </row>
    <row r="274" spans="1:18">
      <c r="A274">
        <v>300</v>
      </c>
      <c r="B274" t="s">
        <v>1413</v>
      </c>
      <c r="C274" t="s">
        <v>91</v>
      </c>
      <c r="D274" t="s">
        <v>267</v>
      </c>
      <c r="E274" t="s">
        <v>1409</v>
      </c>
      <c r="F274" t="s">
        <v>1233</v>
      </c>
      <c r="G274" t="s">
        <v>85</v>
      </c>
      <c r="H274" t="s">
        <v>1388</v>
      </c>
      <c r="I274" t="s">
        <v>1414</v>
      </c>
      <c r="J274" t="s">
        <v>1415</v>
      </c>
      <c r="K274" t="s">
        <v>1416</v>
      </c>
      <c r="L274" t="s">
        <v>54</v>
      </c>
      <c r="M274">
        <v>1995</v>
      </c>
      <c r="N274" s="5">
        <f>ROUNDUP(Clean_Data[[#This Row],[Year_Num]]/100,0)</f>
        <v>20</v>
      </c>
      <c r="O274" s="5" t="str" cm="1">
        <f t="array" ref="O274">_xlfn.LET(_xlpm.y,Clean_Data[[#This Row],[Year_Num]],_xlfn.IFS(_xlpm.y&lt;500,"Ancient",_xlpm.y&lt;1500,"Medieval",_xlpm.y&lt;1800,"Early Modern",_xlpm.y&lt;1946,"Modern",TRUE,"Contemporary"))</f>
        <v>Contemporary</v>
      </c>
      <c r="P274" s="5" t="str">
        <f>_xlfn.XLOOKUP(Clean_Data[[#This Row],[Country]],country_region[Country],country_region[Country_Standard],"Not found")</f>
        <v>Japan</v>
      </c>
      <c r="Q274" s="5" t="str">
        <f>_xlfn.XLOOKUP(Clean_Data[[#This Row],[Country]],country_region[Country],country_region[Region],"Not found")</f>
        <v>East Asia</v>
      </c>
      <c r="R274" s="5" t="str">
        <f>_xlfn.XLOOKUP(Clean_Data[[#This Row],[Type of Event]],event_type_category[Type of Event],event_type_category[Category],"Not found")</f>
        <v>War &amp; Conflict</v>
      </c>
    </row>
    <row r="275" spans="1:18">
      <c r="A275">
        <v>302</v>
      </c>
      <c r="B275" t="s">
        <v>1417</v>
      </c>
      <c r="C275" t="s">
        <v>56</v>
      </c>
      <c r="D275" t="s">
        <v>57</v>
      </c>
      <c r="E275" t="s">
        <v>1409</v>
      </c>
      <c r="F275" t="s">
        <v>1233</v>
      </c>
      <c r="G275" t="s">
        <v>1418</v>
      </c>
      <c r="H275" t="s">
        <v>1233</v>
      </c>
      <c r="I275" t="s">
        <v>1419</v>
      </c>
      <c r="J275" t="s">
        <v>1420</v>
      </c>
      <c r="K275" t="s">
        <v>1421</v>
      </c>
      <c r="L275" t="s">
        <v>21</v>
      </c>
      <c r="M275">
        <v>1995</v>
      </c>
      <c r="N275" s="5">
        <f>ROUNDUP(Clean_Data[[#This Row],[Year_Num]]/100,0)</f>
        <v>20</v>
      </c>
      <c r="O275" s="5" t="str" cm="1">
        <f t="array" ref="O275">_xlfn.LET(_xlpm.y,Clean_Data[[#This Row],[Year_Num]],_xlfn.IFS(_xlpm.y&lt;500,"Ancient",_xlpm.y&lt;1500,"Medieval",_xlpm.y&lt;1800,"Early Modern",_xlpm.y&lt;1946,"Modern",TRUE,"Contemporary"))</f>
        <v>Contemporary</v>
      </c>
      <c r="P275" s="5" t="str">
        <f>_xlfn.XLOOKUP(Clean_Data[[#This Row],[Country]],country_region[Country],country_region[Country_Standard],"Not found")</f>
        <v>Japan</v>
      </c>
      <c r="Q275" s="5" t="str">
        <f>_xlfn.XLOOKUP(Clean_Data[[#This Row],[Country]],country_region[Country],country_region[Region],"Not found")</f>
        <v>East Asia</v>
      </c>
      <c r="R275" s="5" t="str">
        <f>_xlfn.XLOOKUP(Clean_Data[[#This Row],[Type of Event]],event_type_category[Type of Event],event_type_category[Category],"Not found")</f>
        <v>Diplomacy &amp; International Relations</v>
      </c>
    </row>
    <row r="276" spans="1:18">
      <c r="A276">
        <v>303</v>
      </c>
      <c r="B276" t="s">
        <v>1422</v>
      </c>
      <c r="C276" t="s">
        <v>74</v>
      </c>
      <c r="D276" t="s">
        <v>66</v>
      </c>
      <c r="E276" t="s">
        <v>600</v>
      </c>
      <c r="F276" t="s">
        <v>1233</v>
      </c>
      <c r="G276" t="s">
        <v>581</v>
      </c>
      <c r="H276" t="s">
        <v>1277</v>
      </c>
      <c r="I276" t="s">
        <v>1423</v>
      </c>
      <c r="J276" t="s">
        <v>345</v>
      </c>
      <c r="K276" t="s">
        <v>1424</v>
      </c>
      <c r="L276" t="s">
        <v>21</v>
      </c>
      <c r="M276">
        <v>1997</v>
      </c>
      <c r="N276" s="5">
        <f>ROUNDUP(Clean_Data[[#This Row],[Year_Num]]/100,0)</f>
        <v>20</v>
      </c>
      <c r="O276" s="5" t="str" cm="1">
        <f t="array" ref="O276">_xlfn.LET(_xlpm.y,Clean_Data[[#This Row],[Year_Num]],_xlfn.IFS(_xlpm.y&lt;500,"Ancient",_xlpm.y&lt;1500,"Medieval",_xlpm.y&lt;1800,"Early Modern",_xlpm.y&lt;1946,"Modern",TRUE,"Contemporary"))</f>
        <v>Contemporary</v>
      </c>
      <c r="P276" s="5" t="str">
        <f>_xlfn.XLOOKUP(Clean_Data[[#This Row],[Country]],country_region[Country],country_region[Country_Standard],"Not found")</f>
        <v>Japan</v>
      </c>
      <c r="Q276" s="5" t="str">
        <f>_xlfn.XLOOKUP(Clean_Data[[#This Row],[Country]],country_region[Country],country_region[Region],"Not found")</f>
        <v>East Asia</v>
      </c>
      <c r="R276" s="5" t="str">
        <f>_xlfn.XLOOKUP(Clean_Data[[#This Row],[Type of Event]],event_type_category[Type of Event],event_type_category[Category],"Not found")</f>
        <v>Diplomacy &amp; International Relations</v>
      </c>
    </row>
    <row r="277" spans="1:18">
      <c r="A277">
        <v>305</v>
      </c>
      <c r="B277" t="s">
        <v>1425</v>
      </c>
      <c r="C277" t="s">
        <v>74</v>
      </c>
      <c r="D277" t="s">
        <v>267</v>
      </c>
      <c r="E277" t="s">
        <v>1426</v>
      </c>
      <c r="F277" t="s">
        <v>1233</v>
      </c>
      <c r="G277" t="s">
        <v>1179</v>
      </c>
      <c r="H277" t="s">
        <v>1427</v>
      </c>
      <c r="I277" t="s">
        <v>1428</v>
      </c>
      <c r="J277" t="s">
        <v>1429</v>
      </c>
      <c r="K277" t="s">
        <v>1430</v>
      </c>
      <c r="L277" t="s">
        <v>54</v>
      </c>
      <c r="M277">
        <v>2011</v>
      </c>
      <c r="N277" s="5">
        <f>ROUNDUP(Clean_Data[[#This Row],[Year_Num]]/100,0)</f>
        <v>21</v>
      </c>
      <c r="O277" s="5" t="str" cm="1">
        <f t="array" ref="O277">_xlfn.LET(_xlpm.y,Clean_Data[[#This Row],[Year_Num]],_xlfn.IFS(_xlpm.y&lt;500,"Ancient",_xlpm.y&lt;1500,"Medieval",_xlpm.y&lt;1800,"Early Modern",_xlpm.y&lt;1946,"Modern",TRUE,"Contemporary"))</f>
        <v>Contemporary</v>
      </c>
      <c r="P277" s="5" t="str">
        <f>_xlfn.XLOOKUP(Clean_Data[[#This Row],[Country]],country_region[Country],country_region[Country_Standard],"Not found")</f>
        <v>Japan</v>
      </c>
      <c r="Q277" s="5" t="str">
        <f>_xlfn.XLOOKUP(Clean_Data[[#This Row],[Country]],country_region[Country],country_region[Region],"Not found")</f>
        <v>East Asia</v>
      </c>
      <c r="R277" s="5" t="str">
        <f>_xlfn.XLOOKUP(Clean_Data[[#This Row],[Type of Event]],event_type_category[Type of Event],event_type_category[Category],"Not found")</f>
        <v>Disasters &amp; Accidents</v>
      </c>
    </row>
    <row r="278" spans="1:18">
      <c r="A278">
        <v>306</v>
      </c>
      <c r="B278" t="s">
        <v>4908</v>
      </c>
      <c r="C278" t="s">
        <v>362</v>
      </c>
      <c r="D278" t="s">
        <v>66</v>
      </c>
      <c r="E278" t="s">
        <v>341</v>
      </c>
      <c r="F278" t="s">
        <v>1233</v>
      </c>
      <c r="G278" t="s">
        <v>1400</v>
      </c>
      <c r="H278" t="s">
        <v>1432</v>
      </c>
      <c r="I278" t="s">
        <v>4909</v>
      </c>
      <c r="J278" t="s">
        <v>1434</v>
      </c>
      <c r="K278" t="s">
        <v>4910</v>
      </c>
      <c r="L278" t="s">
        <v>36</v>
      </c>
      <c r="M278">
        <v>2015</v>
      </c>
      <c r="N278" s="5">
        <f>ROUNDUP(Clean_Data[[#This Row],[Year_Num]]/100,0)</f>
        <v>21</v>
      </c>
      <c r="O278" s="5" t="str" cm="1">
        <f t="array" ref="O278">_xlfn.LET(_xlpm.y,Clean_Data[[#This Row],[Year_Num]],_xlfn.IFS(_xlpm.y&lt;500,"Ancient",_xlpm.y&lt;1500,"Medieval",_xlpm.y&lt;1800,"Early Modern",_xlpm.y&lt;1946,"Modern",TRUE,"Contemporary"))</f>
        <v>Contemporary</v>
      </c>
      <c r="P278" s="5" t="str">
        <f>_xlfn.XLOOKUP(Clean_Data[[#This Row],[Country]],country_region[Country],country_region[Country_Standard],"Not found")</f>
        <v>Japan</v>
      </c>
      <c r="Q278" s="5" t="str">
        <f>_xlfn.XLOOKUP(Clean_Data[[#This Row],[Country]],country_region[Country],country_region[Region],"Not found")</f>
        <v>East Asia</v>
      </c>
      <c r="R278" s="5" t="str">
        <f>_xlfn.XLOOKUP(Clean_Data[[#This Row],[Type of Event]],event_type_category[Type of Event],event_type_category[Category],"Not found")</f>
        <v>Diplomacy &amp; International Relations</v>
      </c>
    </row>
    <row r="279" spans="1:18">
      <c r="A279">
        <v>307</v>
      </c>
      <c r="B279" t="s">
        <v>1436</v>
      </c>
      <c r="C279" t="s">
        <v>246</v>
      </c>
      <c r="D279" t="s">
        <v>39</v>
      </c>
      <c r="E279" t="s">
        <v>235</v>
      </c>
      <c r="F279" t="s">
        <v>1233</v>
      </c>
      <c r="G279" t="s">
        <v>1437</v>
      </c>
      <c r="H279" t="s">
        <v>1388</v>
      </c>
      <c r="I279" t="s">
        <v>1438</v>
      </c>
      <c r="J279" t="s">
        <v>1373</v>
      </c>
      <c r="K279" t="s">
        <v>1407</v>
      </c>
      <c r="L279" t="s">
        <v>21</v>
      </c>
      <c r="M279">
        <v>2019</v>
      </c>
      <c r="N279" s="5">
        <f>ROUNDUP(Clean_Data[[#This Row],[Year_Num]]/100,0)</f>
        <v>21</v>
      </c>
      <c r="O279" s="5" t="str" cm="1">
        <f t="array" ref="O279">_xlfn.LET(_xlpm.y,Clean_Data[[#This Row],[Year_Num]],_xlfn.IFS(_xlpm.y&lt;500,"Ancient",_xlpm.y&lt;1500,"Medieval",_xlpm.y&lt;1800,"Early Modern",_xlpm.y&lt;1946,"Modern",TRUE,"Contemporary"))</f>
        <v>Contemporary</v>
      </c>
      <c r="P279" s="5" t="str">
        <f>_xlfn.XLOOKUP(Clean_Data[[#This Row],[Country]],country_region[Country],country_region[Country_Standard],"Not found")</f>
        <v>Japan</v>
      </c>
      <c r="Q279" s="5" t="str">
        <f>_xlfn.XLOOKUP(Clean_Data[[#This Row],[Country]],country_region[Country],country_region[Region],"Not found")</f>
        <v>East Asia</v>
      </c>
      <c r="R279" s="5" t="str">
        <f>_xlfn.XLOOKUP(Clean_Data[[#This Row],[Type of Event]],event_type_category[Type of Event],event_type_category[Category],"Not found")</f>
        <v>Culture, Religion &amp; Sport</v>
      </c>
    </row>
    <row r="280" spans="1:18">
      <c r="A280">
        <v>308</v>
      </c>
      <c r="B280" t="s">
        <v>1439</v>
      </c>
      <c r="C280" t="s">
        <v>218</v>
      </c>
      <c r="D280" t="s">
        <v>267</v>
      </c>
      <c r="E280" t="s">
        <v>166</v>
      </c>
      <c r="F280" t="s">
        <v>1233</v>
      </c>
      <c r="G280" t="s">
        <v>827</v>
      </c>
      <c r="H280" t="s">
        <v>1388</v>
      </c>
      <c r="I280" t="s">
        <v>4911</v>
      </c>
      <c r="J280" t="s">
        <v>1441</v>
      </c>
      <c r="K280" t="s">
        <v>1442</v>
      </c>
      <c r="L280" t="s">
        <v>36</v>
      </c>
      <c r="M280">
        <v>2020</v>
      </c>
      <c r="N280" s="5">
        <f>ROUNDUP(Clean_Data[[#This Row],[Year_Num]]/100,0)</f>
        <v>21</v>
      </c>
      <c r="O280" s="5" t="str" cm="1">
        <f t="array" ref="O280">_xlfn.LET(_xlpm.y,Clean_Data[[#This Row],[Year_Num]],_xlfn.IFS(_xlpm.y&lt;500,"Ancient",_xlpm.y&lt;1500,"Medieval",_xlpm.y&lt;1800,"Early Modern",_xlpm.y&lt;1946,"Modern",TRUE,"Contemporary"))</f>
        <v>Contemporary</v>
      </c>
      <c r="P280" s="5" t="str">
        <f>_xlfn.XLOOKUP(Clean_Data[[#This Row],[Country]],country_region[Country],country_region[Country_Standard],"Not found")</f>
        <v>Japan</v>
      </c>
      <c r="Q280" s="5" t="str">
        <f>_xlfn.XLOOKUP(Clean_Data[[#This Row],[Country]],country_region[Country],country_region[Region],"Not found")</f>
        <v>East Asia</v>
      </c>
      <c r="R280" s="5" t="str">
        <f>_xlfn.XLOOKUP(Clean_Data[[#This Row],[Type of Event]],event_type_category[Type of Event],event_type_category[Category],"Not found")</f>
        <v>Culture, Religion &amp; Sport</v>
      </c>
    </row>
    <row r="281" spans="1:18">
      <c r="A281">
        <v>309</v>
      </c>
      <c r="B281" t="s">
        <v>1443</v>
      </c>
      <c r="C281" t="s">
        <v>46</v>
      </c>
      <c r="D281" t="s">
        <v>47</v>
      </c>
      <c r="E281" t="s">
        <v>235</v>
      </c>
      <c r="F281" t="s">
        <v>1233</v>
      </c>
      <c r="G281" t="s">
        <v>1405</v>
      </c>
      <c r="H281" t="s">
        <v>1233</v>
      </c>
      <c r="I281" t="s">
        <v>1444</v>
      </c>
      <c r="J281" t="s">
        <v>1373</v>
      </c>
      <c r="K281" t="s">
        <v>1445</v>
      </c>
      <c r="L281" t="s">
        <v>21</v>
      </c>
      <c r="M281">
        <v>2019</v>
      </c>
      <c r="N281" s="5">
        <f>ROUNDUP(Clean_Data[[#This Row],[Year_Num]]/100,0)</f>
        <v>21</v>
      </c>
      <c r="O281" s="5" t="str" cm="1">
        <f t="array" ref="O281">_xlfn.LET(_xlpm.y,Clean_Data[[#This Row],[Year_Num]],_xlfn.IFS(_xlpm.y&lt;500,"Ancient",_xlpm.y&lt;1500,"Medieval",_xlpm.y&lt;1800,"Early Modern",_xlpm.y&lt;1946,"Modern",TRUE,"Contemporary"))</f>
        <v>Contemporary</v>
      </c>
      <c r="P281" s="5" t="str">
        <f>_xlfn.XLOOKUP(Clean_Data[[#This Row],[Country]],country_region[Country],country_region[Country_Standard],"Not found")</f>
        <v>Japan</v>
      </c>
      <c r="Q281" s="5" t="str">
        <f>_xlfn.XLOOKUP(Clean_Data[[#This Row],[Country]],country_region[Country],country_region[Region],"Not found")</f>
        <v>East Asia</v>
      </c>
      <c r="R281" s="5" t="str">
        <f>_xlfn.XLOOKUP(Clean_Data[[#This Row],[Type of Event]],event_type_category[Type of Event],event_type_category[Category],"Not found")</f>
        <v>Culture, Religion &amp; Sport</v>
      </c>
    </row>
    <row r="282" spans="1:18">
      <c r="A282">
        <v>310</v>
      </c>
      <c r="B282" t="s">
        <v>1446</v>
      </c>
      <c r="C282" t="s">
        <v>82</v>
      </c>
      <c r="D282" t="s">
        <v>260</v>
      </c>
      <c r="E282" t="s">
        <v>1447</v>
      </c>
      <c r="F282" t="s">
        <v>1448</v>
      </c>
      <c r="G282" t="s">
        <v>1449</v>
      </c>
      <c r="H282" t="s">
        <v>1450</v>
      </c>
      <c r="I282" t="s">
        <v>1451</v>
      </c>
      <c r="J282" t="s">
        <v>1452</v>
      </c>
      <c r="K282" t="s">
        <v>1453</v>
      </c>
      <c r="L282" t="s">
        <v>36</v>
      </c>
      <c r="M282">
        <v>1788</v>
      </c>
      <c r="N282" s="5">
        <f>ROUNDUP(Clean_Data[[#This Row],[Year_Num]]/100,0)</f>
        <v>18</v>
      </c>
      <c r="O282" s="5" t="str" cm="1">
        <f t="array" ref="O282">_xlfn.LET(_xlpm.y,Clean_Data[[#This Row],[Year_Num]],_xlfn.IFS(_xlpm.y&lt;500,"Ancient",_xlpm.y&lt;1500,"Medieval",_xlpm.y&lt;1800,"Early Modern",_xlpm.y&lt;1946,"Modern",TRUE,"Contemporary"))</f>
        <v>Early Modern</v>
      </c>
      <c r="P282" s="5" t="str">
        <f>_xlfn.XLOOKUP(Clean_Data[[#This Row],[Country]],country_region[Country],country_region[Country_Standard],"Not found")</f>
        <v>Australia</v>
      </c>
      <c r="Q282" s="5" t="str">
        <f>_xlfn.XLOOKUP(Clean_Data[[#This Row],[Country]],country_region[Country],country_region[Region],"Not found")</f>
        <v>Oceania</v>
      </c>
      <c r="R282" s="5" t="str">
        <f>_xlfn.XLOOKUP(Clean_Data[[#This Row],[Type of Event]],event_type_category[Type of Event],event_type_category[Category],"Not found")</f>
        <v>Independence &amp; Nation-Building</v>
      </c>
    </row>
    <row r="283" spans="1:18">
      <c r="A283">
        <v>311</v>
      </c>
      <c r="B283" t="s">
        <v>1454</v>
      </c>
      <c r="E283" t="s">
        <v>1455</v>
      </c>
      <c r="F283" t="s">
        <v>1448</v>
      </c>
      <c r="G283" t="s">
        <v>1456</v>
      </c>
      <c r="H283" t="s">
        <v>1457</v>
      </c>
      <c r="I283" t="s">
        <v>1458</v>
      </c>
      <c r="J283" t="s">
        <v>1459</v>
      </c>
      <c r="K283" t="s">
        <v>1460</v>
      </c>
      <c r="L283" t="s">
        <v>54</v>
      </c>
      <c r="M283">
        <v>1803</v>
      </c>
      <c r="N283" s="5">
        <f>ROUNDUP(Clean_Data[[#This Row],[Year_Num]]/100,0)</f>
        <v>19</v>
      </c>
      <c r="O283" s="5" t="str" cm="1">
        <f t="array" ref="O283">_xlfn.LET(_xlpm.y,Clean_Data[[#This Row],[Year_Num]],_xlfn.IFS(_xlpm.y&lt;500,"Ancient",_xlpm.y&lt;1500,"Medieval",_xlpm.y&lt;1800,"Early Modern",_xlpm.y&lt;1946,"Modern",TRUE,"Contemporary"))</f>
        <v>Modern</v>
      </c>
      <c r="P283" s="5" t="str">
        <f>_xlfn.XLOOKUP(Clean_Data[[#This Row],[Country]],country_region[Country],country_region[Country_Standard],"Not found")</f>
        <v>Australia</v>
      </c>
      <c r="Q283" s="5" t="str">
        <f>_xlfn.XLOOKUP(Clean_Data[[#This Row],[Country]],country_region[Country],country_region[Region],"Not found")</f>
        <v>Oceania</v>
      </c>
      <c r="R283" s="5" t="str">
        <f>_xlfn.XLOOKUP(Clean_Data[[#This Row],[Type of Event]],event_type_category[Type of Event],event_type_category[Category],"Not found")</f>
        <v>Independence &amp; Nation-Building</v>
      </c>
    </row>
    <row r="284" spans="1:18">
      <c r="A284">
        <v>312</v>
      </c>
      <c r="B284" t="s">
        <v>1461</v>
      </c>
      <c r="E284" t="s">
        <v>1462</v>
      </c>
      <c r="F284" t="s">
        <v>1448</v>
      </c>
      <c r="G284" t="s">
        <v>1463</v>
      </c>
      <c r="H284" t="s">
        <v>1464</v>
      </c>
      <c r="I284" t="s">
        <v>1465</v>
      </c>
      <c r="J284" t="s">
        <v>1466</v>
      </c>
      <c r="K284" t="s">
        <v>1467</v>
      </c>
      <c r="L284" t="s">
        <v>21</v>
      </c>
      <c r="M284">
        <v>1851</v>
      </c>
      <c r="N284" s="5">
        <f>ROUNDUP(Clean_Data[[#This Row],[Year_Num]]/100,0)</f>
        <v>19</v>
      </c>
      <c r="O284" s="5" t="str" cm="1">
        <f t="array" ref="O284">_xlfn.LET(_xlpm.y,Clean_Data[[#This Row],[Year_Num]],_xlfn.IFS(_xlpm.y&lt;500,"Ancient",_xlpm.y&lt;1500,"Medieval",_xlpm.y&lt;1800,"Early Modern",_xlpm.y&lt;1946,"Modern",TRUE,"Contemporary"))</f>
        <v>Modern</v>
      </c>
      <c r="P284" s="5" t="str">
        <f>_xlfn.XLOOKUP(Clean_Data[[#This Row],[Country]],country_region[Country],country_region[Country_Standard],"Not found")</f>
        <v>Australia</v>
      </c>
      <c r="Q284" s="5" t="str">
        <f>_xlfn.XLOOKUP(Clean_Data[[#This Row],[Country]],country_region[Country],country_region[Region],"Not found")</f>
        <v>Oceania</v>
      </c>
      <c r="R284" s="5" t="str">
        <f>_xlfn.XLOOKUP(Clean_Data[[#This Row],[Type of Event]],event_type_category[Type of Event],event_type_category[Category],"Not found")</f>
        <v>Economy &amp; Infrastructure</v>
      </c>
    </row>
    <row r="285" spans="1:18">
      <c r="A285">
        <v>313</v>
      </c>
      <c r="B285" t="s">
        <v>1468</v>
      </c>
      <c r="C285" t="s">
        <v>65</v>
      </c>
      <c r="D285" t="s">
        <v>66</v>
      </c>
      <c r="E285" t="s">
        <v>1469</v>
      </c>
      <c r="F285" t="s">
        <v>1448</v>
      </c>
      <c r="G285" t="s">
        <v>1470</v>
      </c>
      <c r="H285" t="s">
        <v>1471</v>
      </c>
      <c r="I285" t="s">
        <v>1472</v>
      </c>
      <c r="J285" t="s">
        <v>1473</v>
      </c>
      <c r="K285" t="s">
        <v>1474</v>
      </c>
      <c r="L285" t="s">
        <v>21</v>
      </c>
      <c r="M285">
        <v>1854</v>
      </c>
      <c r="N285" s="5">
        <f>ROUNDUP(Clean_Data[[#This Row],[Year_Num]]/100,0)</f>
        <v>19</v>
      </c>
      <c r="O285" s="5" t="str" cm="1">
        <f t="array" ref="O285">_xlfn.LET(_xlpm.y,Clean_Data[[#This Row],[Year_Num]],_xlfn.IFS(_xlpm.y&lt;500,"Ancient",_xlpm.y&lt;1500,"Medieval",_xlpm.y&lt;1800,"Early Modern",_xlpm.y&lt;1946,"Modern",TRUE,"Contemporary"))</f>
        <v>Modern</v>
      </c>
      <c r="P285" s="5" t="str">
        <f>_xlfn.XLOOKUP(Clean_Data[[#This Row],[Country]],country_region[Country],country_region[Country_Standard],"Not found")</f>
        <v>Australia</v>
      </c>
      <c r="Q285" s="5" t="str">
        <f>_xlfn.XLOOKUP(Clean_Data[[#This Row],[Country]],country_region[Country],country_region[Region],"Not found")</f>
        <v>Oceania</v>
      </c>
      <c r="R285" s="5" t="str">
        <f>_xlfn.XLOOKUP(Clean_Data[[#This Row],[Type of Event]],event_type_category[Type of Event],event_type_category[Category],"Not found")</f>
        <v>War &amp; Conflict</v>
      </c>
    </row>
    <row r="286" spans="1:18">
      <c r="A286">
        <v>314</v>
      </c>
      <c r="B286" t="s">
        <v>1475</v>
      </c>
      <c r="C286" t="s">
        <v>46</v>
      </c>
      <c r="D286" t="s">
        <v>260</v>
      </c>
      <c r="E286" t="s">
        <v>1476</v>
      </c>
      <c r="F286" t="s">
        <v>1448</v>
      </c>
      <c r="G286" t="s">
        <v>1477</v>
      </c>
      <c r="H286" t="s">
        <v>1478</v>
      </c>
      <c r="I286" t="s">
        <v>1479</v>
      </c>
      <c r="J286" t="s">
        <v>1480</v>
      </c>
      <c r="K286" t="s">
        <v>1481</v>
      </c>
      <c r="L286" t="s">
        <v>21</v>
      </c>
      <c r="M286">
        <v>1901</v>
      </c>
      <c r="N286" s="5">
        <f>ROUNDUP(Clean_Data[[#This Row],[Year_Num]]/100,0)</f>
        <v>20</v>
      </c>
      <c r="O286" s="5" t="str" cm="1">
        <f t="array" ref="O286">_xlfn.LET(_xlpm.y,Clean_Data[[#This Row],[Year_Num]],_xlfn.IFS(_xlpm.y&lt;500,"Ancient",_xlpm.y&lt;1500,"Medieval",_xlpm.y&lt;1800,"Early Modern",_xlpm.y&lt;1946,"Modern",TRUE,"Contemporary"))</f>
        <v>Modern</v>
      </c>
      <c r="P286" s="5" t="str">
        <f>_xlfn.XLOOKUP(Clean_Data[[#This Row],[Country]],country_region[Country],country_region[Country_Standard],"Not found")</f>
        <v>Australia</v>
      </c>
      <c r="Q286" s="5" t="str">
        <f>_xlfn.XLOOKUP(Clean_Data[[#This Row],[Country]],country_region[Country],country_region[Region],"Not found")</f>
        <v>Oceania</v>
      </c>
      <c r="R286" s="5" t="str">
        <f>_xlfn.XLOOKUP(Clean_Data[[#This Row],[Type of Event]],event_type_category[Type of Event],event_type_category[Category],"Not found")</f>
        <v>Independence &amp; Nation-Building</v>
      </c>
    </row>
    <row r="287" spans="1:18">
      <c r="A287">
        <v>315</v>
      </c>
      <c r="B287" t="s">
        <v>1482</v>
      </c>
      <c r="C287" t="s">
        <v>200</v>
      </c>
      <c r="D287" t="s">
        <v>39</v>
      </c>
      <c r="E287" t="s">
        <v>1483</v>
      </c>
      <c r="F287" t="s">
        <v>1448</v>
      </c>
      <c r="G287" t="s">
        <v>356</v>
      </c>
      <c r="H287" t="s">
        <v>1484</v>
      </c>
      <c r="I287" t="s">
        <v>1485</v>
      </c>
      <c r="J287" t="s">
        <v>1486</v>
      </c>
      <c r="L287" t="s">
        <v>54</v>
      </c>
      <c r="M287">
        <v>1915</v>
      </c>
      <c r="N287" s="5">
        <f>ROUNDUP(Clean_Data[[#This Row],[Year_Num]]/100,0)</f>
        <v>20</v>
      </c>
      <c r="O287" s="5" t="str" cm="1">
        <f t="array" ref="O287">_xlfn.LET(_xlpm.y,Clean_Data[[#This Row],[Year_Num]],_xlfn.IFS(_xlpm.y&lt;500,"Ancient",_xlpm.y&lt;1500,"Medieval",_xlpm.y&lt;1800,"Early Modern",_xlpm.y&lt;1946,"Modern",TRUE,"Contemporary"))</f>
        <v>Modern</v>
      </c>
      <c r="P287" s="5" t="str">
        <f>_xlfn.XLOOKUP(Clean_Data[[#This Row],[Country]],country_region[Country],country_region[Country_Standard],"Not found")</f>
        <v>Australia</v>
      </c>
      <c r="Q287" s="5" t="str">
        <f>_xlfn.XLOOKUP(Clean_Data[[#This Row],[Country]],country_region[Country],country_region[Region],"Not found")</f>
        <v>Oceania</v>
      </c>
      <c r="R287" s="5" t="str">
        <f>_xlfn.XLOOKUP(Clean_Data[[#This Row],[Type of Event]],event_type_category[Type of Event],event_type_category[Category],"Not found")</f>
        <v>War &amp; Conflict</v>
      </c>
    </row>
    <row r="288" spans="1:18">
      <c r="A288">
        <v>316</v>
      </c>
      <c r="B288" t="s">
        <v>1487</v>
      </c>
      <c r="E288" t="s">
        <v>1066</v>
      </c>
      <c r="F288" t="s">
        <v>1448</v>
      </c>
      <c r="G288" t="s">
        <v>1488</v>
      </c>
      <c r="H288" t="s">
        <v>1489</v>
      </c>
      <c r="I288" t="s">
        <v>1490</v>
      </c>
      <c r="J288" t="s">
        <v>1491</v>
      </c>
      <c r="K288" t="s">
        <v>1492</v>
      </c>
      <c r="L288" t="s">
        <v>36</v>
      </c>
      <c r="M288">
        <v>1917</v>
      </c>
      <c r="N288" s="5">
        <f>ROUNDUP(Clean_Data[[#This Row],[Year_Num]]/100,0)</f>
        <v>20</v>
      </c>
      <c r="O288" s="5" t="str" cm="1">
        <f t="array" ref="O288">_xlfn.LET(_xlpm.y,Clean_Data[[#This Row],[Year_Num]],_xlfn.IFS(_xlpm.y&lt;500,"Ancient",_xlpm.y&lt;1500,"Medieval",_xlpm.y&lt;1800,"Early Modern",_xlpm.y&lt;1946,"Modern",TRUE,"Contemporary"))</f>
        <v>Modern</v>
      </c>
      <c r="P288" s="5" t="str">
        <f>_xlfn.XLOOKUP(Clean_Data[[#This Row],[Country]],country_region[Country],country_region[Country_Standard],"Not found")</f>
        <v>Australia</v>
      </c>
      <c r="Q288" s="5" t="str">
        <f>_xlfn.XLOOKUP(Clean_Data[[#This Row],[Country]],country_region[Country],country_region[Region],"Not found")</f>
        <v>Oceania</v>
      </c>
      <c r="R288" s="5" t="str">
        <f>_xlfn.XLOOKUP(Clean_Data[[#This Row],[Type of Event]],event_type_category[Type of Event],event_type_category[Category],"Not found")</f>
        <v>Society &amp; Health</v>
      </c>
    </row>
    <row r="289" spans="1:18">
      <c r="A289">
        <v>317</v>
      </c>
      <c r="B289" t="s">
        <v>1493</v>
      </c>
      <c r="E289" t="s">
        <v>1494</v>
      </c>
      <c r="F289" t="s">
        <v>1448</v>
      </c>
      <c r="G289" t="s">
        <v>31</v>
      </c>
      <c r="H289" t="s">
        <v>1478</v>
      </c>
      <c r="I289" t="s">
        <v>1495</v>
      </c>
      <c r="J289" t="s">
        <v>1496</v>
      </c>
      <c r="K289" t="s">
        <v>1497</v>
      </c>
      <c r="L289" t="s">
        <v>21</v>
      </c>
      <c r="M289">
        <v>1902</v>
      </c>
      <c r="N289" s="5">
        <f>ROUNDUP(Clean_Data[[#This Row],[Year_Num]]/100,0)</f>
        <v>20</v>
      </c>
      <c r="O289" s="5" t="str" cm="1">
        <f t="array" ref="O289">_xlfn.LET(_xlpm.y,Clean_Data[[#This Row],[Year_Num]],_xlfn.IFS(_xlpm.y&lt;500,"Ancient",_xlpm.y&lt;1500,"Medieval",_xlpm.y&lt;1800,"Early Modern",_xlpm.y&lt;1946,"Modern",TRUE,"Contemporary"))</f>
        <v>Modern</v>
      </c>
      <c r="P289" s="5" t="str">
        <f>_xlfn.XLOOKUP(Clean_Data[[#This Row],[Country]],country_region[Country],country_region[Country_Standard],"Not found")</f>
        <v>Australia</v>
      </c>
      <c r="Q289" s="5" t="str">
        <f>_xlfn.XLOOKUP(Clean_Data[[#This Row],[Country]],country_region[Country],country_region[Region],"Not found")</f>
        <v>Oceania</v>
      </c>
      <c r="R289" s="5" t="str">
        <f>_xlfn.XLOOKUP(Clean_Data[[#This Row],[Type of Event]],event_type_category[Type of Event],event_type_category[Category],"Not found")</f>
        <v>Politics &amp; Law</v>
      </c>
    </row>
    <row r="290" spans="1:18">
      <c r="A290">
        <v>318</v>
      </c>
      <c r="B290" t="s">
        <v>1498</v>
      </c>
      <c r="E290" t="s">
        <v>1109</v>
      </c>
      <c r="F290" t="s">
        <v>1448</v>
      </c>
      <c r="G290" t="s">
        <v>1199</v>
      </c>
      <c r="H290" t="s">
        <v>1478</v>
      </c>
      <c r="I290" t="s">
        <v>1499</v>
      </c>
      <c r="J290" t="s">
        <v>1480</v>
      </c>
      <c r="L290" t="s">
        <v>54</v>
      </c>
      <c r="M290">
        <v>1929</v>
      </c>
      <c r="N290" s="5">
        <f>ROUNDUP(Clean_Data[[#This Row],[Year_Num]]/100,0)</f>
        <v>20</v>
      </c>
      <c r="O290" s="5" t="str" cm="1">
        <f t="array" ref="O290">_xlfn.LET(_xlpm.y,Clean_Data[[#This Row],[Year_Num]],_xlfn.IFS(_xlpm.y&lt;500,"Ancient",_xlpm.y&lt;1500,"Medieval",_xlpm.y&lt;1800,"Early Modern",_xlpm.y&lt;1946,"Modern",TRUE,"Contemporary"))</f>
        <v>Modern</v>
      </c>
      <c r="P290" s="5" t="str">
        <f>_xlfn.XLOOKUP(Clean_Data[[#This Row],[Country]],country_region[Country],country_region[Country_Standard],"Not found")</f>
        <v>Australia</v>
      </c>
      <c r="Q290" s="5" t="str">
        <f>_xlfn.XLOOKUP(Clean_Data[[#This Row],[Country]],country_region[Country],country_region[Region],"Not found")</f>
        <v>Oceania</v>
      </c>
      <c r="R290" s="5" t="str">
        <f>_xlfn.XLOOKUP(Clean_Data[[#This Row],[Type of Event]],event_type_category[Type of Event],event_type_category[Category],"Not found")</f>
        <v>Economy &amp; Infrastructure</v>
      </c>
    </row>
    <row r="291" spans="1:18">
      <c r="A291">
        <v>319</v>
      </c>
      <c r="B291" t="s">
        <v>1500</v>
      </c>
      <c r="C291" t="s">
        <v>580</v>
      </c>
      <c r="D291" t="s">
        <v>267</v>
      </c>
      <c r="E291" t="s">
        <v>1501</v>
      </c>
      <c r="F291" t="s">
        <v>1448</v>
      </c>
      <c r="G291" t="s">
        <v>175</v>
      </c>
      <c r="H291" t="s">
        <v>1489</v>
      </c>
      <c r="I291" t="s">
        <v>1502</v>
      </c>
      <c r="J291" t="s">
        <v>1503</v>
      </c>
      <c r="K291" t="s">
        <v>1504</v>
      </c>
      <c r="L291" t="s">
        <v>21</v>
      </c>
      <c r="M291">
        <v>1932</v>
      </c>
      <c r="N291" s="5">
        <f>ROUNDUP(Clean_Data[[#This Row],[Year_Num]]/100,0)</f>
        <v>20</v>
      </c>
      <c r="O291" s="5" t="str" cm="1">
        <f t="array" ref="O291">_xlfn.LET(_xlpm.y,Clean_Data[[#This Row],[Year_Num]],_xlfn.IFS(_xlpm.y&lt;500,"Ancient",_xlpm.y&lt;1500,"Medieval",_xlpm.y&lt;1800,"Early Modern",_xlpm.y&lt;1946,"Modern",TRUE,"Contemporary"))</f>
        <v>Modern</v>
      </c>
      <c r="P291" s="5" t="str">
        <f>_xlfn.XLOOKUP(Clean_Data[[#This Row],[Country]],country_region[Country],country_region[Country_Standard],"Not found")</f>
        <v>Australia</v>
      </c>
      <c r="Q291" s="5" t="str">
        <f>_xlfn.XLOOKUP(Clean_Data[[#This Row],[Country]],country_region[Country],country_region[Region],"Not found")</f>
        <v>Oceania</v>
      </c>
      <c r="R291" s="5" t="str">
        <f>_xlfn.XLOOKUP(Clean_Data[[#This Row],[Type of Event]],event_type_category[Type of Event],event_type_category[Category],"Not found")</f>
        <v>Economy &amp; Infrastructure</v>
      </c>
    </row>
    <row r="292" spans="1:18">
      <c r="A292">
        <v>320</v>
      </c>
      <c r="B292" t="s">
        <v>1505</v>
      </c>
      <c r="E292" t="s">
        <v>947</v>
      </c>
      <c r="F292" t="s">
        <v>1448</v>
      </c>
      <c r="G292" t="s">
        <v>313</v>
      </c>
      <c r="H292" t="s">
        <v>1478</v>
      </c>
      <c r="I292" t="s">
        <v>1506</v>
      </c>
      <c r="J292" t="s">
        <v>1507</v>
      </c>
      <c r="K292" t="s">
        <v>1508</v>
      </c>
      <c r="L292" t="s">
        <v>21</v>
      </c>
      <c r="M292">
        <v>1949</v>
      </c>
      <c r="N292" s="5">
        <f>ROUNDUP(Clean_Data[[#This Row],[Year_Num]]/100,0)</f>
        <v>20</v>
      </c>
      <c r="O292" s="5" t="str" cm="1">
        <f t="array" ref="O292">_xlfn.LET(_xlpm.y,Clean_Data[[#This Row],[Year_Num]],_xlfn.IFS(_xlpm.y&lt;500,"Ancient",_xlpm.y&lt;1500,"Medieval",_xlpm.y&lt;1800,"Early Modern",_xlpm.y&lt;1946,"Modern",TRUE,"Contemporary"))</f>
        <v>Contemporary</v>
      </c>
      <c r="P292" s="5" t="str">
        <f>_xlfn.XLOOKUP(Clean_Data[[#This Row],[Country]],country_region[Country],country_region[Country_Standard],"Not found")</f>
        <v>Australia</v>
      </c>
      <c r="Q292" s="5" t="str">
        <f>_xlfn.XLOOKUP(Clean_Data[[#This Row],[Country]],country_region[Country],country_region[Region],"Not found")</f>
        <v>Oceania</v>
      </c>
      <c r="R292" s="5" t="str">
        <f>_xlfn.XLOOKUP(Clean_Data[[#This Row],[Type of Event]],event_type_category[Type of Event],event_type_category[Category],"Not found")</f>
        <v>Politics &amp; Law</v>
      </c>
    </row>
    <row r="293" spans="1:18">
      <c r="A293">
        <v>321</v>
      </c>
      <c r="B293" t="s">
        <v>1509</v>
      </c>
      <c r="C293" t="s">
        <v>580</v>
      </c>
      <c r="D293" t="s">
        <v>173</v>
      </c>
      <c r="E293" t="s">
        <v>411</v>
      </c>
      <c r="F293" t="s">
        <v>1448</v>
      </c>
      <c r="G293" t="s">
        <v>356</v>
      </c>
      <c r="H293" t="s">
        <v>1510</v>
      </c>
      <c r="I293" t="s">
        <v>1511</v>
      </c>
      <c r="J293" t="s">
        <v>1512</v>
      </c>
      <c r="K293" t="s">
        <v>1513</v>
      </c>
      <c r="L293" t="s">
        <v>54</v>
      </c>
      <c r="M293">
        <v>1942</v>
      </c>
      <c r="N293" s="5">
        <f>ROUNDUP(Clean_Data[[#This Row],[Year_Num]]/100,0)</f>
        <v>20</v>
      </c>
      <c r="O293" s="5" t="str" cm="1">
        <f t="array" ref="O293">_xlfn.LET(_xlpm.y,Clean_Data[[#This Row],[Year_Num]],_xlfn.IFS(_xlpm.y&lt;500,"Ancient",_xlpm.y&lt;1500,"Medieval",_xlpm.y&lt;1800,"Early Modern",_xlpm.y&lt;1946,"Modern",TRUE,"Contemporary"))</f>
        <v>Modern</v>
      </c>
      <c r="P293" s="5" t="str">
        <f>_xlfn.XLOOKUP(Clean_Data[[#This Row],[Country]],country_region[Country],country_region[Country_Standard],"Not found")</f>
        <v>Australia</v>
      </c>
      <c r="Q293" s="5" t="str">
        <f>_xlfn.XLOOKUP(Clean_Data[[#This Row],[Country]],country_region[Country],country_region[Region],"Not found")</f>
        <v>Oceania</v>
      </c>
      <c r="R293" s="5" t="str">
        <f>_xlfn.XLOOKUP(Clean_Data[[#This Row],[Type of Event]],event_type_category[Type of Event],event_type_category[Category],"Not found")</f>
        <v>War &amp; Conflict</v>
      </c>
    </row>
    <row r="294" spans="1:18">
      <c r="A294">
        <v>322</v>
      </c>
      <c r="B294" t="s">
        <v>1514</v>
      </c>
      <c r="E294" t="s">
        <v>411</v>
      </c>
      <c r="F294" t="s">
        <v>1448</v>
      </c>
      <c r="G294" t="s">
        <v>356</v>
      </c>
      <c r="H294" t="s">
        <v>1515</v>
      </c>
      <c r="I294" t="s">
        <v>1516</v>
      </c>
      <c r="J294" t="s">
        <v>1517</v>
      </c>
      <c r="K294" t="s">
        <v>1518</v>
      </c>
      <c r="L294" t="s">
        <v>21</v>
      </c>
      <c r="M294">
        <v>1942</v>
      </c>
      <c r="N294" s="5">
        <f>ROUNDUP(Clean_Data[[#This Row],[Year_Num]]/100,0)</f>
        <v>20</v>
      </c>
      <c r="O294" s="5" t="str" cm="1">
        <f t="array" ref="O294">_xlfn.LET(_xlpm.y,Clean_Data[[#This Row],[Year_Num]],_xlfn.IFS(_xlpm.y&lt;500,"Ancient",_xlpm.y&lt;1500,"Medieval",_xlpm.y&lt;1800,"Early Modern",_xlpm.y&lt;1946,"Modern",TRUE,"Contemporary"))</f>
        <v>Modern</v>
      </c>
      <c r="P294" s="5" t="str">
        <f>_xlfn.XLOOKUP(Clean_Data[[#This Row],[Country]],country_region[Country],country_region[Country_Standard],"Not found")</f>
        <v>Australia</v>
      </c>
      <c r="Q294" s="5" t="str">
        <f>_xlfn.XLOOKUP(Clean_Data[[#This Row],[Country]],country_region[Country],country_region[Region],"Not found")</f>
        <v>Oceania</v>
      </c>
      <c r="R294" s="5" t="str">
        <f>_xlfn.XLOOKUP(Clean_Data[[#This Row],[Type of Event]],event_type_category[Type of Event],event_type_category[Category],"Not found")</f>
        <v>War &amp; Conflict</v>
      </c>
    </row>
    <row r="295" spans="1:18">
      <c r="A295">
        <v>323</v>
      </c>
      <c r="B295" t="s">
        <v>1519</v>
      </c>
      <c r="C295" t="s">
        <v>65</v>
      </c>
      <c r="D295" t="s">
        <v>286</v>
      </c>
      <c r="E295" t="s">
        <v>1117</v>
      </c>
      <c r="F295" t="s">
        <v>1448</v>
      </c>
      <c r="G295" t="s">
        <v>356</v>
      </c>
      <c r="H295" t="s">
        <v>1520</v>
      </c>
      <c r="I295" t="s">
        <v>1521</v>
      </c>
      <c r="J295" t="s">
        <v>1522</v>
      </c>
      <c r="K295" t="s">
        <v>1523</v>
      </c>
      <c r="L295" t="s">
        <v>36</v>
      </c>
      <c r="M295">
        <v>1939</v>
      </c>
      <c r="N295" s="5">
        <f>ROUNDUP(Clean_Data[[#This Row],[Year_Num]]/100,0)</f>
        <v>20</v>
      </c>
      <c r="O295" s="5" t="str" cm="1">
        <f t="array" ref="O295">_xlfn.LET(_xlpm.y,Clean_Data[[#This Row],[Year_Num]],_xlfn.IFS(_xlpm.y&lt;500,"Ancient",_xlpm.y&lt;1500,"Medieval",_xlpm.y&lt;1800,"Early Modern",_xlpm.y&lt;1946,"Modern",TRUE,"Contemporary"))</f>
        <v>Modern</v>
      </c>
      <c r="P295" s="5" t="str">
        <f>_xlfn.XLOOKUP(Clean_Data[[#This Row],[Country]],country_region[Country],country_region[Country_Standard],"Not found")</f>
        <v>Australia</v>
      </c>
      <c r="Q295" s="5" t="str">
        <f>_xlfn.XLOOKUP(Clean_Data[[#This Row],[Country]],country_region[Country],country_region[Region],"Not found")</f>
        <v>Oceania</v>
      </c>
      <c r="R295" s="5" t="str">
        <f>_xlfn.XLOOKUP(Clean_Data[[#This Row],[Type of Event]],event_type_category[Type of Event],event_type_category[Category],"Not found")</f>
        <v>War &amp; Conflict</v>
      </c>
    </row>
    <row r="296" spans="1:18">
      <c r="A296">
        <v>324</v>
      </c>
      <c r="B296" t="s">
        <v>1524</v>
      </c>
      <c r="C296" t="s">
        <v>107</v>
      </c>
      <c r="D296" t="s">
        <v>100</v>
      </c>
      <c r="E296" t="s">
        <v>1525</v>
      </c>
      <c r="F296" t="s">
        <v>1448</v>
      </c>
      <c r="G296" t="s">
        <v>376</v>
      </c>
      <c r="H296" t="s">
        <v>1526</v>
      </c>
      <c r="I296" t="s">
        <v>1527</v>
      </c>
      <c r="J296" t="s">
        <v>1528</v>
      </c>
      <c r="K296" t="s">
        <v>1529</v>
      </c>
      <c r="L296" t="s">
        <v>54</v>
      </c>
      <c r="M296">
        <v>1838</v>
      </c>
      <c r="N296" s="5">
        <f>ROUNDUP(Clean_Data[[#This Row],[Year_Num]]/100,0)</f>
        <v>19</v>
      </c>
      <c r="O296" s="5" t="str" cm="1">
        <f t="array" ref="O296">_xlfn.LET(_xlpm.y,Clean_Data[[#This Row],[Year_Num]],_xlfn.IFS(_xlpm.y&lt;500,"Ancient",_xlpm.y&lt;1500,"Medieval",_xlpm.y&lt;1800,"Early Modern",_xlpm.y&lt;1946,"Modern",TRUE,"Contemporary"))</f>
        <v>Modern</v>
      </c>
      <c r="P296" s="5" t="str">
        <f>_xlfn.XLOOKUP(Clean_Data[[#This Row],[Country]],country_region[Country],country_region[Country_Standard],"Not found")</f>
        <v>Australia</v>
      </c>
      <c r="Q296" s="5" t="str">
        <f>_xlfn.XLOOKUP(Clean_Data[[#This Row],[Country]],country_region[Country],country_region[Region],"Not found")</f>
        <v>Oceania</v>
      </c>
      <c r="R296" s="5" t="str">
        <f>_xlfn.XLOOKUP(Clean_Data[[#This Row],[Type of Event]],event_type_category[Type of Event],event_type_category[Category],"Not found")</f>
        <v>War &amp; Conflict</v>
      </c>
    </row>
    <row r="297" spans="1:18">
      <c r="A297">
        <v>325</v>
      </c>
      <c r="B297" t="s">
        <v>1530</v>
      </c>
      <c r="C297" t="s">
        <v>246</v>
      </c>
      <c r="D297" t="s">
        <v>57</v>
      </c>
      <c r="E297" t="s">
        <v>1531</v>
      </c>
      <c r="F297" t="s">
        <v>1448</v>
      </c>
      <c r="G297" t="s">
        <v>1532</v>
      </c>
      <c r="H297" t="s">
        <v>1533</v>
      </c>
      <c r="I297" t="s">
        <v>1534</v>
      </c>
      <c r="J297" t="s">
        <v>1535</v>
      </c>
      <c r="K297" t="s">
        <v>1536</v>
      </c>
      <c r="L297" t="s">
        <v>36</v>
      </c>
      <c r="M297">
        <v>1835</v>
      </c>
      <c r="N297" s="5">
        <f>ROUNDUP(Clean_Data[[#This Row],[Year_Num]]/100,0)</f>
        <v>19</v>
      </c>
      <c r="O297" s="5" t="str" cm="1">
        <f t="array" ref="O297">_xlfn.LET(_xlpm.y,Clean_Data[[#This Row],[Year_Num]],_xlfn.IFS(_xlpm.y&lt;500,"Ancient",_xlpm.y&lt;1500,"Medieval",_xlpm.y&lt;1800,"Early Modern",_xlpm.y&lt;1946,"Modern",TRUE,"Contemporary"))</f>
        <v>Modern</v>
      </c>
      <c r="P297" s="5" t="str">
        <f>_xlfn.XLOOKUP(Clean_Data[[#This Row],[Country]],country_region[Country],country_region[Country_Standard],"Not found")</f>
        <v>Australia</v>
      </c>
      <c r="Q297" s="5" t="str">
        <f>_xlfn.XLOOKUP(Clean_Data[[#This Row],[Country]],country_region[Country],country_region[Region],"Not found")</f>
        <v>Oceania</v>
      </c>
      <c r="R297" s="5" t="str">
        <f>_xlfn.XLOOKUP(Clean_Data[[#This Row],[Type of Event]],event_type_category[Type of Event],event_type_category[Category],"Not found")</f>
        <v>Independence &amp; Nation-Building</v>
      </c>
    </row>
    <row r="298" spans="1:18">
      <c r="A298">
        <v>326</v>
      </c>
      <c r="B298" t="s">
        <v>1537</v>
      </c>
      <c r="E298" t="s">
        <v>1538</v>
      </c>
      <c r="F298" t="s">
        <v>1448</v>
      </c>
      <c r="G298" t="s">
        <v>1488</v>
      </c>
      <c r="H298" t="s">
        <v>1539</v>
      </c>
      <c r="I298" t="s">
        <v>1540</v>
      </c>
      <c r="J298" t="s">
        <v>1541</v>
      </c>
      <c r="K298" t="s">
        <v>1542</v>
      </c>
      <c r="L298" t="s">
        <v>36</v>
      </c>
      <c r="M298">
        <v>1891</v>
      </c>
      <c r="N298" s="5">
        <f>ROUNDUP(Clean_Data[[#This Row],[Year_Num]]/100,0)</f>
        <v>19</v>
      </c>
      <c r="O298" s="5" t="str" cm="1">
        <f t="array" ref="O298">_xlfn.LET(_xlpm.y,Clean_Data[[#This Row],[Year_Num]],_xlfn.IFS(_xlpm.y&lt;500,"Ancient",_xlpm.y&lt;1500,"Medieval",_xlpm.y&lt;1800,"Early Modern",_xlpm.y&lt;1946,"Modern",TRUE,"Contemporary"))</f>
        <v>Modern</v>
      </c>
      <c r="P298" s="5" t="str">
        <f>_xlfn.XLOOKUP(Clean_Data[[#This Row],[Country]],country_region[Country],country_region[Country_Standard],"Not found")</f>
        <v>Australia</v>
      </c>
      <c r="Q298" s="5" t="str">
        <f>_xlfn.XLOOKUP(Clean_Data[[#This Row],[Country]],country_region[Country],country_region[Region],"Not found")</f>
        <v>Oceania</v>
      </c>
      <c r="R298" s="5" t="str">
        <f>_xlfn.XLOOKUP(Clean_Data[[#This Row],[Type of Event]],event_type_category[Type of Event],event_type_category[Category],"Not found")</f>
        <v>Society &amp; Health</v>
      </c>
    </row>
    <row r="299" spans="1:18">
      <c r="A299">
        <v>327</v>
      </c>
      <c r="B299" t="s">
        <v>1543</v>
      </c>
      <c r="C299" t="s">
        <v>46</v>
      </c>
      <c r="D299" t="s">
        <v>260</v>
      </c>
      <c r="E299" t="s">
        <v>1476</v>
      </c>
      <c r="F299" t="s">
        <v>1448</v>
      </c>
      <c r="G299" t="s">
        <v>31</v>
      </c>
      <c r="H299" t="s">
        <v>1478</v>
      </c>
      <c r="I299" t="s">
        <v>1544</v>
      </c>
      <c r="J299" t="s">
        <v>1545</v>
      </c>
      <c r="K299" t="s">
        <v>1481</v>
      </c>
      <c r="L299" t="s">
        <v>21</v>
      </c>
      <c r="M299">
        <v>1901</v>
      </c>
      <c r="N299" s="5">
        <f>ROUNDUP(Clean_Data[[#This Row],[Year_Num]]/100,0)</f>
        <v>20</v>
      </c>
      <c r="O299" s="5" t="str" cm="1">
        <f t="array" ref="O299">_xlfn.LET(_xlpm.y,Clean_Data[[#This Row],[Year_Num]],_xlfn.IFS(_xlpm.y&lt;500,"Ancient",_xlpm.y&lt;1500,"Medieval",_xlpm.y&lt;1800,"Early Modern",_xlpm.y&lt;1946,"Modern",TRUE,"Contemporary"))</f>
        <v>Modern</v>
      </c>
      <c r="P299" s="5" t="str">
        <f>_xlfn.XLOOKUP(Clean_Data[[#This Row],[Country]],country_region[Country],country_region[Country_Standard],"Not found")</f>
        <v>Australia</v>
      </c>
      <c r="Q299" s="5" t="str">
        <f>_xlfn.XLOOKUP(Clean_Data[[#This Row],[Country]],country_region[Country],country_region[Region],"Not found")</f>
        <v>Oceania</v>
      </c>
      <c r="R299" s="5" t="str">
        <f>_xlfn.XLOOKUP(Clean_Data[[#This Row],[Type of Event]],event_type_category[Type of Event],event_type_category[Category],"Not found")</f>
        <v>Politics &amp; Law</v>
      </c>
    </row>
    <row r="300" spans="1:18">
      <c r="A300">
        <v>328</v>
      </c>
      <c r="B300" t="s">
        <v>1546</v>
      </c>
      <c r="E300" t="s">
        <v>1547</v>
      </c>
      <c r="F300" t="s">
        <v>1448</v>
      </c>
      <c r="G300" t="s">
        <v>1548</v>
      </c>
      <c r="H300" t="s">
        <v>1448</v>
      </c>
      <c r="I300" t="s">
        <v>1549</v>
      </c>
      <c r="J300" t="s">
        <v>1550</v>
      </c>
      <c r="K300" t="s">
        <v>1508</v>
      </c>
      <c r="L300" t="s">
        <v>36</v>
      </c>
      <c r="M300">
        <v>1914</v>
      </c>
      <c r="N300" s="5">
        <f>ROUNDUP(Clean_Data[[#This Row],[Year_Num]]/100,0)</f>
        <v>20</v>
      </c>
      <c r="O300" s="5" t="str" cm="1">
        <f t="array" ref="O300">_xlfn.LET(_xlpm.y,Clean_Data[[#This Row],[Year_Num]],_xlfn.IFS(_xlpm.y&lt;500,"Ancient",_xlpm.y&lt;1500,"Medieval",_xlpm.y&lt;1800,"Early Modern",_xlpm.y&lt;1946,"Modern",TRUE,"Contemporary"))</f>
        <v>Modern</v>
      </c>
      <c r="P300" s="5" t="str">
        <f>_xlfn.XLOOKUP(Clean_Data[[#This Row],[Country]],country_region[Country],country_region[Country_Standard],"Not found")</f>
        <v>Australia</v>
      </c>
      <c r="Q300" s="5" t="str">
        <f>_xlfn.XLOOKUP(Clean_Data[[#This Row],[Country]],country_region[Country],country_region[Region],"Not found")</f>
        <v>Oceania</v>
      </c>
      <c r="R300" s="5" t="str">
        <f>_xlfn.XLOOKUP(Clean_Data[[#This Row],[Type of Event]],event_type_category[Type of Event],event_type_category[Category],"Not found")</f>
        <v>War &amp; Conflict</v>
      </c>
    </row>
    <row r="301" spans="1:18">
      <c r="A301">
        <v>329</v>
      </c>
      <c r="B301" t="s">
        <v>1551</v>
      </c>
      <c r="C301" t="s">
        <v>224</v>
      </c>
      <c r="D301" t="s">
        <v>260</v>
      </c>
      <c r="E301" t="s">
        <v>1117</v>
      </c>
      <c r="F301" t="s">
        <v>1448</v>
      </c>
      <c r="G301" t="s">
        <v>280</v>
      </c>
      <c r="H301" t="s">
        <v>1552</v>
      </c>
      <c r="I301" t="s">
        <v>1553</v>
      </c>
      <c r="J301" t="s">
        <v>1554</v>
      </c>
      <c r="L301" t="s">
        <v>54</v>
      </c>
      <c r="M301">
        <v>1939</v>
      </c>
      <c r="N301" s="5">
        <f>ROUNDUP(Clean_Data[[#This Row],[Year_Num]]/100,0)</f>
        <v>20</v>
      </c>
      <c r="O301" s="5" t="str" cm="1">
        <f t="array" ref="O301">_xlfn.LET(_xlpm.y,Clean_Data[[#This Row],[Year_Num]],_xlfn.IFS(_xlpm.y&lt;500,"Ancient",_xlpm.y&lt;1500,"Medieval",_xlpm.y&lt;1800,"Early Modern",_xlpm.y&lt;1946,"Modern",TRUE,"Contemporary"))</f>
        <v>Modern</v>
      </c>
      <c r="P301" s="5" t="str">
        <f>_xlfn.XLOOKUP(Clean_Data[[#This Row],[Country]],country_region[Country],country_region[Country_Standard],"Not found")</f>
        <v>Australia</v>
      </c>
      <c r="Q301" s="5" t="str">
        <f>_xlfn.XLOOKUP(Clean_Data[[#This Row],[Country]],country_region[Country],country_region[Region],"Not found")</f>
        <v>Oceania</v>
      </c>
      <c r="R301" s="5" t="str">
        <f>_xlfn.XLOOKUP(Clean_Data[[#This Row],[Type of Event]],event_type_category[Type of Event],event_type_category[Category],"Not found")</f>
        <v>Disasters &amp; Accidents</v>
      </c>
    </row>
    <row r="302" spans="1:18">
      <c r="A302">
        <v>330</v>
      </c>
      <c r="B302" t="s">
        <v>1555</v>
      </c>
      <c r="C302" t="s">
        <v>46</v>
      </c>
      <c r="D302" t="s">
        <v>286</v>
      </c>
      <c r="E302" t="s">
        <v>185</v>
      </c>
      <c r="F302" t="s">
        <v>1448</v>
      </c>
      <c r="G302" t="s">
        <v>489</v>
      </c>
      <c r="H302" t="s">
        <v>1376</v>
      </c>
      <c r="I302" t="s">
        <v>1556</v>
      </c>
      <c r="J302" t="s">
        <v>1557</v>
      </c>
      <c r="K302" t="s">
        <v>1523</v>
      </c>
      <c r="L302" t="s">
        <v>21</v>
      </c>
      <c r="M302">
        <v>1951</v>
      </c>
      <c r="N302" s="5">
        <f>ROUNDUP(Clean_Data[[#This Row],[Year_Num]]/100,0)</f>
        <v>20</v>
      </c>
      <c r="O302" s="5" t="str" cm="1">
        <f t="array" ref="O302">_xlfn.LET(_xlpm.y,Clean_Data[[#This Row],[Year_Num]],_xlfn.IFS(_xlpm.y&lt;500,"Ancient",_xlpm.y&lt;1500,"Medieval",_xlpm.y&lt;1800,"Early Modern",_xlpm.y&lt;1946,"Modern",TRUE,"Contemporary"))</f>
        <v>Contemporary</v>
      </c>
      <c r="P302" s="5" t="str">
        <f>_xlfn.XLOOKUP(Clean_Data[[#This Row],[Country]],country_region[Country],country_region[Country_Standard],"Not found")</f>
        <v>Australia</v>
      </c>
      <c r="Q302" s="5" t="str">
        <f>_xlfn.XLOOKUP(Clean_Data[[#This Row],[Country]],country_region[Country],country_region[Region],"Not found")</f>
        <v>Oceania</v>
      </c>
      <c r="R302" s="5" t="str">
        <f>_xlfn.XLOOKUP(Clean_Data[[#This Row],[Type of Event]],event_type_category[Type of Event],event_type_category[Category],"Not found")</f>
        <v>Diplomacy &amp; International Relations</v>
      </c>
    </row>
    <row r="303" spans="1:18">
      <c r="A303">
        <v>331</v>
      </c>
      <c r="B303" t="s">
        <v>1558</v>
      </c>
      <c r="C303" t="s">
        <v>65</v>
      </c>
      <c r="D303" t="s">
        <v>100</v>
      </c>
      <c r="E303" t="s">
        <v>893</v>
      </c>
      <c r="F303" t="s">
        <v>1448</v>
      </c>
      <c r="G303" t="s">
        <v>1559</v>
      </c>
      <c r="H303" t="s">
        <v>1560</v>
      </c>
      <c r="I303" t="s">
        <v>1561</v>
      </c>
      <c r="J303" t="s">
        <v>1562</v>
      </c>
      <c r="K303" t="s">
        <v>1563</v>
      </c>
      <c r="L303" t="s">
        <v>21</v>
      </c>
      <c r="M303">
        <v>1992</v>
      </c>
      <c r="N303" s="5">
        <f>ROUNDUP(Clean_Data[[#This Row],[Year_Num]]/100,0)</f>
        <v>20</v>
      </c>
      <c r="O303" s="5" t="str" cm="1">
        <f t="array" ref="O303">_xlfn.LET(_xlpm.y,Clean_Data[[#This Row],[Year_Num]],_xlfn.IFS(_xlpm.y&lt;500,"Ancient",_xlpm.y&lt;1500,"Medieval",_xlpm.y&lt;1800,"Early Modern",_xlpm.y&lt;1946,"Modern",TRUE,"Contemporary"))</f>
        <v>Contemporary</v>
      </c>
      <c r="P303" s="5" t="str">
        <f>_xlfn.XLOOKUP(Clean_Data[[#This Row],[Country]],country_region[Country],country_region[Country_Standard],"Not found")</f>
        <v>Australia</v>
      </c>
      <c r="Q303" s="5" t="str">
        <f>_xlfn.XLOOKUP(Clean_Data[[#This Row],[Country]],country_region[Country],country_region[Region],"Not found")</f>
        <v>Oceania</v>
      </c>
      <c r="R303" s="5" t="str">
        <f>_xlfn.XLOOKUP(Clean_Data[[#This Row],[Type of Event]],event_type_category[Type of Event],event_type_category[Category],"Not found")</f>
        <v>Society &amp; Health</v>
      </c>
    </row>
    <row r="304" spans="1:18">
      <c r="A304">
        <v>332</v>
      </c>
      <c r="B304" t="s">
        <v>1564</v>
      </c>
      <c r="E304" t="s">
        <v>201</v>
      </c>
      <c r="F304" t="s">
        <v>1448</v>
      </c>
      <c r="G304" t="s">
        <v>717</v>
      </c>
      <c r="H304" t="s">
        <v>300</v>
      </c>
      <c r="I304" t="s">
        <v>1565</v>
      </c>
      <c r="J304" t="s">
        <v>1557</v>
      </c>
      <c r="K304" t="s">
        <v>1566</v>
      </c>
      <c r="L304" t="s">
        <v>21</v>
      </c>
      <c r="M304">
        <v>1975</v>
      </c>
      <c r="N304" s="5">
        <f>ROUNDUP(Clean_Data[[#This Row],[Year_Num]]/100,0)</f>
        <v>20</v>
      </c>
      <c r="O304" s="5" t="str" cm="1">
        <f t="array" ref="O304">_xlfn.LET(_xlpm.y,Clean_Data[[#This Row],[Year_Num]],_xlfn.IFS(_xlpm.y&lt;500,"Ancient",_xlpm.y&lt;1500,"Medieval",_xlpm.y&lt;1800,"Early Modern",_xlpm.y&lt;1946,"Modern",TRUE,"Contemporary"))</f>
        <v>Contemporary</v>
      </c>
      <c r="P304" s="5" t="str">
        <f>_xlfn.XLOOKUP(Clean_Data[[#This Row],[Country]],country_region[Country],country_region[Country_Standard],"Not found")</f>
        <v>Australia</v>
      </c>
      <c r="Q304" s="5" t="str">
        <f>_xlfn.XLOOKUP(Clean_Data[[#This Row],[Country]],country_region[Country],country_region[Region],"Not found")</f>
        <v>Oceania</v>
      </c>
      <c r="R304" s="5" t="str">
        <f>_xlfn.XLOOKUP(Clean_Data[[#This Row],[Type of Event]],event_type_category[Type of Event],event_type_category[Category],"Not found")</f>
        <v>Society &amp; Health</v>
      </c>
    </row>
    <row r="305" spans="1:18">
      <c r="A305">
        <v>333</v>
      </c>
      <c r="B305" t="s">
        <v>1567</v>
      </c>
      <c r="C305" t="s">
        <v>91</v>
      </c>
      <c r="D305" t="s">
        <v>158</v>
      </c>
      <c r="E305" t="s">
        <v>1396</v>
      </c>
      <c r="F305" t="s">
        <v>1448</v>
      </c>
      <c r="G305" t="s">
        <v>1568</v>
      </c>
      <c r="H305" t="s">
        <v>1489</v>
      </c>
      <c r="I305" t="s">
        <v>1569</v>
      </c>
      <c r="J305" t="s">
        <v>1570</v>
      </c>
      <c r="K305" t="s">
        <v>1571</v>
      </c>
      <c r="L305" t="s">
        <v>21</v>
      </c>
      <c r="M305">
        <v>1973</v>
      </c>
      <c r="N305" s="5">
        <f>ROUNDUP(Clean_Data[[#This Row],[Year_Num]]/100,0)</f>
        <v>20</v>
      </c>
      <c r="O305" s="5" t="str" cm="1">
        <f t="array" ref="O305">_xlfn.LET(_xlpm.y,Clean_Data[[#This Row],[Year_Num]],_xlfn.IFS(_xlpm.y&lt;500,"Ancient",_xlpm.y&lt;1500,"Medieval",_xlpm.y&lt;1800,"Early Modern",_xlpm.y&lt;1946,"Modern",TRUE,"Contemporary"))</f>
        <v>Contemporary</v>
      </c>
      <c r="P305" s="5" t="str">
        <f>_xlfn.XLOOKUP(Clean_Data[[#This Row],[Country]],country_region[Country],country_region[Country_Standard],"Not found")</f>
        <v>Australia</v>
      </c>
      <c r="Q305" s="5" t="str">
        <f>_xlfn.XLOOKUP(Clean_Data[[#This Row],[Country]],country_region[Country],country_region[Region],"Not found")</f>
        <v>Oceania</v>
      </c>
      <c r="R305" s="5" t="str">
        <f>_xlfn.XLOOKUP(Clean_Data[[#This Row],[Type of Event]],event_type_category[Type of Event],event_type_category[Category],"Not found")</f>
        <v>Culture, Religion &amp; Sport</v>
      </c>
    </row>
    <row r="306" spans="1:18">
      <c r="A306">
        <v>334</v>
      </c>
      <c r="B306" t="s">
        <v>1572</v>
      </c>
      <c r="C306" t="s">
        <v>522</v>
      </c>
      <c r="D306" t="s">
        <v>47</v>
      </c>
      <c r="E306" t="s">
        <v>737</v>
      </c>
      <c r="F306" t="s">
        <v>1448</v>
      </c>
      <c r="G306" t="s">
        <v>1573</v>
      </c>
      <c r="H306" t="s">
        <v>300</v>
      </c>
      <c r="I306" t="s">
        <v>1574</v>
      </c>
      <c r="J306" t="s">
        <v>1575</v>
      </c>
      <c r="K306" t="s">
        <v>1576</v>
      </c>
      <c r="L306" t="s">
        <v>21</v>
      </c>
      <c r="M306">
        <v>1967</v>
      </c>
      <c r="N306" s="5">
        <f>ROUNDUP(Clean_Data[[#This Row],[Year_Num]]/100,0)</f>
        <v>20</v>
      </c>
      <c r="O306" s="5" t="str" cm="1">
        <f t="array" ref="O306">_xlfn.LET(_xlpm.y,Clean_Data[[#This Row],[Year_Num]],_xlfn.IFS(_xlpm.y&lt;500,"Ancient",_xlpm.y&lt;1500,"Medieval",_xlpm.y&lt;1800,"Early Modern",_xlpm.y&lt;1946,"Modern",TRUE,"Contemporary"))</f>
        <v>Contemporary</v>
      </c>
      <c r="P306" s="5" t="str">
        <f>_xlfn.XLOOKUP(Clean_Data[[#This Row],[Country]],country_region[Country],country_region[Country_Standard],"Not found")</f>
        <v>Australia</v>
      </c>
      <c r="Q306" s="5" t="str">
        <f>_xlfn.XLOOKUP(Clean_Data[[#This Row],[Country]],country_region[Country],country_region[Region],"Not found")</f>
        <v>Oceania</v>
      </c>
      <c r="R306" s="5" t="str">
        <f>_xlfn.XLOOKUP(Clean_Data[[#This Row],[Type of Event]],event_type_category[Type of Event],event_type_category[Category],"Not found")</f>
        <v>Politics &amp; Law</v>
      </c>
    </row>
    <row r="307" spans="1:18">
      <c r="A307">
        <v>335</v>
      </c>
      <c r="B307" t="s">
        <v>1577</v>
      </c>
      <c r="E307" t="s">
        <v>189</v>
      </c>
      <c r="F307" t="s">
        <v>1448</v>
      </c>
      <c r="G307" t="s">
        <v>138</v>
      </c>
      <c r="H307" t="s">
        <v>1578</v>
      </c>
      <c r="I307" t="s">
        <v>1579</v>
      </c>
      <c r="J307" t="s">
        <v>1580</v>
      </c>
      <c r="K307" t="s">
        <v>1523</v>
      </c>
      <c r="L307" t="s">
        <v>36</v>
      </c>
      <c r="M307">
        <v>1962</v>
      </c>
      <c r="N307" s="5">
        <f>ROUNDUP(Clean_Data[[#This Row],[Year_Num]]/100,0)</f>
        <v>20</v>
      </c>
      <c r="O307" s="5" t="str" cm="1">
        <f t="array" ref="O307">_xlfn.LET(_xlpm.y,Clean_Data[[#This Row],[Year_Num]],_xlfn.IFS(_xlpm.y&lt;500,"Ancient",_xlpm.y&lt;1500,"Medieval",_xlpm.y&lt;1800,"Early Modern",_xlpm.y&lt;1946,"Modern",TRUE,"Contemporary"))</f>
        <v>Contemporary</v>
      </c>
      <c r="P307" s="5" t="str">
        <f>_xlfn.XLOOKUP(Clean_Data[[#This Row],[Country]],country_region[Country],country_region[Country_Standard],"Not found")</f>
        <v>Australia</v>
      </c>
      <c r="Q307" s="5" t="str">
        <f>_xlfn.XLOOKUP(Clean_Data[[#This Row],[Country]],country_region[Country],country_region[Region],"Not found")</f>
        <v>Oceania</v>
      </c>
      <c r="R307" s="5" t="str">
        <f>_xlfn.XLOOKUP(Clean_Data[[#This Row],[Type of Event]],event_type_category[Type of Event],event_type_category[Category],"Not found")</f>
        <v>War &amp; Conflict</v>
      </c>
    </row>
    <row r="308" spans="1:18">
      <c r="A308">
        <v>336</v>
      </c>
      <c r="B308" t="s">
        <v>1581</v>
      </c>
      <c r="C308" t="s">
        <v>74</v>
      </c>
      <c r="D308" t="s">
        <v>83</v>
      </c>
      <c r="E308" t="s">
        <v>201</v>
      </c>
      <c r="F308" t="s">
        <v>1448</v>
      </c>
      <c r="G308" t="s">
        <v>1049</v>
      </c>
      <c r="H308" t="s">
        <v>1582</v>
      </c>
      <c r="I308" t="s">
        <v>4912</v>
      </c>
      <c r="J308" t="s">
        <v>1557</v>
      </c>
      <c r="K308" t="s">
        <v>1584</v>
      </c>
      <c r="L308" t="s">
        <v>54</v>
      </c>
      <c r="M308">
        <v>1975</v>
      </c>
      <c r="N308" s="5">
        <f>ROUNDUP(Clean_Data[[#This Row],[Year_Num]]/100,0)</f>
        <v>20</v>
      </c>
      <c r="O308" s="5" t="str" cm="1">
        <f t="array" ref="O308">_xlfn.LET(_xlpm.y,Clean_Data[[#This Row],[Year_Num]],_xlfn.IFS(_xlpm.y&lt;500,"Ancient",_xlpm.y&lt;1500,"Medieval",_xlpm.y&lt;1800,"Early Modern",_xlpm.y&lt;1946,"Modern",TRUE,"Contemporary"))</f>
        <v>Contemporary</v>
      </c>
      <c r="P308" s="5" t="str">
        <f>_xlfn.XLOOKUP(Clean_Data[[#This Row],[Country]],country_region[Country],country_region[Country_Standard],"Not found")</f>
        <v>Australia</v>
      </c>
      <c r="Q308" s="5" t="str">
        <f>_xlfn.XLOOKUP(Clean_Data[[#This Row],[Country]],country_region[Country],country_region[Region],"Not found")</f>
        <v>Oceania</v>
      </c>
      <c r="R308" s="5" t="str">
        <f>_xlfn.XLOOKUP(Clean_Data[[#This Row],[Type of Event]],event_type_category[Type of Event],event_type_category[Category],"Not found")</f>
        <v>Politics &amp; Law</v>
      </c>
    </row>
    <row r="309" spans="1:18">
      <c r="A309">
        <v>337</v>
      </c>
      <c r="B309" t="s">
        <v>1585</v>
      </c>
      <c r="C309" t="s">
        <v>362</v>
      </c>
      <c r="D309" t="s">
        <v>39</v>
      </c>
      <c r="E309" t="s">
        <v>1586</v>
      </c>
      <c r="F309" t="s">
        <v>1448</v>
      </c>
      <c r="G309" t="s">
        <v>1587</v>
      </c>
      <c r="H309" t="s">
        <v>1588</v>
      </c>
      <c r="I309" t="s">
        <v>1589</v>
      </c>
      <c r="J309" t="s">
        <v>1557</v>
      </c>
      <c r="K309" t="s">
        <v>1590</v>
      </c>
      <c r="L309" t="s">
        <v>21</v>
      </c>
      <c r="M309">
        <v>1996</v>
      </c>
      <c r="N309" s="5">
        <f>ROUNDUP(Clean_Data[[#This Row],[Year_Num]]/100,0)</f>
        <v>20</v>
      </c>
      <c r="O309" s="5" t="str" cm="1">
        <f t="array" ref="O309">_xlfn.LET(_xlpm.y,Clean_Data[[#This Row],[Year_Num]],_xlfn.IFS(_xlpm.y&lt;500,"Ancient",_xlpm.y&lt;1500,"Medieval",_xlpm.y&lt;1800,"Early Modern",_xlpm.y&lt;1946,"Modern",TRUE,"Contemporary"))</f>
        <v>Contemporary</v>
      </c>
      <c r="P309" s="5" t="str">
        <f>_xlfn.XLOOKUP(Clean_Data[[#This Row],[Country]],country_region[Country],country_region[Country_Standard],"Not found")</f>
        <v>Australia</v>
      </c>
      <c r="Q309" s="5" t="str">
        <f>_xlfn.XLOOKUP(Clean_Data[[#This Row],[Country]],country_region[Country],country_region[Region],"Not found")</f>
        <v>Oceania</v>
      </c>
      <c r="R309" s="5" t="str">
        <f>_xlfn.XLOOKUP(Clean_Data[[#This Row],[Type of Event]],event_type_category[Type of Event],event_type_category[Category],"Not found")</f>
        <v>War &amp; Conflict</v>
      </c>
    </row>
    <row r="310" spans="1:18">
      <c r="A310">
        <v>338</v>
      </c>
      <c r="B310" t="s">
        <v>1591</v>
      </c>
      <c r="C310" t="s">
        <v>65</v>
      </c>
      <c r="D310" t="s">
        <v>267</v>
      </c>
      <c r="E310" t="s">
        <v>613</v>
      </c>
      <c r="F310" t="s">
        <v>1448</v>
      </c>
      <c r="G310" t="s">
        <v>1592</v>
      </c>
      <c r="H310" t="s">
        <v>1593</v>
      </c>
      <c r="I310" t="s">
        <v>1594</v>
      </c>
      <c r="J310" t="s">
        <v>1557</v>
      </c>
      <c r="K310" t="s">
        <v>1595</v>
      </c>
      <c r="L310" t="s">
        <v>21</v>
      </c>
      <c r="M310">
        <v>1986</v>
      </c>
      <c r="N310" s="5">
        <f>ROUNDUP(Clean_Data[[#This Row],[Year_Num]]/100,0)</f>
        <v>20</v>
      </c>
      <c r="O310" s="5" t="str" cm="1">
        <f t="array" ref="O310">_xlfn.LET(_xlpm.y,Clean_Data[[#This Row],[Year_Num]],_xlfn.IFS(_xlpm.y&lt;500,"Ancient",_xlpm.y&lt;1500,"Medieval",_xlpm.y&lt;1800,"Early Modern",_xlpm.y&lt;1946,"Modern",TRUE,"Contemporary"))</f>
        <v>Contemporary</v>
      </c>
      <c r="P310" s="5" t="str">
        <f>_xlfn.XLOOKUP(Clean_Data[[#This Row],[Country]],country_region[Country],country_region[Country_Standard],"Not found")</f>
        <v>Australia</v>
      </c>
      <c r="Q310" s="5" t="str">
        <f>_xlfn.XLOOKUP(Clean_Data[[#This Row],[Country]],country_region[Country],country_region[Region],"Not found")</f>
        <v>Oceania</v>
      </c>
      <c r="R310" s="5" t="str">
        <f>_xlfn.XLOOKUP(Clean_Data[[#This Row],[Type of Event]],event_type_category[Type of Event],event_type_category[Category],"Not found")</f>
        <v>Politics &amp; Law</v>
      </c>
    </row>
    <row r="311" spans="1:18">
      <c r="A311">
        <v>339</v>
      </c>
      <c r="B311" t="s">
        <v>1596</v>
      </c>
      <c r="C311" t="s">
        <v>224</v>
      </c>
      <c r="D311" t="s">
        <v>173</v>
      </c>
      <c r="E311" t="s">
        <v>84</v>
      </c>
      <c r="F311" t="s">
        <v>1448</v>
      </c>
      <c r="G311" t="s">
        <v>31</v>
      </c>
      <c r="H311" t="s">
        <v>1582</v>
      </c>
      <c r="I311" t="s">
        <v>1597</v>
      </c>
      <c r="J311" t="s">
        <v>1562</v>
      </c>
      <c r="K311" t="s">
        <v>1598</v>
      </c>
      <c r="L311" t="s">
        <v>21</v>
      </c>
      <c r="M311">
        <v>2008</v>
      </c>
      <c r="N311" s="5">
        <f>ROUNDUP(Clean_Data[[#This Row],[Year_Num]]/100,0)</f>
        <v>21</v>
      </c>
      <c r="O311" s="5" t="str" cm="1">
        <f t="array" ref="O311">_xlfn.LET(_xlpm.y,Clean_Data[[#This Row],[Year_Num]],_xlfn.IFS(_xlpm.y&lt;500,"Ancient",_xlpm.y&lt;1500,"Medieval",_xlpm.y&lt;1800,"Early Modern",_xlpm.y&lt;1946,"Modern",TRUE,"Contemporary"))</f>
        <v>Contemporary</v>
      </c>
      <c r="P311" s="5" t="str">
        <f>_xlfn.XLOOKUP(Clean_Data[[#This Row],[Country]],country_region[Country],country_region[Country_Standard],"Not found")</f>
        <v>Australia</v>
      </c>
      <c r="Q311" s="5" t="str">
        <f>_xlfn.XLOOKUP(Clean_Data[[#This Row],[Country]],country_region[Country],country_region[Region],"Not found")</f>
        <v>Oceania</v>
      </c>
      <c r="R311" s="5" t="str">
        <f>_xlfn.XLOOKUP(Clean_Data[[#This Row],[Type of Event]],event_type_category[Type of Event],event_type_category[Category],"Not found")</f>
        <v>Politics &amp; Law</v>
      </c>
    </row>
    <row r="312" spans="1:18">
      <c r="A312">
        <v>340</v>
      </c>
      <c r="B312" t="s">
        <v>1599</v>
      </c>
      <c r="E312" t="s">
        <v>438</v>
      </c>
      <c r="F312" t="s">
        <v>1448</v>
      </c>
      <c r="G312" t="s">
        <v>138</v>
      </c>
      <c r="H312" t="s">
        <v>1354</v>
      </c>
      <c r="I312" t="s">
        <v>1600</v>
      </c>
      <c r="J312" t="s">
        <v>1601</v>
      </c>
      <c r="K312" t="s">
        <v>1508</v>
      </c>
      <c r="L312" t="s">
        <v>36</v>
      </c>
      <c r="M312">
        <v>1950</v>
      </c>
      <c r="N312" s="5">
        <f>ROUNDUP(Clean_Data[[#This Row],[Year_Num]]/100,0)</f>
        <v>20</v>
      </c>
      <c r="O312" s="5" t="str" cm="1">
        <f t="array" ref="O312">_xlfn.LET(_xlpm.y,Clean_Data[[#This Row],[Year_Num]],_xlfn.IFS(_xlpm.y&lt;500,"Ancient",_xlpm.y&lt;1500,"Medieval",_xlpm.y&lt;1800,"Early Modern",_xlpm.y&lt;1946,"Modern",TRUE,"Contemporary"))</f>
        <v>Contemporary</v>
      </c>
      <c r="P312" s="5" t="str">
        <f>_xlfn.XLOOKUP(Clean_Data[[#This Row],[Country]],country_region[Country],country_region[Country_Standard],"Not found")</f>
        <v>Australia</v>
      </c>
      <c r="Q312" s="5" t="str">
        <f>_xlfn.XLOOKUP(Clean_Data[[#This Row],[Country]],country_region[Country],country_region[Region],"Not found")</f>
        <v>Oceania</v>
      </c>
      <c r="R312" s="5" t="str">
        <f>_xlfn.XLOOKUP(Clean_Data[[#This Row],[Type of Event]],event_type_category[Type of Event],event_type_category[Category],"Not found")</f>
        <v>War &amp; Conflict</v>
      </c>
    </row>
    <row r="313" spans="1:18">
      <c r="A313">
        <v>341</v>
      </c>
      <c r="B313" t="s">
        <v>1602</v>
      </c>
      <c r="C313" t="s">
        <v>46</v>
      </c>
      <c r="D313" t="s">
        <v>286</v>
      </c>
      <c r="E313" t="s">
        <v>185</v>
      </c>
      <c r="F313" t="s">
        <v>1448</v>
      </c>
      <c r="G313" t="s">
        <v>489</v>
      </c>
      <c r="H313" t="s">
        <v>1376</v>
      </c>
      <c r="I313" t="s">
        <v>1603</v>
      </c>
      <c r="J313" t="s">
        <v>1557</v>
      </c>
      <c r="K313" t="s">
        <v>1604</v>
      </c>
      <c r="L313" t="s">
        <v>21</v>
      </c>
      <c r="M313">
        <v>1951</v>
      </c>
      <c r="N313" s="5">
        <f>ROUNDUP(Clean_Data[[#This Row],[Year_Num]]/100,0)</f>
        <v>20</v>
      </c>
      <c r="O313" s="5" t="str" cm="1">
        <f t="array" ref="O313">_xlfn.LET(_xlpm.y,Clean_Data[[#This Row],[Year_Num]],_xlfn.IFS(_xlpm.y&lt;500,"Ancient",_xlpm.y&lt;1500,"Medieval",_xlpm.y&lt;1800,"Early Modern",_xlpm.y&lt;1946,"Modern",TRUE,"Contemporary"))</f>
        <v>Contemporary</v>
      </c>
      <c r="P313" s="5" t="str">
        <f>_xlfn.XLOOKUP(Clean_Data[[#This Row],[Country]],country_region[Country],country_region[Country_Standard],"Not found")</f>
        <v>Australia</v>
      </c>
      <c r="Q313" s="5" t="str">
        <f>_xlfn.XLOOKUP(Clean_Data[[#This Row],[Country]],country_region[Country],country_region[Region],"Not found")</f>
        <v>Oceania</v>
      </c>
      <c r="R313" s="5" t="str">
        <f>_xlfn.XLOOKUP(Clean_Data[[#This Row],[Type of Event]],event_type_category[Type of Event],event_type_category[Category],"Not found")</f>
        <v>Diplomacy &amp; International Relations</v>
      </c>
    </row>
    <row r="314" spans="1:18">
      <c r="A314">
        <v>342</v>
      </c>
      <c r="B314" t="s">
        <v>1605</v>
      </c>
      <c r="E314" t="s">
        <v>189</v>
      </c>
      <c r="F314" t="s">
        <v>1448</v>
      </c>
      <c r="G314" t="s">
        <v>138</v>
      </c>
      <c r="H314" t="s">
        <v>1578</v>
      </c>
      <c r="I314" t="s">
        <v>1606</v>
      </c>
      <c r="J314" t="s">
        <v>1607</v>
      </c>
      <c r="K314" t="s">
        <v>1508</v>
      </c>
      <c r="L314" t="s">
        <v>54</v>
      </c>
      <c r="M314">
        <v>1962</v>
      </c>
      <c r="N314" s="5">
        <f>ROUNDUP(Clean_Data[[#This Row],[Year_Num]]/100,0)</f>
        <v>20</v>
      </c>
      <c r="O314" s="5" t="str" cm="1">
        <f t="array" ref="O314">_xlfn.LET(_xlpm.y,Clean_Data[[#This Row],[Year_Num]],_xlfn.IFS(_xlpm.y&lt;500,"Ancient",_xlpm.y&lt;1500,"Medieval",_xlpm.y&lt;1800,"Early Modern",_xlpm.y&lt;1946,"Modern",TRUE,"Contemporary"))</f>
        <v>Contemporary</v>
      </c>
      <c r="P314" s="5" t="str">
        <f>_xlfn.XLOOKUP(Clean_Data[[#This Row],[Country]],country_region[Country],country_region[Country_Standard],"Not found")</f>
        <v>Australia</v>
      </c>
      <c r="Q314" s="5" t="str">
        <f>_xlfn.XLOOKUP(Clean_Data[[#This Row],[Country]],country_region[Country],country_region[Region],"Not found")</f>
        <v>Oceania</v>
      </c>
      <c r="R314" s="5" t="str">
        <f>_xlfn.XLOOKUP(Clean_Data[[#This Row],[Type of Event]],event_type_category[Type of Event],event_type_category[Category],"Not found")</f>
        <v>War &amp; Conflict</v>
      </c>
    </row>
    <row r="315" spans="1:18">
      <c r="A315">
        <v>343</v>
      </c>
      <c r="B315" t="s">
        <v>1608</v>
      </c>
      <c r="E315" t="s">
        <v>1609</v>
      </c>
      <c r="F315" t="s">
        <v>1448</v>
      </c>
      <c r="G315" t="s">
        <v>1610</v>
      </c>
      <c r="H315" t="s">
        <v>1611</v>
      </c>
      <c r="I315" t="s">
        <v>1612</v>
      </c>
      <c r="J315" t="s">
        <v>1562</v>
      </c>
      <c r="K315" t="s">
        <v>1508</v>
      </c>
      <c r="L315" t="s">
        <v>21</v>
      </c>
      <c r="M315">
        <v>1976</v>
      </c>
      <c r="N315" s="5">
        <f>ROUNDUP(Clean_Data[[#This Row],[Year_Num]]/100,0)</f>
        <v>20</v>
      </c>
      <c r="O315" s="5" t="str" cm="1">
        <f t="array" ref="O315">_xlfn.LET(_xlpm.y,Clean_Data[[#This Row],[Year_Num]],_xlfn.IFS(_xlpm.y&lt;500,"Ancient",_xlpm.y&lt;1500,"Medieval",_xlpm.y&lt;1800,"Early Modern",_xlpm.y&lt;1946,"Modern",TRUE,"Contemporary"))</f>
        <v>Contemporary</v>
      </c>
      <c r="P315" s="5" t="str">
        <f>_xlfn.XLOOKUP(Clean_Data[[#This Row],[Country]],country_region[Country],country_region[Country_Standard],"Not found")</f>
        <v>Australia</v>
      </c>
      <c r="Q315" s="5" t="str">
        <f>_xlfn.XLOOKUP(Clean_Data[[#This Row],[Country]],country_region[Country],country_region[Region],"Not found")</f>
        <v>Oceania</v>
      </c>
      <c r="R315" s="5" t="str">
        <f>_xlfn.XLOOKUP(Clean_Data[[#This Row],[Type of Event]],event_type_category[Type of Event],event_type_category[Category],"Not found")</f>
        <v>Politics &amp; Law</v>
      </c>
    </row>
    <row r="316" spans="1:18">
      <c r="A316">
        <v>345</v>
      </c>
      <c r="B316" t="s">
        <v>1616</v>
      </c>
      <c r="C316" t="s">
        <v>74</v>
      </c>
      <c r="D316" t="s">
        <v>83</v>
      </c>
      <c r="E316" t="s">
        <v>201</v>
      </c>
      <c r="F316" t="s">
        <v>1448</v>
      </c>
      <c r="G316" t="s">
        <v>1049</v>
      </c>
      <c r="H316" t="s">
        <v>1582</v>
      </c>
      <c r="I316" t="s">
        <v>4913</v>
      </c>
      <c r="J316" t="s">
        <v>1557</v>
      </c>
      <c r="K316" t="s">
        <v>1584</v>
      </c>
      <c r="L316" t="s">
        <v>54</v>
      </c>
      <c r="M316">
        <v>1975</v>
      </c>
      <c r="N316" s="5">
        <f>ROUNDUP(Clean_Data[[#This Row],[Year_Num]]/100,0)</f>
        <v>20</v>
      </c>
      <c r="O316" s="5" t="str" cm="1">
        <f t="array" ref="O316">_xlfn.LET(_xlpm.y,Clean_Data[[#This Row],[Year_Num]],_xlfn.IFS(_xlpm.y&lt;500,"Ancient",_xlpm.y&lt;1500,"Medieval",_xlpm.y&lt;1800,"Early Modern",_xlpm.y&lt;1946,"Modern",TRUE,"Contemporary"))</f>
        <v>Contemporary</v>
      </c>
      <c r="P316" s="5" t="str">
        <f>_xlfn.XLOOKUP(Clean_Data[[#This Row],[Country]],country_region[Country],country_region[Country_Standard],"Not found")</f>
        <v>Australia</v>
      </c>
      <c r="Q316" s="5" t="str">
        <f>_xlfn.XLOOKUP(Clean_Data[[#This Row],[Country]],country_region[Country],country_region[Region],"Not found")</f>
        <v>Oceania</v>
      </c>
      <c r="R316" s="5" t="str">
        <f>_xlfn.XLOOKUP(Clean_Data[[#This Row],[Type of Event]],event_type_category[Type of Event],event_type_category[Category],"Not found")</f>
        <v>Politics &amp; Law</v>
      </c>
    </row>
    <row r="317" spans="1:18">
      <c r="A317">
        <v>346</v>
      </c>
      <c r="B317" t="s">
        <v>1618</v>
      </c>
      <c r="E317" t="s">
        <v>613</v>
      </c>
      <c r="F317" t="s">
        <v>1448</v>
      </c>
      <c r="G317" t="s">
        <v>1619</v>
      </c>
      <c r="H317" t="s">
        <v>1620</v>
      </c>
      <c r="I317" t="s">
        <v>1621</v>
      </c>
      <c r="J317" t="s">
        <v>1557</v>
      </c>
      <c r="K317" t="s">
        <v>1508</v>
      </c>
      <c r="L317" t="s">
        <v>21</v>
      </c>
      <c r="M317">
        <v>1986</v>
      </c>
      <c r="N317" s="5">
        <f>ROUNDUP(Clean_Data[[#This Row],[Year_Num]]/100,0)</f>
        <v>20</v>
      </c>
      <c r="O317" s="5" t="str" cm="1">
        <f t="array" ref="O317">_xlfn.LET(_xlpm.y,Clean_Data[[#This Row],[Year_Num]],_xlfn.IFS(_xlpm.y&lt;500,"Ancient",_xlpm.y&lt;1500,"Medieval",_xlpm.y&lt;1800,"Early Modern",_xlpm.y&lt;1946,"Modern",TRUE,"Contemporary"))</f>
        <v>Contemporary</v>
      </c>
      <c r="P317" s="5" t="str">
        <f>_xlfn.XLOOKUP(Clean_Data[[#This Row],[Country]],country_region[Country],country_region[Country_Standard],"Not found")</f>
        <v>Australia</v>
      </c>
      <c r="Q317" s="5" t="str">
        <f>_xlfn.XLOOKUP(Clean_Data[[#This Row],[Country]],country_region[Country],country_region[Region],"Not found")</f>
        <v>Oceania</v>
      </c>
      <c r="R317" s="5" t="str">
        <f>_xlfn.XLOOKUP(Clean_Data[[#This Row],[Type of Event]],event_type_category[Type of Event],event_type_category[Category],"Not found")</f>
        <v>Politics &amp; Law</v>
      </c>
    </row>
    <row r="318" spans="1:18">
      <c r="A318">
        <v>347</v>
      </c>
      <c r="B318" t="s">
        <v>1622</v>
      </c>
      <c r="C318" t="s">
        <v>65</v>
      </c>
      <c r="D318" t="s">
        <v>100</v>
      </c>
      <c r="E318" t="s">
        <v>893</v>
      </c>
      <c r="F318" t="s">
        <v>1448</v>
      </c>
      <c r="G318" t="s">
        <v>1559</v>
      </c>
      <c r="H318" t="s">
        <v>1448</v>
      </c>
      <c r="I318" t="s">
        <v>1623</v>
      </c>
      <c r="J318" t="s">
        <v>1562</v>
      </c>
      <c r="K318" t="s">
        <v>1563</v>
      </c>
      <c r="L318" t="s">
        <v>21</v>
      </c>
      <c r="M318">
        <v>1992</v>
      </c>
      <c r="N318" s="5">
        <f>ROUNDUP(Clean_Data[[#This Row],[Year_Num]]/100,0)</f>
        <v>20</v>
      </c>
      <c r="O318" s="5" t="str" cm="1">
        <f t="array" ref="O318">_xlfn.LET(_xlpm.y,Clean_Data[[#This Row],[Year_Num]],_xlfn.IFS(_xlpm.y&lt;500,"Ancient",_xlpm.y&lt;1500,"Medieval",_xlpm.y&lt;1800,"Early Modern",_xlpm.y&lt;1946,"Modern",TRUE,"Contemporary"))</f>
        <v>Contemporary</v>
      </c>
      <c r="P318" s="5" t="str">
        <f>_xlfn.XLOOKUP(Clean_Data[[#This Row],[Country]],country_region[Country],country_region[Country_Standard],"Not found")</f>
        <v>Australia</v>
      </c>
      <c r="Q318" s="5" t="str">
        <f>_xlfn.XLOOKUP(Clean_Data[[#This Row],[Country]],country_region[Country],country_region[Region],"Not found")</f>
        <v>Oceania</v>
      </c>
      <c r="R318" s="5" t="str">
        <f>_xlfn.XLOOKUP(Clean_Data[[#This Row],[Type of Event]],event_type_category[Type of Event],event_type_category[Category],"Not found")</f>
        <v>Society &amp; Health</v>
      </c>
    </row>
    <row r="319" spans="1:18">
      <c r="A319">
        <v>349</v>
      </c>
      <c r="B319" t="s">
        <v>1625</v>
      </c>
      <c r="C319" t="s">
        <v>56</v>
      </c>
      <c r="D319" t="s">
        <v>286</v>
      </c>
      <c r="E319" t="s">
        <v>1203</v>
      </c>
      <c r="F319" t="s">
        <v>1448</v>
      </c>
      <c r="G319" t="s">
        <v>827</v>
      </c>
      <c r="H319" t="s">
        <v>1489</v>
      </c>
      <c r="I319" t="s">
        <v>1626</v>
      </c>
      <c r="J319" t="s">
        <v>830</v>
      </c>
      <c r="K319" t="s">
        <v>1508</v>
      </c>
      <c r="L319" t="s">
        <v>21</v>
      </c>
      <c r="M319">
        <v>2000</v>
      </c>
      <c r="N319" s="5">
        <f>ROUNDUP(Clean_Data[[#This Row],[Year_Num]]/100,0)</f>
        <v>20</v>
      </c>
      <c r="O319" s="5" t="str" cm="1">
        <f t="array" ref="O319">_xlfn.LET(_xlpm.y,Clean_Data[[#This Row],[Year_Num]],_xlfn.IFS(_xlpm.y&lt;500,"Ancient",_xlpm.y&lt;1500,"Medieval",_xlpm.y&lt;1800,"Early Modern",_xlpm.y&lt;1946,"Modern",TRUE,"Contemporary"))</f>
        <v>Contemporary</v>
      </c>
      <c r="P319" s="5" t="str">
        <f>_xlfn.XLOOKUP(Clean_Data[[#This Row],[Country]],country_region[Country],country_region[Country_Standard],"Not found")</f>
        <v>Australia</v>
      </c>
      <c r="Q319" s="5" t="str">
        <f>_xlfn.XLOOKUP(Clean_Data[[#This Row],[Country]],country_region[Country],country_region[Region],"Not found")</f>
        <v>Oceania</v>
      </c>
      <c r="R319" s="5" t="str">
        <f>_xlfn.XLOOKUP(Clean_Data[[#This Row],[Type of Event]],event_type_category[Type of Event],event_type_category[Category],"Not found")</f>
        <v>Culture, Religion &amp; Sport</v>
      </c>
    </row>
    <row r="320" spans="1:18">
      <c r="A320">
        <v>350</v>
      </c>
      <c r="B320" t="s">
        <v>1627</v>
      </c>
      <c r="C320" t="s">
        <v>224</v>
      </c>
      <c r="D320" t="s">
        <v>173</v>
      </c>
      <c r="E320" t="s">
        <v>84</v>
      </c>
      <c r="F320" t="s">
        <v>1448</v>
      </c>
      <c r="G320" t="s">
        <v>31</v>
      </c>
      <c r="H320" t="s">
        <v>1582</v>
      </c>
      <c r="I320" t="s">
        <v>1628</v>
      </c>
      <c r="J320" t="s">
        <v>1562</v>
      </c>
      <c r="K320" t="s">
        <v>1629</v>
      </c>
      <c r="L320" t="s">
        <v>21</v>
      </c>
      <c r="M320">
        <v>2008</v>
      </c>
      <c r="N320" s="5">
        <f>ROUNDUP(Clean_Data[[#This Row],[Year_Num]]/100,0)</f>
        <v>21</v>
      </c>
      <c r="O320" s="5" t="str" cm="1">
        <f t="array" ref="O320">_xlfn.LET(_xlpm.y,Clean_Data[[#This Row],[Year_Num]],_xlfn.IFS(_xlpm.y&lt;500,"Ancient",_xlpm.y&lt;1500,"Medieval",_xlpm.y&lt;1800,"Early Modern",_xlpm.y&lt;1946,"Modern",TRUE,"Contemporary"))</f>
        <v>Contemporary</v>
      </c>
      <c r="P320" s="5" t="str">
        <f>_xlfn.XLOOKUP(Clean_Data[[#This Row],[Country]],country_region[Country],country_region[Country_Standard],"Not found")</f>
        <v>Australia</v>
      </c>
      <c r="Q320" s="5" t="str">
        <f>_xlfn.XLOOKUP(Clean_Data[[#This Row],[Country]],country_region[Country],country_region[Region],"Not found")</f>
        <v>Oceania</v>
      </c>
      <c r="R320" s="5" t="str">
        <f>_xlfn.XLOOKUP(Clean_Data[[#This Row],[Type of Event]],event_type_category[Type of Event],event_type_category[Category],"Not found")</f>
        <v>Politics &amp; Law</v>
      </c>
    </row>
    <row r="321" spans="1:18">
      <c r="A321">
        <v>351</v>
      </c>
      <c r="B321" t="s">
        <v>1630</v>
      </c>
      <c r="C321" t="s">
        <v>46</v>
      </c>
      <c r="D321" t="s">
        <v>211</v>
      </c>
      <c r="E321" t="s">
        <v>1203</v>
      </c>
      <c r="F321" t="s">
        <v>1448</v>
      </c>
      <c r="G321" t="s">
        <v>213</v>
      </c>
      <c r="H321" t="s">
        <v>1448</v>
      </c>
      <c r="I321" t="s">
        <v>1631</v>
      </c>
      <c r="J321" t="s">
        <v>1632</v>
      </c>
      <c r="K321" t="s">
        <v>1624</v>
      </c>
      <c r="L321" t="s">
        <v>36</v>
      </c>
      <c r="M321">
        <v>2000</v>
      </c>
      <c r="N321" s="5">
        <f>ROUNDUP(Clean_Data[[#This Row],[Year_Num]]/100,0)</f>
        <v>20</v>
      </c>
      <c r="O321" s="5" t="str" cm="1">
        <f t="array" ref="O321">_xlfn.LET(_xlpm.y,Clean_Data[[#This Row],[Year_Num]],_xlfn.IFS(_xlpm.y&lt;500,"Ancient",_xlpm.y&lt;1500,"Medieval",_xlpm.y&lt;1800,"Early Modern",_xlpm.y&lt;1946,"Modern",TRUE,"Contemporary"))</f>
        <v>Contemporary</v>
      </c>
      <c r="P321" s="5" t="str">
        <f>_xlfn.XLOOKUP(Clean_Data[[#This Row],[Country]],country_region[Country],country_region[Country_Standard],"Not found")</f>
        <v>Australia</v>
      </c>
      <c r="Q321" s="5" t="str">
        <f>_xlfn.XLOOKUP(Clean_Data[[#This Row],[Country]],country_region[Country],country_region[Region],"Not found")</f>
        <v>Oceania</v>
      </c>
      <c r="R321" s="5" t="str">
        <f>_xlfn.XLOOKUP(Clean_Data[[#This Row],[Type of Event]],event_type_category[Type of Event],event_type_category[Category],"Not found")</f>
        <v>Economy &amp; Infrastructure</v>
      </c>
    </row>
    <row r="322" spans="1:18">
      <c r="A322">
        <v>352</v>
      </c>
      <c r="B322" t="s">
        <v>4914</v>
      </c>
      <c r="C322" t="s">
        <v>115</v>
      </c>
      <c r="D322" t="s">
        <v>66</v>
      </c>
      <c r="E322" t="s">
        <v>348</v>
      </c>
      <c r="F322" t="s">
        <v>1448</v>
      </c>
      <c r="G322" t="s">
        <v>1634</v>
      </c>
      <c r="H322" t="s">
        <v>1448</v>
      </c>
      <c r="I322" t="s">
        <v>4915</v>
      </c>
      <c r="J322" t="s">
        <v>1636</v>
      </c>
      <c r="K322" t="s">
        <v>1637</v>
      </c>
      <c r="L322" t="s">
        <v>21</v>
      </c>
      <c r="M322">
        <v>2017</v>
      </c>
      <c r="N322" s="5">
        <f>ROUNDUP(Clean_Data[[#This Row],[Year_Num]]/100,0)</f>
        <v>21</v>
      </c>
      <c r="O322" s="5" t="str" cm="1">
        <f t="array" ref="O322">_xlfn.LET(_xlpm.y,Clean_Data[[#This Row],[Year_Num]],_xlfn.IFS(_xlpm.y&lt;500,"Ancient",_xlpm.y&lt;1500,"Medieval",_xlpm.y&lt;1800,"Early Modern",_xlpm.y&lt;1946,"Modern",TRUE,"Contemporary"))</f>
        <v>Contemporary</v>
      </c>
      <c r="P322" s="5" t="str">
        <f>_xlfn.XLOOKUP(Clean_Data[[#This Row],[Country]],country_region[Country],country_region[Country_Standard],"Not found")</f>
        <v>Australia</v>
      </c>
      <c r="Q322" s="5" t="str">
        <f>_xlfn.XLOOKUP(Clean_Data[[#This Row],[Country]],country_region[Country],country_region[Region],"Not found")</f>
        <v>Oceania</v>
      </c>
      <c r="R322" s="5" t="str">
        <f>_xlfn.XLOOKUP(Clean_Data[[#This Row],[Type of Event]],event_type_category[Type of Event],event_type_category[Category],"Not found")</f>
        <v>Society &amp; Health</v>
      </c>
    </row>
    <row r="323" spans="1:18">
      <c r="A323">
        <v>353</v>
      </c>
      <c r="B323" t="s">
        <v>1638</v>
      </c>
      <c r="D323" t="s">
        <v>57</v>
      </c>
      <c r="E323" t="s">
        <v>225</v>
      </c>
      <c r="F323" t="s">
        <v>1448</v>
      </c>
      <c r="G323" t="s">
        <v>1639</v>
      </c>
      <c r="H323" t="s">
        <v>1640</v>
      </c>
      <c r="I323" t="s">
        <v>1641</v>
      </c>
      <c r="J323" t="s">
        <v>1642</v>
      </c>
      <c r="K323" t="s">
        <v>1624</v>
      </c>
      <c r="L323" t="s">
        <v>54</v>
      </c>
      <c r="M323">
        <v>2001</v>
      </c>
      <c r="N323" s="5">
        <f>ROUNDUP(Clean_Data[[#This Row],[Year_Num]]/100,0)</f>
        <v>21</v>
      </c>
      <c r="O323" s="5" t="str" cm="1">
        <f t="array" ref="O323">_xlfn.LET(_xlpm.y,Clean_Data[[#This Row],[Year_Num]],_xlfn.IFS(_xlpm.y&lt;500,"Ancient",_xlpm.y&lt;1500,"Medieval",_xlpm.y&lt;1800,"Early Modern",_xlpm.y&lt;1946,"Modern",TRUE,"Contemporary"))</f>
        <v>Contemporary</v>
      </c>
      <c r="P323" s="5" t="str">
        <f>_xlfn.XLOOKUP(Clean_Data[[#This Row],[Country]],country_region[Country],country_region[Country_Standard],"Not found")</f>
        <v>Australia</v>
      </c>
      <c r="Q323" s="5" t="str">
        <f>_xlfn.XLOOKUP(Clean_Data[[#This Row],[Country]],country_region[Country],country_region[Region],"Not found")</f>
        <v>Oceania</v>
      </c>
      <c r="R323" s="5" t="str">
        <f>_xlfn.XLOOKUP(Clean_Data[[#This Row],[Type of Event]],event_type_category[Type of Event],event_type_category[Category],"Not found")</f>
        <v>Society &amp; Health</v>
      </c>
    </row>
    <row r="324" spans="1:18">
      <c r="A324">
        <v>354</v>
      </c>
      <c r="B324" t="s">
        <v>1643</v>
      </c>
      <c r="C324" t="s">
        <v>115</v>
      </c>
      <c r="D324" t="s">
        <v>173</v>
      </c>
      <c r="E324" t="s">
        <v>231</v>
      </c>
      <c r="F324" t="s">
        <v>1448</v>
      </c>
      <c r="G324" t="s">
        <v>280</v>
      </c>
      <c r="H324" t="s">
        <v>1552</v>
      </c>
      <c r="I324" t="s">
        <v>1644</v>
      </c>
      <c r="J324" t="s">
        <v>1554</v>
      </c>
      <c r="K324" t="s">
        <v>1645</v>
      </c>
      <c r="L324" t="s">
        <v>54</v>
      </c>
      <c r="M324">
        <v>2009</v>
      </c>
      <c r="N324" s="5">
        <f>ROUNDUP(Clean_Data[[#This Row],[Year_Num]]/100,0)</f>
        <v>21</v>
      </c>
      <c r="O324" s="5" t="str" cm="1">
        <f t="array" ref="O324">_xlfn.LET(_xlpm.y,Clean_Data[[#This Row],[Year_Num]],_xlfn.IFS(_xlpm.y&lt;500,"Ancient",_xlpm.y&lt;1500,"Medieval",_xlpm.y&lt;1800,"Early Modern",_xlpm.y&lt;1946,"Modern",TRUE,"Contemporary"))</f>
        <v>Contemporary</v>
      </c>
      <c r="P324" s="5" t="str">
        <f>_xlfn.XLOOKUP(Clean_Data[[#This Row],[Country]],country_region[Country],country_region[Country_Standard],"Not found")</f>
        <v>Australia</v>
      </c>
      <c r="Q324" s="5" t="str">
        <f>_xlfn.XLOOKUP(Clean_Data[[#This Row],[Country]],country_region[Country],country_region[Region],"Not found")</f>
        <v>Oceania</v>
      </c>
      <c r="R324" s="5" t="str">
        <f>_xlfn.XLOOKUP(Clean_Data[[#This Row],[Type of Event]],event_type_category[Type of Event],event_type_category[Category],"Not found")</f>
        <v>Disasters &amp; Accidents</v>
      </c>
    </row>
    <row r="325" spans="1:18">
      <c r="A325">
        <v>355</v>
      </c>
      <c r="B325" t="s">
        <v>1646</v>
      </c>
      <c r="C325" t="s">
        <v>1129</v>
      </c>
      <c r="D325" t="s">
        <v>211</v>
      </c>
      <c r="E325" t="s">
        <v>287</v>
      </c>
      <c r="F325" t="s">
        <v>1448</v>
      </c>
      <c r="G325" t="s">
        <v>1647</v>
      </c>
      <c r="H325" t="s">
        <v>1448</v>
      </c>
      <c r="I325" t="s">
        <v>1648</v>
      </c>
      <c r="J325" t="s">
        <v>1557</v>
      </c>
      <c r="K325" t="s">
        <v>1649</v>
      </c>
      <c r="L325" t="s">
        <v>54</v>
      </c>
      <c r="M325">
        <v>2014</v>
      </c>
      <c r="N325" s="5">
        <f>ROUNDUP(Clean_Data[[#This Row],[Year_Num]]/100,0)</f>
        <v>21</v>
      </c>
      <c r="O325" s="5" t="str" cm="1">
        <f t="array" ref="O325">_xlfn.LET(_xlpm.y,Clean_Data[[#This Row],[Year_Num]],_xlfn.IFS(_xlpm.y&lt;500,"Ancient",_xlpm.y&lt;1500,"Medieval",_xlpm.y&lt;1800,"Early Modern",_xlpm.y&lt;1946,"Modern",TRUE,"Contemporary"))</f>
        <v>Contemporary</v>
      </c>
      <c r="P325" s="5" t="str">
        <f>_xlfn.XLOOKUP(Clean_Data[[#This Row],[Country]],country_region[Country],country_region[Country_Standard],"Not found")</f>
        <v>Australia</v>
      </c>
      <c r="Q325" s="5" t="str">
        <f>_xlfn.XLOOKUP(Clean_Data[[#This Row],[Country]],country_region[Country],country_region[Region],"Not found")</f>
        <v>Oceania</v>
      </c>
      <c r="R325" s="5" t="str">
        <f>_xlfn.XLOOKUP(Clean_Data[[#This Row],[Type of Event]],event_type_category[Type of Event],event_type_category[Category],"Not found")</f>
        <v>Economy &amp; Infrastructure</v>
      </c>
    </row>
    <row r="326" spans="1:18">
      <c r="A326">
        <v>356</v>
      </c>
      <c r="B326" t="s">
        <v>1650</v>
      </c>
      <c r="E326" t="s">
        <v>279</v>
      </c>
      <c r="F326" t="s">
        <v>1448</v>
      </c>
      <c r="G326" t="s">
        <v>1651</v>
      </c>
      <c r="H326" t="s">
        <v>1448</v>
      </c>
      <c r="I326" t="s">
        <v>1652</v>
      </c>
      <c r="J326" t="s">
        <v>1653</v>
      </c>
      <c r="K326" t="s">
        <v>1508</v>
      </c>
      <c r="L326" t="s">
        <v>21</v>
      </c>
      <c r="M326">
        <v>2013</v>
      </c>
      <c r="N326" s="5">
        <f>ROUNDUP(Clean_Data[[#This Row],[Year_Num]]/100,0)</f>
        <v>21</v>
      </c>
      <c r="O326" s="5" t="str" cm="1">
        <f t="array" ref="O326">_xlfn.LET(_xlpm.y,Clean_Data[[#This Row],[Year_Num]],_xlfn.IFS(_xlpm.y&lt;500,"Ancient",_xlpm.y&lt;1500,"Medieval",_xlpm.y&lt;1800,"Early Modern",_xlpm.y&lt;1946,"Modern",TRUE,"Contemporary"))</f>
        <v>Contemporary</v>
      </c>
      <c r="P326" s="5" t="str">
        <f>_xlfn.XLOOKUP(Clean_Data[[#This Row],[Country]],country_region[Country],country_region[Country_Standard],"Not found")</f>
        <v>Australia</v>
      </c>
      <c r="Q326" s="5" t="str">
        <f>_xlfn.XLOOKUP(Clean_Data[[#This Row],[Country]],country_region[Country],country_region[Region],"Not found")</f>
        <v>Oceania</v>
      </c>
      <c r="R326" s="5" t="str">
        <f>_xlfn.XLOOKUP(Clean_Data[[#This Row],[Type of Event]],event_type_category[Type of Event],event_type_category[Category],"Not found")</f>
        <v>Politics &amp; Law</v>
      </c>
    </row>
    <row r="327" spans="1:18">
      <c r="A327">
        <v>357</v>
      </c>
      <c r="B327" t="s">
        <v>1654</v>
      </c>
      <c r="C327" t="s">
        <v>218</v>
      </c>
      <c r="D327" t="s">
        <v>100</v>
      </c>
      <c r="E327" t="s">
        <v>623</v>
      </c>
      <c r="F327" t="s">
        <v>1448</v>
      </c>
      <c r="G327" t="s">
        <v>1655</v>
      </c>
      <c r="H327" t="s">
        <v>1448</v>
      </c>
      <c r="I327" t="s">
        <v>1656</v>
      </c>
      <c r="J327" t="s">
        <v>1557</v>
      </c>
      <c r="K327" t="s">
        <v>1657</v>
      </c>
      <c r="L327" t="s">
        <v>21</v>
      </c>
      <c r="M327">
        <v>2010</v>
      </c>
      <c r="N327" s="5">
        <f>ROUNDUP(Clean_Data[[#This Row],[Year_Num]]/100,0)</f>
        <v>21</v>
      </c>
      <c r="O327" s="5" t="str" cm="1">
        <f t="array" ref="O327">_xlfn.LET(_xlpm.y,Clean_Data[[#This Row],[Year_Num]],_xlfn.IFS(_xlpm.y&lt;500,"Ancient",_xlpm.y&lt;1500,"Medieval",_xlpm.y&lt;1800,"Early Modern",_xlpm.y&lt;1946,"Modern",TRUE,"Contemporary"))</f>
        <v>Contemporary</v>
      </c>
      <c r="P327" s="5" t="str">
        <f>_xlfn.XLOOKUP(Clean_Data[[#This Row],[Country]],country_region[Country],country_region[Country_Standard],"Not found")</f>
        <v>Australia</v>
      </c>
      <c r="Q327" s="5" t="str">
        <f>_xlfn.XLOOKUP(Clean_Data[[#This Row],[Country]],country_region[Country],country_region[Region],"Not found")</f>
        <v>Oceania</v>
      </c>
      <c r="R327" s="5" t="str">
        <f>_xlfn.XLOOKUP(Clean_Data[[#This Row],[Type of Event]],event_type_category[Type of Event],event_type_category[Category],"Not found")</f>
        <v>Politics &amp; Law</v>
      </c>
    </row>
    <row r="328" spans="1:18">
      <c r="A328">
        <v>358</v>
      </c>
      <c r="B328" t="s">
        <v>1658</v>
      </c>
      <c r="C328" t="s">
        <v>321</v>
      </c>
      <c r="D328" t="s">
        <v>173</v>
      </c>
      <c r="E328" t="s">
        <v>1659</v>
      </c>
      <c r="F328" t="s">
        <v>1660</v>
      </c>
      <c r="G328" t="s">
        <v>1661</v>
      </c>
      <c r="H328" t="s">
        <v>1662</v>
      </c>
      <c r="I328" t="s">
        <v>1663</v>
      </c>
      <c r="J328" t="s">
        <v>1664</v>
      </c>
      <c r="K328" t="s">
        <v>1665</v>
      </c>
      <c r="L328" t="s">
        <v>36</v>
      </c>
      <c r="M328">
        <v>1840</v>
      </c>
      <c r="N328" s="5">
        <f>ROUNDUP(Clean_Data[[#This Row],[Year_Num]]/100,0)</f>
        <v>19</v>
      </c>
      <c r="O328" s="5" t="str" cm="1">
        <f t="array" ref="O328">_xlfn.LET(_xlpm.y,Clean_Data[[#This Row],[Year_Num]],_xlfn.IFS(_xlpm.y&lt;500,"Ancient",_xlpm.y&lt;1500,"Medieval",_xlpm.y&lt;1800,"Early Modern",_xlpm.y&lt;1946,"Modern",TRUE,"Contemporary"))</f>
        <v>Modern</v>
      </c>
      <c r="P328" s="5" t="str">
        <f>_xlfn.XLOOKUP(Clean_Data[[#This Row],[Country]],country_region[Country],country_region[Country_Standard],"Not found")</f>
        <v>New Zealand</v>
      </c>
      <c r="Q328" s="5" t="str">
        <f>_xlfn.XLOOKUP(Clean_Data[[#This Row],[Country]],country_region[Country],country_region[Region],"Not found")</f>
        <v>Oceania</v>
      </c>
      <c r="R328" s="5" t="str">
        <f>_xlfn.XLOOKUP(Clean_Data[[#This Row],[Type of Event]],event_type_category[Type of Event],event_type_category[Category],"Not found")</f>
        <v>Politics &amp; Law</v>
      </c>
    </row>
    <row r="329" spans="1:18">
      <c r="A329">
        <v>359</v>
      </c>
      <c r="B329" t="s">
        <v>1666</v>
      </c>
      <c r="E329" t="s">
        <v>1667</v>
      </c>
      <c r="F329" t="s">
        <v>1660</v>
      </c>
      <c r="G329" t="s">
        <v>138</v>
      </c>
      <c r="H329" t="s">
        <v>1668</v>
      </c>
      <c r="I329" t="s">
        <v>1669</v>
      </c>
      <c r="J329" t="s">
        <v>1664</v>
      </c>
      <c r="K329" t="s">
        <v>1670</v>
      </c>
      <c r="L329" t="s">
        <v>54</v>
      </c>
      <c r="M329">
        <v>1845</v>
      </c>
      <c r="N329" s="5">
        <f>ROUNDUP(Clean_Data[[#This Row],[Year_Num]]/100,0)</f>
        <v>19</v>
      </c>
      <c r="O329" s="5" t="str" cm="1">
        <f t="array" ref="O329">_xlfn.LET(_xlpm.y,Clean_Data[[#This Row],[Year_Num]],_xlfn.IFS(_xlpm.y&lt;500,"Ancient",_xlpm.y&lt;1500,"Medieval",_xlpm.y&lt;1800,"Early Modern",_xlpm.y&lt;1946,"Modern",TRUE,"Contemporary"))</f>
        <v>Modern</v>
      </c>
      <c r="P329" s="5" t="str">
        <f>_xlfn.XLOOKUP(Clean_Data[[#This Row],[Country]],country_region[Country],country_region[Country_Standard],"Not found")</f>
        <v>New Zealand</v>
      </c>
      <c r="Q329" s="5" t="str">
        <f>_xlfn.XLOOKUP(Clean_Data[[#This Row],[Country]],country_region[Country],country_region[Region],"Not found")</f>
        <v>Oceania</v>
      </c>
      <c r="R329" s="5" t="str">
        <f>_xlfn.XLOOKUP(Clean_Data[[#This Row],[Type of Event]],event_type_category[Type of Event],event_type_category[Category],"Not found")</f>
        <v>War &amp; Conflict</v>
      </c>
    </row>
    <row r="330" spans="1:18">
      <c r="A330">
        <v>360</v>
      </c>
      <c r="B330" t="s">
        <v>1461</v>
      </c>
      <c r="E330" t="s">
        <v>1671</v>
      </c>
      <c r="F330" t="s">
        <v>1660</v>
      </c>
      <c r="G330" t="s">
        <v>1672</v>
      </c>
      <c r="H330" t="s">
        <v>1673</v>
      </c>
      <c r="I330" t="s">
        <v>1674</v>
      </c>
      <c r="J330" t="s">
        <v>1675</v>
      </c>
      <c r="L330" t="s">
        <v>21</v>
      </c>
      <c r="M330">
        <v>1861</v>
      </c>
      <c r="N330" s="5">
        <f>ROUNDUP(Clean_Data[[#This Row],[Year_Num]]/100,0)</f>
        <v>19</v>
      </c>
      <c r="O330" s="5" t="str" cm="1">
        <f t="array" ref="O330">_xlfn.LET(_xlpm.y,Clean_Data[[#This Row],[Year_Num]],_xlfn.IFS(_xlpm.y&lt;500,"Ancient",_xlpm.y&lt;1500,"Medieval",_xlpm.y&lt;1800,"Early Modern",_xlpm.y&lt;1946,"Modern",TRUE,"Contemporary"))</f>
        <v>Modern</v>
      </c>
      <c r="P330" s="5" t="str">
        <f>_xlfn.XLOOKUP(Clean_Data[[#This Row],[Country]],country_region[Country],country_region[Country_Standard],"Not found")</f>
        <v>New Zealand</v>
      </c>
      <c r="Q330" s="5" t="str">
        <f>_xlfn.XLOOKUP(Clean_Data[[#This Row],[Country]],country_region[Country],country_region[Region],"Not found")</f>
        <v>Oceania</v>
      </c>
      <c r="R330" s="5" t="str">
        <f>_xlfn.XLOOKUP(Clean_Data[[#This Row],[Type of Event]],event_type_category[Type of Event],event_type_category[Category],"Not found")</f>
        <v>Economy &amp; Infrastructure</v>
      </c>
    </row>
    <row r="331" spans="1:18">
      <c r="A331">
        <v>361</v>
      </c>
      <c r="B331" t="s">
        <v>1676</v>
      </c>
      <c r="E331" t="s">
        <v>1677</v>
      </c>
      <c r="F331" t="s">
        <v>1660</v>
      </c>
      <c r="G331" t="s">
        <v>1678</v>
      </c>
      <c r="I331" t="s">
        <v>4916</v>
      </c>
      <c r="J331" t="s">
        <v>1680</v>
      </c>
      <c r="K331" t="s">
        <v>1681</v>
      </c>
      <c r="L331" t="s">
        <v>21</v>
      </c>
      <c r="M331">
        <v>1852</v>
      </c>
      <c r="N331" s="5">
        <f>ROUNDUP(Clean_Data[[#This Row],[Year_Num]]/100,0)</f>
        <v>19</v>
      </c>
      <c r="O331" s="5" t="str" cm="1">
        <f t="array" ref="O331">_xlfn.LET(_xlpm.y,Clean_Data[[#This Row],[Year_Num]],_xlfn.IFS(_xlpm.y&lt;500,"Ancient",_xlpm.y&lt;1500,"Medieval",_xlpm.y&lt;1800,"Early Modern",_xlpm.y&lt;1946,"Modern",TRUE,"Contemporary"))</f>
        <v>Modern</v>
      </c>
      <c r="P331" s="5" t="str">
        <f>_xlfn.XLOOKUP(Clean_Data[[#This Row],[Country]],country_region[Country],country_region[Country_Standard],"Not found")</f>
        <v>New Zealand</v>
      </c>
      <c r="Q331" s="5" t="str">
        <f>_xlfn.XLOOKUP(Clean_Data[[#This Row],[Country]],country_region[Country],country_region[Region],"Not found")</f>
        <v>Oceania</v>
      </c>
      <c r="R331" s="5" t="str">
        <f>_xlfn.XLOOKUP(Clean_Data[[#This Row],[Type of Event]],event_type_category[Type of Event],event_type_category[Category],"Not found")</f>
        <v>Politics &amp; Law</v>
      </c>
    </row>
    <row r="332" spans="1:18">
      <c r="A332">
        <v>362</v>
      </c>
      <c r="B332" t="s">
        <v>1493</v>
      </c>
      <c r="C332" t="s">
        <v>580</v>
      </c>
      <c r="D332" t="s">
        <v>286</v>
      </c>
      <c r="E332" t="s">
        <v>1682</v>
      </c>
      <c r="F332" t="s">
        <v>1660</v>
      </c>
      <c r="G332" t="s">
        <v>1683</v>
      </c>
      <c r="I332" t="s">
        <v>4917</v>
      </c>
      <c r="J332" t="s">
        <v>1685</v>
      </c>
      <c r="K332" t="s">
        <v>1686</v>
      </c>
      <c r="L332" t="s">
        <v>21</v>
      </c>
      <c r="M332">
        <v>1893</v>
      </c>
      <c r="N332" s="5">
        <f>ROUNDUP(Clean_Data[[#This Row],[Year_Num]]/100,0)</f>
        <v>19</v>
      </c>
      <c r="O332" s="5" t="str" cm="1">
        <f t="array" ref="O332">_xlfn.LET(_xlpm.y,Clean_Data[[#This Row],[Year_Num]],_xlfn.IFS(_xlpm.y&lt;500,"Ancient",_xlpm.y&lt;1500,"Medieval",_xlpm.y&lt;1800,"Early Modern",_xlpm.y&lt;1946,"Modern",TRUE,"Contemporary"))</f>
        <v>Modern</v>
      </c>
      <c r="P332" s="5" t="str">
        <f>_xlfn.XLOOKUP(Clean_Data[[#This Row],[Country]],country_region[Country],country_region[Country_Standard],"Not found")</f>
        <v>New Zealand</v>
      </c>
      <c r="Q332" s="5" t="str">
        <f>_xlfn.XLOOKUP(Clean_Data[[#This Row],[Country]],country_region[Country],country_region[Region],"Not found")</f>
        <v>Oceania</v>
      </c>
      <c r="R332" s="5" t="str">
        <f>_xlfn.XLOOKUP(Clean_Data[[#This Row],[Type of Event]],event_type_category[Type of Event],event_type_category[Category],"Not found")</f>
        <v>Society &amp; Health</v>
      </c>
    </row>
    <row r="333" spans="1:18">
      <c r="A333">
        <v>363</v>
      </c>
      <c r="B333" t="s">
        <v>1687</v>
      </c>
      <c r="E333" t="s">
        <v>1077</v>
      </c>
      <c r="F333" t="s">
        <v>1660</v>
      </c>
      <c r="G333" t="s">
        <v>1688</v>
      </c>
      <c r="I333" t="s">
        <v>1689</v>
      </c>
      <c r="J333" t="s">
        <v>1680</v>
      </c>
      <c r="K333" t="s">
        <v>1690</v>
      </c>
      <c r="L333" t="s">
        <v>21</v>
      </c>
      <c r="M333">
        <v>1938</v>
      </c>
      <c r="N333" s="5">
        <f>ROUNDUP(Clean_Data[[#This Row],[Year_Num]]/100,0)</f>
        <v>20</v>
      </c>
      <c r="O333" s="5" t="str" cm="1">
        <f t="array" ref="O333">_xlfn.LET(_xlpm.y,Clean_Data[[#This Row],[Year_Num]],_xlfn.IFS(_xlpm.y&lt;500,"Ancient",_xlpm.y&lt;1500,"Medieval",_xlpm.y&lt;1800,"Early Modern",_xlpm.y&lt;1946,"Modern",TRUE,"Contemporary"))</f>
        <v>Modern</v>
      </c>
      <c r="P333" s="5" t="str">
        <f>_xlfn.XLOOKUP(Clean_Data[[#This Row],[Country]],country_region[Country],country_region[Country_Standard],"Not found")</f>
        <v>New Zealand</v>
      </c>
      <c r="Q333" s="5" t="str">
        <f>_xlfn.XLOOKUP(Clean_Data[[#This Row],[Country]],country_region[Country],country_region[Region],"Not found")</f>
        <v>Oceania</v>
      </c>
      <c r="R333" s="5" t="str">
        <f>_xlfn.XLOOKUP(Clean_Data[[#This Row],[Type of Event]],event_type_category[Type of Event],event_type_category[Category],"Not found")</f>
        <v>Society &amp; Health</v>
      </c>
    </row>
    <row r="334" spans="1:18">
      <c r="A334">
        <v>364</v>
      </c>
      <c r="B334" t="s">
        <v>1691</v>
      </c>
      <c r="E334" t="s">
        <v>1692</v>
      </c>
      <c r="F334" t="s">
        <v>1660</v>
      </c>
      <c r="G334" t="s">
        <v>1693</v>
      </c>
      <c r="I334" t="s">
        <v>1694</v>
      </c>
      <c r="J334" t="s">
        <v>1695</v>
      </c>
      <c r="K334" t="s">
        <v>1696</v>
      </c>
      <c r="L334" t="s">
        <v>21</v>
      </c>
      <c r="M334">
        <v>1867</v>
      </c>
      <c r="N334" s="5">
        <f>ROUNDUP(Clean_Data[[#This Row],[Year_Num]]/100,0)</f>
        <v>19</v>
      </c>
      <c r="O334" s="5" t="str" cm="1">
        <f t="array" ref="O334">_xlfn.LET(_xlpm.y,Clean_Data[[#This Row],[Year_Num]],_xlfn.IFS(_xlpm.y&lt;500,"Ancient",_xlpm.y&lt;1500,"Medieval",_xlpm.y&lt;1800,"Early Modern",_xlpm.y&lt;1946,"Modern",TRUE,"Contemporary"))</f>
        <v>Modern</v>
      </c>
      <c r="P334" s="5" t="str">
        <f>_xlfn.XLOOKUP(Clean_Data[[#This Row],[Country]],country_region[Country],country_region[Country_Standard],"Not found")</f>
        <v>New Zealand</v>
      </c>
      <c r="Q334" s="5" t="str">
        <f>_xlfn.XLOOKUP(Clean_Data[[#This Row],[Country]],country_region[Country],country_region[Region],"Not found")</f>
        <v>Oceania</v>
      </c>
      <c r="R334" s="5" t="str">
        <f>_xlfn.XLOOKUP(Clean_Data[[#This Row],[Type of Event]],event_type_category[Type of Event],event_type_category[Category],"Not found")</f>
        <v>Politics &amp; Law</v>
      </c>
    </row>
    <row r="335" spans="1:18">
      <c r="A335">
        <v>365</v>
      </c>
      <c r="B335" t="s">
        <v>1697</v>
      </c>
      <c r="C335" t="s">
        <v>107</v>
      </c>
      <c r="D335" t="s">
        <v>100</v>
      </c>
      <c r="E335" t="s">
        <v>1698</v>
      </c>
      <c r="F335" t="s">
        <v>1660</v>
      </c>
      <c r="G335" t="s">
        <v>280</v>
      </c>
      <c r="H335" t="s">
        <v>1699</v>
      </c>
      <c r="I335" t="s">
        <v>1700</v>
      </c>
      <c r="J335" t="s">
        <v>1701</v>
      </c>
      <c r="L335" t="s">
        <v>54</v>
      </c>
      <c r="M335">
        <v>1886</v>
      </c>
      <c r="N335" s="5">
        <f>ROUNDUP(Clean_Data[[#This Row],[Year_Num]]/100,0)</f>
        <v>19</v>
      </c>
      <c r="O335" s="5" t="str" cm="1">
        <f t="array" ref="O335">_xlfn.LET(_xlpm.y,Clean_Data[[#This Row],[Year_Num]],_xlfn.IFS(_xlpm.y&lt;500,"Ancient",_xlpm.y&lt;1500,"Medieval",_xlpm.y&lt;1800,"Early Modern",_xlpm.y&lt;1946,"Modern",TRUE,"Contemporary"))</f>
        <v>Modern</v>
      </c>
      <c r="P335" s="5" t="str">
        <f>_xlfn.XLOOKUP(Clean_Data[[#This Row],[Country]],country_region[Country],country_region[Country_Standard],"Not found")</f>
        <v>New Zealand</v>
      </c>
      <c r="Q335" s="5" t="str">
        <f>_xlfn.XLOOKUP(Clean_Data[[#This Row],[Country]],country_region[Country],country_region[Region],"Not found")</f>
        <v>Oceania</v>
      </c>
      <c r="R335" s="5" t="str">
        <f>_xlfn.XLOOKUP(Clean_Data[[#This Row],[Type of Event]],event_type_category[Type of Event],event_type_category[Category],"Not found")</f>
        <v>Disasters &amp; Accidents</v>
      </c>
    </row>
    <row r="336" spans="1:18">
      <c r="A336">
        <v>366</v>
      </c>
      <c r="B336" t="s">
        <v>1702</v>
      </c>
      <c r="E336" t="s">
        <v>1703</v>
      </c>
      <c r="F336" t="s">
        <v>1660</v>
      </c>
      <c r="G336" t="s">
        <v>1704</v>
      </c>
      <c r="I336" t="s">
        <v>1705</v>
      </c>
      <c r="J336" t="s">
        <v>1706</v>
      </c>
      <c r="K336" t="s">
        <v>1707</v>
      </c>
      <c r="L336" t="s">
        <v>21</v>
      </c>
      <c r="M336">
        <v>1882</v>
      </c>
      <c r="N336" s="5">
        <f>ROUNDUP(Clean_Data[[#This Row],[Year_Num]]/100,0)</f>
        <v>19</v>
      </c>
      <c r="O336" s="5" t="str" cm="1">
        <f t="array" ref="O336">_xlfn.LET(_xlpm.y,Clean_Data[[#This Row],[Year_Num]],_xlfn.IFS(_xlpm.y&lt;500,"Ancient",_xlpm.y&lt;1500,"Medieval",_xlpm.y&lt;1800,"Early Modern",_xlpm.y&lt;1946,"Modern",TRUE,"Contemporary"))</f>
        <v>Modern</v>
      </c>
      <c r="P336" s="5" t="str">
        <f>_xlfn.XLOOKUP(Clean_Data[[#This Row],[Country]],country_region[Country],country_region[Country_Standard],"Not found")</f>
        <v>New Zealand</v>
      </c>
      <c r="Q336" s="5" t="str">
        <f>_xlfn.XLOOKUP(Clean_Data[[#This Row],[Country]],country_region[Country],country_region[Region],"Not found")</f>
        <v>Oceania</v>
      </c>
      <c r="R336" s="5" t="str">
        <f>_xlfn.XLOOKUP(Clean_Data[[#This Row],[Type of Event]],event_type_category[Type of Event],event_type_category[Category],"Not found")</f>
        <v>Economy &amp; Infrastructure</v>
      </c>
    </row>
    <row r="337" spans="1:18">
      <c r="A337">
        <v>367</v>
      </c>
      <c r="B337" t="s">
        <v>1708</v>
      </c>
      <c r="C337" t="s">
        <v>200</v>
      </c>
      <c r="D337" t="s">
        <v>39</v>
      </c>
      <c r="E337" t="s">
        <v>1483</v>
      </c>
      <c r="F337" t="s">
        <v>1660</v>
      </c>
      <c r="G337" t="s">
        <v>1709</v>
      </c>
      <c r="H337" t="s">
        <v>1484</v>
      </c>
      <c r="I337" t="s">
        <v>1710</v>
      </c>
      <c r="J337" t="s">
        <v>1486</v>
      </c>
      <c r="L337" t="s">
        <v>54</v>
      </c>
      <c r="M337">
        <v>1915</v>
      </c>
      <c r="N337" s="5">
        <f>ROUNDUP(Clean_Data[[#This Row],[Year_Num]]/100,0)</f>
        <v>20</v>
      </c>
      <c r="O337" s="5" t="str" cm="1">
        <f t="array" ref="O337">_xlfn.LET(_xlpm.y,Clean_Data[[#This Row],[Year_Num]],_xlfn.IFS(_xlpm.y&lt;500,"Ancient",_xlpm.y&lt;1500,"Medieval",_xlpm.y&lt;1800,"Early Modern",_xlpm.y&lt;1946,"Modern",TRUE,"Contemporary"))</f>
        <v>Modern</v>
      </c>
      <c r="P337" s="5" t="str">
        <f>_xlfn.XLOOKUP(Clean_Data[[#This Row],[Country]],country_region[Country],country_region[Country_Standard],"Not found")</f>
        <v>New Zealand</v>
      </c>
      <c r="Q337" s="5" t="str">
        <f>_xlfn.XLOOKUP(Clean_Data[[#This Row],[Country]],country_region[Country],country_region[Region],"Not found")</f>
        <v>Oceania</v>
      </c>
      <c r="R337" s="5" t="str">
        <f>_xlfn.XLOOKUP(Clean_Data[[#This Row],[Type of Event]],event_type_category[Type of Event],event_type_category[Category],"Not found")</f>
        <v>War &amp; Conflict</v>
      </c>
    </row>
    <row r="338" spans="1:18">
      <c r="A338">
        <v>368</v>
      </c>
      <c r="B338" t="s">
        <v>1711</v>
      </c>
      <c r="E338" t="s">
        <v>443</v>
      </c>
      <c r="F338" t="s">
        <v>1660</v>
      </c>
      <c r="G338" t="s">
        <v>1712</v>
      </c>
      <c r="I338" t="s">
        <v>1713</v>
      </c>
      <c r="J338" t="s">
        <v>1680</v>
      </c>
      <c r="K338" t="s">
        <v>1714</v>
      </c>
      <c r="L338" t="s">
        <v>21</v>
      </c>
      <c r="M338">
        <v>1935</v>
      </c>
      <c r="N338" s="5">
        <f>ROUNDUP(Clean_Data[[#This Row],[Year_Num]]/100,0)</f>
        <v>20</v>
      </c>
      <c r="O338" s="5" t="str" cm="1">
        <f t="array" ref="O338">_xlfn.LET(_xlpm.y,Clean_Data[[#This Row],[Year_Num]],_xlfn.IFS(_xlpm.y&lt;500,"Ancient",_xlpm.y&lt;1500,"Medieval",_xlpm.y&lt;1800,"Early Modern",_xlpm.y&lt;1946,"Modern",TRUE,"Contemporary"))</f>
        <v>Modern</v>
      </c>
      <c r="P338" s="5" t="str">
        <f>_xlfn.XLOOKUP(Clean_Data[[#This Row],[Country]],country_region[Country],country_region[Country_Standard],"Not found")</f>
        <v>New Zealand</v>
      </c>
      <c r="Q338" s="5" t="str">
        <f>_xlfn.XLOOKUP(Clean_Data[[#This Row],[Country]],country_region[Country],country_region[Region],"Not found")</f>
        <v>Oceania</v>
      </c>
      <c r="R338" s="5" t="str">
        <f>_xlfn.XLOOKUP(Clean_Data[[#This Row],[Type of Event]],event_type_category[Type of Event],event_type_category[Category],"Not found")</f>
        <v>Politics &amp; Law</v>
      </c>
    </row>
    <row r="339" spans="1:18">
      <c r="A339">
        <v>369</v>
      </c>
      <c r="B339" t="s">
        <v>1715</v>
      </c>
      <c r="E339" t="s">
        <v>381</v>
      </c>
      <c r="F339" t="s">
        <v>1660</v>
      </c>
      <c r="G339" t="s">
        <v>1716</v>
      </c>
      <c r="I339" t="s">
        <v>1717</v>
      </c>
      <c r="J339" t="s">
        <v>1695</v>
      </c>
      <c r="K339" t="s">
        <v>1718</v>
      </c>
      <c r="L339" t="s">
        <v>21</v>
      </c>
      <c r="M339">
        <v>1920</v>
      </c>
      <c r="N339" s="5">
        <f>ROUNDUP(Clean_Data[[#This Row],[Year_Num]]/100,0)</f>
        <v>20</v>
      </c>
      <c r="O339" s="5" t="str" cm="1">
        <f t="array" ref="O339">_xlfn.LET(_xlpm.y,Clean_Data[[#This Row],[Year_Num]],_xlfn.IFS(_xlpm.y&lt;500,"Ancient",_xlpm.y&lt;1500,"Medieval",_xlpm.y&lt;1800,"Early Modern",_xlpm.y&lt;1946,"Modern",TRUE,"Contemporary"))</f>
        <v>Modern</v>
      </c>
      <c r="P339" s="5" t="str">
        <f>_xlfn.XLOOKUP(Clean_Data[[#This Row],[Country]],country_region[Country],country_region[Country_Standard],"Not found")</f>
        <v>New Zealand</v>
      </c>
      <c r="Q339" s="5" t="str">
        <f>_xlfn.XLOOKUP(Clean_Data[[#This Row],[Country]],country_region[Country],country_region[Region],"Not found")</f>
        <v>Oceania</v>
      </c>
      <c r="R339" s="5" t="str">
        <f>_xlfn.XLOOKUP(Clean_Data[[#This Row],[Type of Event]],event_type_category[Type of Event],event_type_category[Category],"Not found")</f>
        <v>Society &amp; Health</v>
      </c>
    </row>
    <row r="340" spans="1:18">
      <c r="A340">
        <v>370</v>
      </c>
      <c r="B340" t="s">
        <v>1719</v>
      </c>
      <c r="E340" t="s">
        <v>1077</v>
      </c>
      <c r="F340" t="s">
        <v>1660</v>
      </c>
      <c r="G340" t="s">
        <v>1720</v>
      </c>
      <c r="I340" t="s">
        <v>1721</v>
      </c>
      <c r="J340" t="s">
        <v>1680</v>
      </c>
      <c r="K340" t="s">
        <v>1722</v>
      </c>
      <c r="L340" t="s">
        <v>21</v>
      </c>
      <c r="M340">
        <v>1938</v>
      </c>
      <c r="N340" s="5">
        <f>ROUNDUP(Clean_Data[[#This Row],[Year_Num]]/100,0)</f>
        <v>20</v>
      </c>
      <c r="O340" s="5" t="str" cm="1">
        <f t="array" ref="O340">_xlfn.LET(_xlpm.y,Clean_Data[[#This Row],[Year_Num]],_xlfn.IFS(_xlpm.y&lt;500,"Ancient",_xlpm.y&lt;1500,"Medieval",_xlpm.y&lt;1800,"Early Modern",_xlpm.y&lt;1946,"Modern",TRUE,"Contemporary"))</f>
        <v>Modern</v>
      </c>
      <c r="P340" s="5" t="str">
        <f>_xlfn.XLOOKUP(Clean_Data[[#This Row],[Country]],country_region[Country],country_region[Country_Standard],"Not found")</f>
        <v>New Zealand</v>
      </c>
      <c r="Q340" s="5" t="str">
        <f>_xlfn.XLOOKUP(Clean_Data[[#This Row],[Country]],country_region[Country],country_region[Region],"Not found")</f>
        <v>Oceania</v>
      </c>
      <c r="R340" s="5" t="str">
        <f>_xlfn.XLOOKUP(Clean_Data[[#This Row],[Type of Event]],event_type_category[Type of Event],event_type_category[Category],"Not found")</f>
        <v>Society &amp; Health</v>
      </c>
    </row>
    <row r="341" spans="1:18">
      <c r="A341">
        <v>371</v>
      </c>
      <c r="B341" t="s">
        <v>1723</v>
      </c>
      <c r="E341" t="s">
        <v>1117</v>
      </c>
      <c r="F341" t="s">
        <v>1660</v>
      </c>
      <c r="G341" t="s">
        <v>138</v>
      </c>
      <c r="H341" t="s">
        <v>1724</v>
      </c>
      <c r="I341" t="s">
        <v>1725</v>
      </c>
      <c r="J341" t="s">
        <v>1726</v>
      </c>
      <c r="K341" t="s">
        <v>1696</v>
      </c>
      <c r="L341" t="s">
        <v>36</v>
      </c>
      <c r="M341">
        <v>1939</v>
      </c>
      <c r="N341" s="5">
        <f>ROUNDUP(Clean_Data[[#This Row],[Year_Num]]/100,0)</f>
        <v>20</v>
      </c>
      <c r="O341" s="5" t="str" cm="1">
        <f t="array" ref="O341">_xlfn.LET(_xlpm.y,Clean_Data[[#This Row],[Year_Num]],_xlfn.IFS(_xlpm.y&lt;500,"Ancient",_xlpm.y&lt;1500,"Medieval",_xlpm.y&lt;1800,"Early Modern",_xlpm.y&lt;1946,"Modern",TRUE,"Contemporary"))</f>
        <v>Modern</v>
      </c>
      <c r="P341" s="5" t="str">
        <f>_xlfn.XLOOKUP(Clean_Data[[#This Row],[Country]],country_region[Country],country_region[Country_Standard],"Not found")</f>
        <v>New Zealand</v>
      </c>
      <c r="Q341" s="5" t="str">
        <f>_xlfn.XLOOKUP(Clean_Data[[#This Row],[Country]],country_region[Country],country_region[Region],"Not found")</f>
        <v>Oceania</v>
      </c>
      <c r="R341" s="5" t="str">
        <f>_xlfn.XLOOKUP(Clean_Data[[#This Row],[Type of Event]],event_type_category[Type of Event],event_type_category[Category],"Not found")</f>
        <v>War &amp; Conflict</v>
      </c>
    </row>
    <row r="342" spans="1:18">
      <c r="A342">
        <v>372</v>
      </c>
      <c r="B342" t="s">
        <v>1727</v>
      </c>
      <c r="E342" t="s">
        <v>1076</v>
      </c>
      <c r="F342" t="s">
        <v>1660</v>
      </c>
      <c r="G342" t="s">
        <v>1728</v>
      </c>
      <c r="I342" t="s">
        <v>1729</v>
      </c>
      <c r="J342" t="s">
        <v>1680</v>
      </c>
      <c r="K342" t="s">
        <v>1730</v>
      </c>
      <c r="L342" t="s">
        <v>21</v>
      </c>
      <c r="M342">
        <v>1936</v>
      </c>
      <c r="N342" s="5">
        <f>ROUNDUP(Clean_Data[[#This Row],[Year_Num]]/100,0)</f>
        <v>20</v>
      </c>
      <c r="O342" s="5" t="str" cm="1">
        <f t="array" ref="O342">_xlfn.LET(_xlpm.y,Clean_Data[[#This Row],[Year_Num]],_xlfn.IFS(_xlpm.y&lt;500,"Ancient",_xlpm.y&lt;1500,"Medieval",_xlpm.y&lt;1800,"Early Modern",_xlpm.y&lt;1946,"Modern",TRUE,"Contemporary"))</f>
        <v>Modern</v>
      </c>
      <c r="P342" s="5" t="str">
        <f>_xlfn.XLOOKUP(Clean_Data[[#This Row],[Country]],country_region[Country],country_region[Country_Standard],"Not found")</f>
        <v>New Zealand</v>
      </c>
      <c r="Q342" s="5" t="str">
        <f>_xlfn.XLOOKUP(Clean_Data[[#This Row],[Country]],country_region[Country],country_region[Region],"Not found")</f>
        <v>Oceania</v>
      </c>
      <c r="R342" s="5" t="str">
        <f>_xlfn.XLOOKUP(Clean_Data[[#This Row],[Type of Event]],event_type_category[Type of Event],event_type_category[Category],"Not found")</f>
        <v>Politics &amp; Law</v>
      </c>
    </row>
    <row r="343" spans="1:18">
      <c r="A343">
        <v>373</v>
      </c>
      <c r="B343" t="s">
        <v>1731</v>
      </c>
      <c r="E343" t="s">
        <v>889</v>
      </c>
      <c r="F343" t="s">
        <v>1660</v>
      </c>
      <c r="G343" t="s">
        <v>1732</v>
      </c>
      <c r="I343" t="s">
        <v>1733</v>
      </c>
      <c r="J343" t="s">
        <v>4857</v>
      </c>
      <c r="K343" t="s">
        <v>1722</v>
      </c>
      <c r="L343" t="s">
        <v>21</v>
      </c>
      <c r="M343">
        <v>1937</v>
      </c>
      <c r="N343" s="5">
        <f>ROUNDUP(Clean_Data[[#This Row],[Year_Num]]/100,0)</f>
        <v>20</v>
      </c>
      <c r="O343" s="5" t="str" cm="1">
        <f t="array" ref="O343">_xlfn.LET(_xlpm.y,Clean_Data[[#This Row],[Year_Num]],_xlfn.IFS(_xlpm.y&lt;500,"Ancient",_xlpm.y&lt;1500,"Medieval",_xlpm.y&lt;1800,"Early Modern",_xlpm.y&lt;1946,"Modern",TRUE,"Contemporary"))</f>
        <v>Modern</v>
      </c>
      <c r="P343" s="5" t="str">
        <f>_xlfn.XLOOKUP(Clean_Data[[#This Row],[Country]],country_region[Country],country_region[Country_Standard],"Not found")</f>
        <v>New Zealand</v>
      </c>
      <c r="Q343" s="5" t="str">
        <f>_xlfn.XLOOKUP(Clean_Data[[#This Row],[Country]],country_region[Country],country_region[Region],"Not found")</f>
        <v>Oceania</v>
      </c>
      <c r="R343" s="5" t="str">
        <f>_xlfn.XLOOKUP(Clean_Data[[#This Row],[Type of Event]],event_type_category[Type of Event],event_type_category[Category],"Not found")</f>
        <v>Society &amp; Health</v>
      </c>
    </row>
    <row r="344" spans="1:18">
      <c r="A344">
        <v>374</v>
      </c>
      <c r="B344" t="s">
        <v>1734</v>
      </c>
      <c r="E344" t="s">
        <v>811</v>
      </c>
      <c r="F344" t="s">
        <v>1660</v>
      </c>
      <c r="G344" t="s">
        <v>1735</v>
      </c>
      <c r="H344" t="s">
        <v>1662</v>
      </c>
      <c r="I344" t="s">
        <v>1736</v>
      </c>
      <c r="J344" t="s">
        <v>1680</v>
      </c>
      <c r="K344" t="s">
        <v>1696</v>
      </c>
      <c r="L344" t="s">
        <v>21</v>
      </c>
      <c r="M344">
        <v>1934</v>
      </c>
      <c r="N344" s="5">
        <f>ROUNDUP(Clean_Data[[#This Row],[Year_Num]]/100,0)</f>
        <v>20</v>
      </c>
      <c r="O344" s="5" t="str" cm="1">
        <f t="array" ref="O344">_xlfn.LET(_xlpm.y,Clean_Data[[#This Row],[Year_Num]],_xlfn.IFS(_xlpm.y&lt;500,"Ancient",_xlpm.y&lt;1500,"Medieval",_xlpm.y&lt;1800,"Early Modern",_xlpm.y&lt;1946,"Modern",TRUE,"Contemporary"))</f>
        <v>Modern</v>
      </c>
      <c r="P344" s="5" t="str">
        <f>_xlfn.XLOOKUP(Clean_Data[[#This Row],[Country]],country_region[Country],country_region[Country_Standard],"Not found")</f>
        <v>New Zealand</v>
      </c>
      <c r="Q344" s="5" t="str">
        <f>_xlfn.XLOOKUP(Clean_Data[[#This Row],[Country]],country_region[Country],country_region[Region],"Not found")</f>
        <v>Oceania</v>
      </c>
      <c r="R344" s="5" t="str">
        <f>_xlfn.XLOOKUP(Clean_Data[[#This Row],[Type of Event]],event_type_category[Type of Event],event_type_category[Category],"Not found")</f>
        <v>Culture, Religion &amp; Sport</v>
      </c>
    </row>
    <row r="345" spans="1:18">
      <c r="A345">
        <v>375</v>
      </c>
      <c r="B345" t="s">
        <v>1737</v>
      </c>
      <c r="E345" t="s">
        <v>443</v>
      </c>
      <c r="F345" t="s">
        <v>1660</v>
      </c>
      <c r="G345" t="s">
        <v>1738</v>
      </c>
      <c r="I345" t="s">
        <v>1739</v>
      </c>
      <c r="J345" t="s">
        <v>1680</v>
      </c>
      <c r="K345" t="s">
        <v>1714</v>
      </c>
      <c r="L345" t="s">
        <v>21</v>
      </c>
      <c r="M345">
        <v>1935</v>
      </c>
      <c r="N345" s="5">
        <f>ROUNDUP(Clean_Data[[#This Row],[Year_Num]]/100,0)</f>
        <v>20</v>
      </c>
      <c r="O345" s="5" t="str" cm="1">
        <f t="array" ref="O345">_xlfn.LET(_xlpm.y,Clean_Data[[#This Row],[Year_Num]],_xlfn.IFS(_xlpm.y&lt;500,"Ancient",_xlpm.y&lt;1500,"Medieval",_xlpm.y&lt;1800,"Early Modern",_xlpm.y&lt;1946,"Modern",TRUE,"Contemporary"))</f>
        <v>Modern</v>
      </c>
      <c r="P345" s="5" t="str">
        <f>_xlfn.XLOOKUP(Clean_Data[[#This Row],[Country]],country_region[Country],country_region[Country_Standard],"Not found")</f>
        <v>New Zealand</v>
      </c>
      <c r="Q345" s="5" t="str">
        <f>_xlfn.XLOOKUP(Clean_Data[[#This Row],[Country]],country_region[Country],country_region[Region],"Not found")</f>
        <v>Oceania</v>
      </c>
      <c r="R345" s="5" t="str">
        <f>_xlfn.XLOOKUP(Clean_Data[[#This Row],[Type of Event]],event_type_category[Type of Event],event_type_category[Category],"Not found")</f>
        <v>Politics &amp; Law</v>
      </c>
    </row>
    <row r="346" spans="1:18">
      <c r="A346">
        <v>376</v>
      </c>
      <c r="B346" t="s">
        <v>1740</v>
      </c>
      <c r="E346" t="s">
        <v>947</v>
      </c>
      <c r="F346" t="s">
        <v>1660</v>
      </c>
      <c r="G346" t="s">
        <v>1741</v>
      </c>
      <c r="I346" t="s">
        <v>1742</v>
      </c>
      <c r="J346" t="s">
        <v>1743</v>
      </c>
      <c r="K346" t="s">
        <v>1696</v>
      </c>
      <c r="L346" t="s">
        <v>36</v>
      </c>
      <c r="M346">
        <v>1949</v>
      </c>
      <c r="N346" s="5">
        <f>ROUNDUP(Clean_Data[[#This Row],[Year_Num]]/100,0)</f>
        <v>20</v>
      </c>
      <c r="O346" s="5" t="str" cm="1">
        <f t="array" ref="O346">_xlfn.LET(_xlpm.y,Clean_Data[[#This Row],[Year_Num]],_xlfn.IFS(_xlpm.y&lt;500,"Ancient",_xlpm.y&lt;1500,"Medieval",_xlpm.y&lt;1800,"Early Modern",_xlpm.y&lt;1946,"Modern",TRUE,"Contemporary"))</f>
        <v>Contemporary</v>
      </c>
      <c r="P346" s="5" t="str">
        <f>_xlfn.XLOOKUP(Clean_Data[[#This Row],[Country]],country_region[Country],country_region[Country_Standard],"Not found")</f>
        <v>New Zealand</v>
      </c>
      <c r="Q346" s="5" t="str">
        <f>_xlfn.XLOOKUP(Clean_Data[[#This Row],[Country]],country_region[Country],country_region[Region],"Not found")</f>
        <v>Oceania</v>
      </c>
      <c r="R346" s="5" t="str">
        <f>_xlfn.XLOOKUP(Clean_Data[[#This Row],[Type of Event]],event_type_category[Type of Event],event_type_category[Category],"Not found")</f>
        <v>Politics &amp; Law</v>
      </c>
    </row>
    <row r="347" spans="1:18">
      <c r="A347">
        <v>377</v>
      </c>
      <c r="B347" t="s">
        <v>1744</v>
      </c>
      <c r="E347" t="s">
        <v>438</v>
      </c>
      <c r="F347" t="s">
        <v>1660</v>
      </c>
      <c r="G347" t="s">
        <v>692</v>
      </c>
      <c r="H347" t="s">
        <v>1745</v>
      </c>
      <c r="I347" t="s">
        <v>1746</v>
      </c>
      <c r="J347" t="s">
        <v>1747</v>
      </c>
      <c r="K347" t="s">
        <v>1696</v>
      </c>
      <c r="L347" t="s">
        <v>21</v>
      </c>
      <c r="M347">
        <v>1950</v>
      </c>
      <c r="N347" s="5">
        <f>ROUNDUP(Clean_Data[[#This Row],[Year_Num]]/100,0)</f>
        <v>20</v>
      </c>
      <c r="O347" s="5" t="str" cm="1">
        <f t="array" ref="O347">_xlfn.LET(_xlpm.y,Clean_Data[[#This Row],[Year_Num]],_xlfn.IFS(_xlpm.y&lt;500,"Ancient",_xlpm.y&lt;1500,"Medieval",_xlpm.y&lt;1800,"Early Modern",_xlpm.y&lt;1946,"Modern",TRUE,"Contemporary"))</f>
        <v>Contemporary</v>
      </c>
      <c r="P347" s="5" t="str">
        <f>_xlfn.XLOOKUP(Clean_Data[[#This Row],[Country]],country_region[Country],country_region[Country_Standard],"Not found")</f>
        <v>New Zealand</v>
      </c>
      <c r="Q347" s="5" t="str">
        <f>_xlfn.XLOOKUP(Clean_Data[[#This Row],[Country]],country_region[Country],country_region[Region],"Not found")</f>
        <v>Oceania</v>
      </c>
      <c r="R347" s="5" t="str">
        <f>_xlfn.XLOOKUP(Clean_Data[[#This Row],[Type of Event]],event_type_category[Type of Event],event_type_category[Category],"Not found")</f>
        <v>Economy &amp; Infrastructure</v>
      </c>
    </row>
    <row r="348" spans="1:18">
      <c r="A348">
        <v>378</v>
      </c>
      <c r="B348" t="s">
        <v>1748</v>
      </c>
      <c r="E348" t="s">
        <v>201</v>
      </c>
      <c r="F348" t="s">
        <v>1660</v>
      </c>
      <c r="G348" t="s">
        <v>1610</v>
      </c>
      <c r="H348" t="s">
        <v>1660</v>
      </c>
      <c r="I348" t="s">
        <v>1749</v>
      </c>
      <c r="J348" t="s">
        <v>1750</v>
      </c>
      <c r="K348" t="s">
        <v>1696</v>
      </c>
      <c r="L348" t="s">
        <v>21</v>
      </c>
      <c r="M348">
        <v>1975</v>
      </c>
      <c r="N348" s="5">
        <f>ROUNDUP(Clean_Data[[#This Row],[Year_Num]]/100,0)</f>
        <v>20</v>
      </c>
      <c r="O348" s="5" t="str" cm="1">
        <f t="array" ref="O348">_xlfn.LET(_xlpm.y,Clean_Data[[#This Row],[Year_Num]],_xlfn.IFS(_xlpm.y&lt;500,"Ancient",_xlpm.y&lt;1500,"Medieval",_xlpm.y&lt;1800,"Early Modern",_xlpm.y&lt;1946,"Modern",TRUE,"Contemporary"))</f>
        <v>Contemporary</v>
      </c>
      <c r="P348" s="5" t="str">
        <f>_xlfn.XLOOKUP(Clean_Data[[#This Row],[Country]],country_region[Country],country_region[Country_Standard],"Not found")</f>
        <v>New Zealand</v>
      </c>
      <c r="Q348" s="5" t="str">
        <f>_xlfn.XLOOKUP(Clean_Data[[#This Row],[Country]],country_region[Country],country_region[Region],"Not found")</f>
        <v>Oceania</v>
      </c>
      <c r="R348" s="5" t="str">
        <f>_xlfn.XLOOKUP(Clean_Data[[#This Row],[Type of Event]],event_type_category[Type of Event],event_type_category[Category],"Not found")</f>
        <v>Politics &amp; Law</v>
      </c>
    </row>
    <row r="349" spans="1:18">
      <c r="A349">
        <v>379</v>
      </c>
      <c r="B349" t="s">
        <v>1751</v>
      </c>
      <c r="E349" t="s">
        <v>613</v>
      </c>
      <c r="F349" t="s">
        <v>1660</v>
      </c>
      <c r="G349" t="s">
        <v>489</v>
      </c>
      <c r="H349" t="s">
        <v>1660</v>
      </c>
      <c r="I349" t="s">
        <v>4918</v>
      </c>
      <c r="J349" t="s">
        <v>1680</v>
      </c>
      <c r="K349" t="s">
        <v>1753</v>
      </c>
      <c r="L349" t="s">
        <v>21</v>
      </c>
      <c r="M349">
        <v>1986</v>
      </c>
      <c r="N349" s="5">
        <f>ROUNDUP(Clean_Data[[#This Row],[Year_Num]]/100,0)</f>
        <v>20</v>
      </c>
      <c r="O349" s="5" t="str" cm="1">
        <f t="array" ref="O349">_xlfn.LET(_xlpm.y,Clean_Data[[#This Row],[Year_Num]],_xlfn.IFS(_xlpm.y&lt;500,"Ancient",_xlpm.y&lt;1500,"Medieval",_xlpm.y&lt;1800,"Early Modern",_xlpm.y&lt;1946,"Modern",TRUE,"Contemporary"))</f>
        <v>Contemporary</v>
      </c>
      <c r="P349" s="5" t="str">
        <f>_xlfn.XLOOKUP(Clean_Data[[#This Row],[Country]],country_region[Country],country_region[Country_Standard],"Not found")</f>
        <v>New Zealand</v>
      </c>
      <c r="Q349" s="5" t="str">
        <f>_xlfn.XLOOKUP(Clean_Data[[#This Row],[Country]],country_region[Country],country_region[Region],"Not found")</f>
        <v>Oceania</v>
      </c>
      <c r="R349" s="5" t="str">
        <f>_xlfn.XLOOKUP(Clean_Data[[#This Row],[Type of Event]],event_type_category[Type of Event],event_type_category[Category],"Not found")</f>
        <v>Diplomacy &amp; International Relations</v>
      </c>
    </row>
    <row r="350" spans="1:18">
      <c r="A350">
        <v>380</v>
      </c>
      <c r="B350" t="s">
        <v>1754</v>
      </c>
      <c r="C350" t="s">
        <v>298</v>
      </c>
      <c r="D350" t="s">
        <v>100</v>
      </c>
      <c r="E350" t="s">
        <v>698</v>
      </c>
      <c r="F350" t="s">
        <v>1660</v>
      </c>
      <c r="G350" t="s">
        <v>1755</v>
      </c>
      <c r="H350" t="s">
        <v>1660</v>
      </c>
      <c r="I350" t="s">
        <v>4919</v>
      </c>
      <c r="J350" t="s">
        <v>1680</v>
      </c>
      <c r="K350" t="s">
        <v>1696</v>
      </c>
      <c r="L350" t="s">
        <v>21</v>
      </c>
      <c r="M350">
        <v>1987</v>
      </c>
      <c r="N350" s="5">
        <f>ROUNDUP(Clean_Data[[#This Row],[Year_Num]]/100,0)</f>
        <v>20</v>
      </c>
      <c r="O350" s="5" t="str" cm="1">
        <f t="array" ref="O350">_xlfn.LET(_xlpm.y,Clean_Data[[#This Row],[Year_Num]],_xlfn.IFS(_xlpm.y&lt;500,"Ancient",_xlpm.y&lt;1500,"Medieval",_xlpm.y&lt;1800,"Early Modern",_xlpm.y&lt;1946,"Modern",TRUE,"Contemporary"))</f>
        <v>Contemporary</v>
      </c>
      <c r="P350" s="5" t="str">
        <f>_xlfn.XLOOKUP(Clean_Data[[#This Row],[Country]],country_region[Country],country_region[Country_Standard],"Not found")</f>
        <v>New Zealand</v>
      </c>
      <c r="Q350" s="5" t="str">
        <f>_xlfn.XLOOKUP(Clean_Data[[#This Row],[Country]],country_region[Country],country_region[Region],"Not found")</f>
        <v>Oceania</v>
      </c>
      <c r="R350" s="5" t="str">
        <f>_xlfn.XLOOKUP(Clean_Data[[#This Row],[Type of Event]],event_type_category[Type of Event],event_type_category[Category],"Not found")</f>
        <v>Politics &amp; Law</v>
      </c>
    </row>
    <row r="351" spans="1:18">
      <c r="A351">
        <v>381</v>
      </c>
      <c r="B351" t="s">
        <v>1757</v>
      </c>
      <c r="C351" t="s">
        <v>240</v>
      </c>
      <c r="D351" t="s">
        <v>211</v>
      </c>
      <c r="E351" t="s">
        <v>613</v>
      </c>
      <c r="F351" t="s">
        <v>1660</v>
      </c>
      <c r="G351" t="s">
        <v>1688</v>
      </c>
      <c r="H351" t="s">
        <v>1660</v>
      </c>
      <c r="I351" t="s">
        <v>1758</v>
      </c>
      <c r="J351" t="s">
        <v>1759</v>
      </c>
      <c r="K351" t="s">
        <v>1696</v>
      </c>
      <c r="L351" t="s">
        <v>21</v>
      </c>
      <c r="M351">
        <v>1986</v>
      </c>
      <c r="N351" s="5">
        <f>ROUNDUP(Clean_Data[[#This Row],[Year_Num]]/100,0)</f>
        <v>20</v>
      </c>
      <c r="O351" s="5" t="str" cm="1">
        <f t="array" ref="O351">_xlfn.LET(_xlpm.y,Clean_Data[[#This Row],[Year_Num]],_xlfn.IFS(_xlpm.y&lt;500,"Ancient",_xlpm.y&lt;1500,"Medieval",_xlpm.y&lt;1800,"Early Modern",_xlpm.y&lt;1946,"Modern",TRUE,"Contemporary"))</f>
        <v>Contemporary</v>
      </c>
      <c r="P351" s="5" t="str">
        <f>_xlfn.XLOOKUP(Clean_Data[[#This Row],[Country]],country_region[Country],country_region[Country_Standard],"Not found")</f>
        <v>New Zealand</v>
      </c>
      <c r="Q351" s="5" t="str">
        <f>_xlfn.XLOOKUP(Clean_Data[[#This Row],[Country]],country_region[Country],country_region[Region],"Not found")</f>
        <v>Oceania</v>
      </c>
      <c r="R351" s="5" t="str">
        <f>_xlfn.XLOOKUP(Clean_Data[[#This Row],[Type of Event]],event_type_category[Type of Event],event_type_category[Category],"Not found")</f>
        <v>Society &amp; Health</v>
      </c>
    </row>
    <row r="352" spans="1:18">
      <c r="A352">
        <v>382</v>
      </c>
      <c r="B352" t="s">
        <v>1760</v>
      </c>
      <c r="E352" t="s">
        <v>130</v>
      </c>
      <c r="F352" t="s">
        <v>1660</v>
      </c>
      <c r="G352" t="s">
        <v>213</v>
      </c>
      <c r="H352" t="s">
        <v>1660</v>
      </c>
      <c r="I352" t="s">
        <v>4920</v>
      </c>
      <c r="J352" t="s">
        <v>1680</v>
      </c>
      <c r="K352" t="s">
        <v>1762</v>
      </c>
      <c r="L352" t="s">
        <v>36</v>
      </c>
      <c r="M352">
        <v>1984</v>
      </c>
      <c r="N352" s="5">
        <f>ROUNDUP(Clean_Data[[#This Row],[Year_Num]]/100,0)</f>
        <v>20</v>
      </c>
      <c r="O352" s="5" t="str" cm="1">
        <f t="array" ref="O352">_xlfn.LET(_xlpm.y,Clean_Data[[#This Row],[Year_Num]],_xlfn.IFS(_xlpm.y&lt;500,"Ancient",_xlpm.y&lt;1500,"Medieval",_xlpm.y&lt;1800,"Early Modern",_xlpm.y&lt;1946,"Modern",TRUE,"Contemporary"))</f>
        <v>Contemporary</v>
      </c>
      <c r="P352" s="5" t="str">
        <f>_xlfn.XLOOKUP(Clean_Data[[#This Row],[Country]],country_region[Country],country_region[Country_Standard],"Not found")</f>
        <v>New Zealand</v>
      </c>
      <c r="Q352" s="5" t="str">
        <f>_xlfn.XLOOKUP(Clean_Data[[#This Row],[Country]],country_region[Country],country_region[Region],"Not found")</f>
        <v>Oceania</v>
      </c>
      <c r="R352" s="5" t="str">
        <f>_xlfn.XLOOKUP(Clean_Data[[#This Row],[Type of Event]],event_type_category[Type of Event],event_type_category[Category],"Not found")</f>
        <v>Economy &amp; Infrastructure</v>
      </c>
    </row>
    <row r="353" spans="1:18">
      <c r="A353">
        <v>383</v>
      </c>
      <c r="B353" t="s">
        <v>1763</v>
      </c>
      <c r="E353" t="s">
        <v>212</v>
      </c>
      <c r="F353" t="s">
        <v>1660</v>
      </c>
      <c r="G353" t="s">
        <v>1764</v>
      </c>
      <c r="H353" t="s">
        <v>1660</v>
      </c>
      <c r="I353" t="s">
        <v>1765</v>
      </c>
      <c r="J353" t="s">
        <v>1680</v>
      </c>
      <c r="K353" t="s">
        <v>1696</v>
      </c>
      <c r="L353" t="s">
        <v>21</v>
      </c>
      <c r="M353">
        <v>1991</v>
      </c>
      <c r="N353" s="5">
        <f>ROUNDUP(Clean_Data[[#This Row],[Year_Num]]/100,0)</f>
        <v>20</v>
      </c>
      <c r="O353" s="5" t="str" cm="1">
        <f t="array" ref="O353">_xlfn.LET(_xlpm.y,Clean_Data[[#This Row],[Year_Num]],_xlfn.IFS(_xlpm.y&lt;500,"Ancient",_xlpm.y&lt;1500,"Medieval",_xlpm.y&lt;1800,"Early Modern",_xlpm.y&lt;1946,"Modern",TRUE,"Contemporary"))</f>
        <v>Contemporary</v>
      </c>
      <c r="P353" s="5" t="str">
        <f>_xlfn.XLOOKUP(Clean_Data[[#This Row],[Country]],country_region[Country],country_region[Country_Standard],"Not found")</f>
        <v>New Zealand</v>
      </c>
      <c r="Q353" s="5" t="str">
        <f>_xlfn.XLOOKUP(Clean_Data[[#This Row],[Country]],country_region[Country],country_region[Region],"Not found")</f>
        <v>Oceania</v>
      </c>
      <c r="R353" s="5" t="str">
        <f>_xlfn.XLOOKUP(Clean_Data[[#This Row],[Type of Event]],event_type_category[Type of Event],event_type_category[Category],"Not found")</f>
        <v>Society &amp; Health</v>
      </c>
    </row>
    <row r="354" spans="1:18">
      <c r="A354">
        <v>384</v>
      </c>
      <c r="B354" t="s">
        <v>1766</v>
      </c>
      <c r="E354" t="s">
        <v>1767</v>
      </c>
      <c r="F354" t="s">
        <v>1660</v>
      </c>
      <c r="G354" t="s">
        <v>1768</v>
      </c>
      <c r="H354" t="s">
        <v>1660</v>
      </c>
      <c r="I354" t="s">
        <v>4921</v>
      </c>
      <c r="J354" t="s">
        <v>1770</v>
      </c>
      <c r="K354" t="s">
        <v>4922</v>
      </c>
      <c r="L354" t="s">
        <v>36</v>
      </c>
      <c r="M354">
        <v>1981</v>
      </c>
      <c r="N354" s="5">
        <f>ROUNDUP(Clean_Data[[#This Row],[Year_Num]]/100,0)</f>
        <v>20</v>
      </c>
      <c r="O354" s="5" t="str" cm="1">
        <f t="array" ref="O354">_xlfn.LET(_xlpm.y,Clean_Data[[#This Row],[Year_Num]],_xlfn.IFS(_xlpm.y&lt;500,"Ancient",_xlpm.y&lt;1500,"Medieval",_xlpm.y&lt;1800,"Early Modern",_xlpm.y&lt;1946,"Modern",TRUE,"Contemporary"))</f>
        <v>Contemporary</v>
      </c>
      <c r="P354" s="5" t="str">
        <f>_xlfn.XLOOKUP(Clean_Data[[#This Row],[Country]],country_region[Country],country_region[Country_Standard],"Not found")</f>
        <v>New Zealand</v>
      </c>
      <c r="Q354" s="5" t="str">
        <f>_xlfn.XLOOKUP(Clean_Data[[#This Row],[Country]],country_region[Country],country_region[Region],"Not found")</f>
        <v>Oceania</v>
      </c>
      <c r="R354" s="5" t="str">
        <f>_xlfn.XLOOKUP(Clean_Data[[#This Row],[Type of Event]],event_type_category[Type of Event],event_type_category[Category],"Not found")</f>
        <v>Society &amp; Health</v>
      </c>
    </row>
    <row r="355" spans="1:18">
      <c r="A355">
        <v>385</v>
      </c>
      <c r="B355" t="s">
        <v>1772</v>
      </c>
      <c r="E355" t="s">
        <v>201</v>
      </c>
      <c r="F355" t="s">
        <v>1660</v>
      </c>
      <c r="G355" t="s">
        <v>1773</v>
      </c>
      <c r="H355" t="s">
        <v>1660</v>
      </c>
      <c r="I355" t="s">
        <v>1774</v>
      </c>
      <c r="J355" t="s">
        <v>1695</v>
      </c>
      <c r="K355" t="s">
        <v>1696</v>
      </c>
      <c r="L355" t="s">
        <v>21</v>
      </c>
      <c r="M355">
        <v>1975</v>
      </c>
      <c r="N355" s="5">
        <f>ROUNDUP(Clean_Data[[#This Row],[Year_Num]]/100,0)</f>
        <v>20</v>
      </c>
      <c r="O355" s="5" t="str" cm="1">
        <f t="array" ref="O355">_xlfn.LET(_xlpm.y,Clean_Data[[#This Row],[Year_Num]],_xlfn.IFS(_xlpm.y&lt;500,"Ancient",_xlpm.y&lt;1500,"Medieval",_xlpm.y&lt;1800,"Early Modern",_xlpm.y&lt;1946,"Modern",TRUE,"Contemporary"))</f>
        <v>Contemporary</v>
      </c>
      <c r="P355" s="5" t="str">
        <f>_xlfn.XLOOKUP(Clean_Data[[#This Row],[Country]],country_region[Country],country_region[Country_Standard],"Not found")</f>
        <v>New Zealand</v>
      </c>
      <c r="Q355" s="5" t="str">
        <f>_xlfn.XLOOKUP(Clean_Data[[#This Row],[Country]],country_region[Country],country_region[Region],"Not found")</f>
        <v>Oceania</v>
      </c>
      <c r="R355" s="5" t="str">
        <f>_xlfn.XLOOKUP(Clean_Data[[#This Row],[Type of Event]],event_type_category[Type of Event],event_type_category[Category],"Not found")</f>
        <v>Politics &amp; Law</v>
      </c>
    </row>
    <row r="356" spans="1:18">
      <c r="A356">
        <v>386</v>
      </c>
      <c r="B356" t="s">
        <v>1775</v>
      </c>
      <c r="C356" t="s">
        <v>325</v>
      </c>
      <c r="D356" t="s">
        <v>173</v>
      </c>
      <c r="E356" t="s">
        <v>1426</v>
      </c>
      <c r="F356" t="s">
        <v>1660</v>
      </c>
      <c r="G356" t="s">
        <v>280</v>
      </c>
      <c r="H356" t="s">
        <v>1776</v>
      </c>
      <c r="I356" t="s">
        <v>1777</v>
      </c>
      <c r="J356" t="s">
        <v>1778</v>
      </c>
      <c r="L356" t="s">
        <v>54</v>
      </c>
      <c r="M356">
        <v>2011</v>
      </c>
      <c r="N356" s="5">
        <f>ROUNDUP(Clean_Data[[#This Row],[Year_Num]]/100,0)</f>
        <v>21</v>
      </c>
      <c r="O356" s="5" t="str" cm="1">
        <f t="array" ref="O356">_xlfn.LET(_xlpm.y,Clean_Data[[#This Row],[Year_Num]],_xlfn.IFS(_xlpm.y&lt;500,"Ancient",_xlpm.y&lt;1500,"Medieval",_xlpm.y&lt;1800,"Early Modern",_xlpm.y&lt;1946,"Modern",TRUE,"Contemporary"))</f>
        <v>Contemporary</v>
      </c>
      <c r="P356" s="5" t="str">
        <f>_xlfn.XLOOKUP(Clean_Data[[#This Row],[Country]],country_region[Country],country_region[Country_Standard],"Not found")</f>
        <v>New Zealand</v>
      </c>
      <c r="Q356" s="5" t="str">
        <f>_xlfn.XLOOKUP(Clean_Data[[#This Row],[Country]],country_region[Country],country_region[Region],"Not found")</f>
        <v>Oceania</v>
      </c>
      <c r="R356" s="5" t="str">
        <f>_xlfn.XLOOKUP(Clean_Data[[#This Row],[Type of Event]],event_type_category[Type of Event],event_type_category[Category],"Not found")</f>
        <v>Disasters &amp; Accidents</v>
      </c>
    </row>
    <row r="357" spans="1:18">
      <c r="A357">
        <v>387</v>
      </c>
      <c r="B357" t="s">
        <v>1779</v>
      </c>
      <c r="E357" t="s">
        <v>643</v>
      </c>
      <c r="F357" t="s">
        <v>1660</v>
      </c>
      <c r="G357" t="s">
        <v>1610</v>
      </c>
      <c r="H357" t="s">
        <v>1660</v>
      </c>
      <c r="I357" t="s">
        <v>1780</v>
      </c>
      <c r="J357" t="s">
        <v>1750</v>
      </c>
      <c r="K357" t="s">
        <v>1696</v>
      </c>
      <c r="L357" t="s">
        <v>36</v>
      </c>
      <c r="M357">
        <v>2004</v>
      </c>
      <c r="N357" s="5">
        <f>ROUNDUP(Clean_Data[[#This Row],[Year_Num]]/100,0)</f>
        <v>21</v>
      </c>
      <c r="O357" s="5" t="str" cm="1">
        <f t="array" ref="O357">_xlfn.LET(_xlpm.y,Clean_Data[[#This Row],[Year_Num]],_xlfn.IFS(_xlpm.y&lt;500,"Ancient",_xlpm.y&lt;1500,"Medieval",_xlpm.y&lt;1800,"Early Modern",_xlpm.y&lt;1946,"Modern",TRUE,"Contemporary"))</f>
        <v>Contemporary</v>
      </c>
      <c r="P357" s="5" t="str">
        <f>_xlfn.XLOOKUP(Clean_Data[[#This Row],[Country]],country_region[Country],country_region[Country_Standard],"Not found")</f>
        <v>New Zealand</v>
      </c>
      <c r="Q357" s="5" t="str">
        <f>_xlfn.XLOOKUP(Clean_Data[[#This Row],[Country]],country_region[Country],country_region[Region],"Not found")</f>
        <v>Oceania</v>
      </c>
      <c r="R357" s="5" t="str">
        <f>_xlfn.XLOOKUP(Clean_Data[[#This Row],[Type of Event]],event_type_category[Type of Event],event_type_category[Category],"Not found")</f>
        <v>Politics &amp; Law</v>
      </c>
    </row>
    <row r="358" spans="1:18">
      <c r="A358">
        <v>388</v>
      </c>
      <c r="B358" t="s">
        <v>1781</v>
      </c>
      <c r="C358" t="s">
        <v>165</v>
      </c>
      <c r="D358" t="s">
        <v>66</v>
      </c>
      <c r="E358" t="s">
        <v>600</v>
      </c>
      <c r="F358" t="s">
        <v>1660</v>
      </c>
      <c r="G358" t="s">
        <v>1655</v>
      </c>
      <c r="H358" t="s">
        <v>1660</v>
      </c>
      <c r="I358" t="s">
        <v>1782</v>
      </c>
      <c r="J358" t="s">
        <v>1680</v>
      </c>
      <c r="K358" t="s">
        <v>1783</v>
      </c>
      <c r="L358" t="s">
        <v>21</v>
      </c>
      <c r="M358">
        <v>1997</v>
      </c>
      <c r="N358" s="5">
        <f>ROUNDUP(Clean_Data[[#This Row],[Year_Num]]/100,0)</f>
        <v>20</v>
      </c>
      <c r="O358" s="5" t="str" cm="1">
        <f t="array" ref="O358">_xlfn.LET(_xlpm.y,Clean_Data[[#This Row],[Year_Num]],_xlfn.IFS(_xlpm.y&lt;500,"Ancient",_xlpm.y&lt;1500,"Medieval",_xlpm.y&lt;1800,"Early Modern",_xlpm.y&lt;1946,"Modern",TRUE,"Contemporary"))</f>
        <v>Contemporary</v>
      </c>
      <c r="P358" s="5" t="str">
        <f>_xlfn.XLOOKUP(Clean_Data[[#This Row],[Country]],country_region[Country],country_region[Country_Standard],"Not found")</f>
        <v>New Zealand</v>
      </c>
      <c r="Q358" s="5" t="str">
        <f>_xlfn.XLOOKUP(Clean_Data[[#This Row],[Country]],country_region[Country],country_region[Region],"Not found")</f>
        <v>Oceania</v>
      </c>
      <c r="R358" s="5" t="str">
        <f>_xlfn.XLOOKUP(Clean_Data[[#This Row],[Type of Event]],event_type_category[Type of Event],event_type_category[Category],"Not found")</f>
        <v>Politics &amp; Law</v>
      </c>
    </row>
    <row r="359" spans="1:18">
      <c r="A359">
        <v>389</v>
      </c>
      <c r="B359" t="s">
        <v>4923</v>
      </c>
      <c r="E359" t="s">
        <v>698</v>
      </c>
      <c r="F359" t="s">
        <v>1660</v>
      </c>
      <c r="G359" t="s">
        <v>1785</v>
      </c>
      <c r="H359" t="s">
        <v>1660</v>
      </c>
      <c r="I359" t="s">
        <v>4924</v>
      </c>
      <c r="J359" t="s">
        <v>1680</v>
      </c>
      <c r="K359" t="s">
        <v>1696</v>
      </c>
      <c r="L359" t="s">
        <v>21</v>
      </c>
      <c r="M359">
        <v>1987</v>
      </c>
      <c r="N359" s="5">
        <f>ROUNDUP(Clean_Data[[#This Row],[Year_Num]]/100,0)</f>
        <v>20</v>
      </c>
      <c r="O359" s="5" t="str" cm="1">
        <f t="array" ref="O359">_xlfn.LET(_xlpm.y,Clean_Data[[#This Row],[Year_Num]],_xlfn.IFS(_xlpm.y&lt;500,"Ancient",_xlpm.y&lt;1500,"Medieval",_xlpm.y&lt;1800,"Early Modern",_xlpm.y&lt;1946,"Modern",TRUE,"Contemporary"))</f>
        <v>Contemporary</v>
      </c>
      <c r="P359" s="5" t="str">
        <f>_xlfn.XLOOKUP(Clean_Data[[#This Row],[Country]],country_region[Country],country_region[Country_Standard],"Not found")</f>
        <v>New Zealand</v>
      </c>
      <c r="Q359" s="5" t="str">
        <f>_xlfn.XLOOKUP(Clean_Data[[#This Row],[Country]],country_region[Country],country_region[Region],"Not found")</f>
        <v>Oceania</v>
      </c>
      <c r="R359" s="5" t="str">
        <f>_xlfn.XLOOKUP(Clean_Data[[#This Row],[Type of Event]],event_type_category[Type of Event],event_type_category[Category],"Not found")</f>
        <v>Society &amp; Health</v>
      </c>
    </row>
    <row r="360" spans="1:18">
      <c r="A360">
        <v>390</v>
      </c>
      <c r="B360" t="s">
        <v>1787</v>
      </c>
      <c r="E360" t="s">
        <v>201</v>
      </c>
      <c r="F360" t="s">
        <v>1660</v>
      </c>
      <c r="G360" t="s">
        <v>1788</v>
      </c>
      <c r="H360" t="s">
        <v>1745</v>
      </c>
      <c r="I360" t="s">
        <v>1789</v>
      </c>
      <c r="J360" t="s">
        <v>1790</v>
      </c>
      <c r="K360" t="s">
        <v>1791</v>
      </c>
      <c r="L360" t="s">
        <v>21</v>
      </c>
      <c r="M360">
        <v>1975</v>
      </c>
      <c r="N360" s="5">
        <f>ROUNDUP(Clean_Data[[#This Row],[Year_Num]]/100,0)</f>
        <v>20</v>
      </c>
      <c r="O360" s="5" t="str" cm="1">
        <f t="array" ref="O360">_xlfn.LET(_xlpm.y,Clean_Data[[#This Row],[Year_Num]],_xlfn.IFS(_xlpm.y&lt;500,"Ancient",_xlpm.y&lt;1500,"Medieval",_xlpm.y&lt;1800,"Early Modern",_xlpm.y&lt;1946,"Modern",TRUE,"Contemporary"))</f>
        <v>Contemporary</v>
      </c>
      <c r="P360" s="5" t="str">
        <f>_xlfn.XLOOKUP(Clean_Data[[#This Row],[Country]],country_region[Country],country_region[Country_Standard],"Not found")</f>
        <v>New Zealand</v>
      </c>
      <c r="Q360" s="5" t="str">
        <f>_xlfn.XLOOKUP(Clean_Data[[#This Row],[Country]],country_region[Country],country_region[Region],"Not found")</f>
        <v>Oceania</v>
      </c>
      <c r="R360" s="5" t="str">
        <f>_xlfn.XLOOKUP(Clean_Data[[#This Row],[Type of Event]],event_type_category[Type of Event],event_type_category[Category],"Not found")</f>
        <v>Society &amp; Health</v>
      </c>
    </row>
    <row r="361" spans="1:18">
      <c r="A361">
        <v>391</v>
      </c>
      <c r="B361" t="s">
        <v>1792</v>
      </c>
      <c r="E361" t="s">
        <v>1195</v>
      </c>
      <c r="F361" t="s">
        <v>1660</v>
      </c>
      <c r="G361" t="s">
        <v>1793</v>
      </c>
      <c r="H361" t="s">
        <v>1660</v>
      </c>
      <c r="I361" t="s">
        <v>1794</v>
      </c>
      <c r="J361" t="s">
        <v>1795</v>
      </c>
      <c r="K361" t="s">
        <v>1696</v>
      </c>
      <c r="L361" t="s">
        <v>21</v>
      </c>
      <c r="M361">
        <v>1993</v>
      </c>
      <c r="N361" s="5">
        <f>ROUNDUP(Clean_Data[[#This Row],[Year_Num]]/100,0)</f>
        <v>20</v>
      </c>
      <c r="O361" s="5" t="str" cm="1">
        <f t="array" ref="O361">_xlfn.LET(_xlpm.y,Clean_Data[[#This Row],[Year_Num]],_xlfn.IFS(_xlpm.y&lt;500,"Ancient",_xlpm.y&lt;1500,"Medieval",_xlpm.y&lt;1800,"Early Modern",_xlpm.y&lt;1946,"Modern",TRUE,"Contemporary"))</f>
        <v>Contemporary</v>
      </c>
      <c r="P361" s="5" t="str">
        <f>_xlfn.XLOOKUP(Clean_Data[[#This Row],[Country]],country_region[Country],country_region[Country_Standard],"Not found")</f>
        <v>New Zealand</v>
      </c>
      <c r="Q361" s="5" t="str">
        <f>_xlfn.XLOOKUP(Clean_Data[[#This Row],[Country]],country_region[Country],country_region[Region],"Not found")</f>
        <v>Oceania</v>
      </c>
      <c r="R361" s="5" t="str">
        <f>_xlfn.XLOOKUP(Clean_Data[[#This Row],[Type of Event]],event_type_category[Type of Event],event_type_category[Category],"Not found")</f>
        <v>Politics &amp; Law</v>
      </c>
    </row>
    <row r="362" spans="1:18">
      <c r="A362">
        <v>392</v>
      </c>
      <c r="B362" t="s">
        <v>1796</v>
      </c>
      <c r="E362" t="s">
        <v>75</v>
      </c>
      <c r="F362" t="s">
        <v>1660</v>
      </c>
      <c r="G362" t="s">
        <v>581</v>
      </c>
      <c r="H362" t="s">
        <v>1797</v>
      </c>
      <c r="I362" t="s">
        <v>1798</v>
      </c>
      <c r="J362" t="s">
        <v>1680</v>
      </c>
      <c r="K362" t="s">
        <v>1696</v>
      </c>
      <c r="L362" t="s">
        <v>21</v>
      </c>
      <c r="M362">
        <v>1998</v>
      </c>
      <c r="N362" s="5">
        <f>ROUNDUP(Clean_Data[[#This Row],[Year_Num]]/100,0)</f>
        <v>20</v>
      </c>
      <c r="O362" s="5" t="str" cm="1">
        <f t="array" ref="O362">_xlfn.LET(_xlpm.y,Clean_Data[[#This Row],[Year_Num]],_xlfn.IFS(_xlpm.y&lt;500,"Ancient",_xlpm.y&lt;1500,"Medieval",_xlpm.y&lt;1800,"Early Modern",_xlpm.y&lt;1946,"Modern",TRUE,"Contemporary"))</f>
        <v>Contemporary</v>
      </c>
      <c r="P362" s="5" t="str">
        <f>_xlfn.XLOOKUP(Clean_Data[[#This Row],[Country]],country_region[Country],country_region[Country_Standard],"Not found")</f>
        <v>New Zealand</v>
      </c>
      <c r="Q362" s="5" t="str">
        <f>_xlfn.XLOOKUP(Clean_Data[[#This Row],[Country]],country_region[Country],country_region[Region],"Not found")</f>
        <v>Oceania</v>
      </c>
      <c r="R362" s="5" t="str">
        <f>_xlfn.XLOOKUP(Clean_Data[[#This Row],[Type of Event]],event_type_category[Type of Event],event_type_category[Category],"Not found")</f>
        <v>Diplomacy &amp; International Relations</v>
      </c>
    </row>
    <row r="363" spans="1:18">
      <c r="A363">
        <v>393</v>
      </c>
      <c r="B363" t="s">
        <v>1799</v>
      </c>
      <c r="E363" t="s">
        <v>698</v>
      </c>
      <c r="F363" t="s">
        <v>1660</v>
      </c>
      <c r="G363" t="s">
        <v>1800</v>
      </c>
      <c r="H363" t="s">
        <v>1660</v>
      </c>
      <c r="I363" t="s">
        <v>1801</v>
      </c>
      <c r="J363" t="s">
        <v>1680</v>
      </c>
      <c r="K363" t="s">
        <v>1696</v>
      </c>
      <c r="L363" t="s">
        <v>21</v>
      </c>
      <c r="M363">
        <v>1987</v>
      </c>
      <c r="N363" s="5">
        <f>ROUNDUP(Clean_Data[[#This Row],[Year_Num]]/100,0)</f>
        <v>20</v>
      </c>
      <c r="O363" s="5" t="str" cm="1">
        <f t="array" ref="O363">_xlfn.LET(_xlpm.y,Clean_Data[[#This Row],[Year_Num]],_xlfn.IFS(_xlpm.y&lt;500,"Ancient",_xlpm.y&lt;1500,"Medieval",_xlpm.y&lt;1800,"Early Modern",_xlpm.y&lt;1946,"Modern",TRUE,"Contemporary"))</f>
        <v>Contemporary</v>
      </c>
      <c r="P363" s="5" t="str">
        <f>_xlfn.XLOOKUP(Clean_Data[[#This Row],[Country]],country_region[Country],country_region[Country_Standard],"Not found")</f>
        <v>New Zealand</v>
      </c>
      <c r="Q363" s="5" t="str">
        <f>_xlfn.XLOOKUP(Clean_Data[[#This Row],[Country]],country_region[Country],country_region[Region],"Not found")</f>
        <v>Oceania</v>
      </c>
      <c r="R363" s="5" t="str">
        <f>_xlfn.XLOOKUP(Clean_Data[[#This Row],[Type of Event]],event_type_category[Type of Event],event_type_category[Category],"Not found")</f>
        <v>Politics &amp; Law</v>
      </c>
    </row>
    <row r="364" spans="1:18">
      <c r="A364">
        <v>394</v>
      </c>
      <c r="B364" t="s">
        <v>1802</v>
      </c>
      <c r="E364" t="s">
        <v>627</v>
      </c>
      <c r="F364" t="s">
        <v>1660</v>
      </c>
      <c r="G364" t="s">
        <v>1803</v>
      </c>
      <c r="H364" t="s">
        <v>1660</v>
      </c>
      <c r="I364" t="s">
        <v>1804</v>
      </c>
      <c r="J364" t="s">
        <v>1680</v>
      </c>
      <c r="K364" t="s">
        <v>1696</v>
      </c>
      <c r="L364" t="s">
        <v>21</v>
      </c>
      <c r="M364">
        <v>1990</v>
      </c>
      <c r="N364" s="5">
        <f>ROUNDUP(Clean_Data[[#This Row],[Year_Num]]/100,0)</f>
        <v>20</v>
      </c>
      <c r="O364" s="5" t="str" cm="1">
        <f t="array" ref="O364">_xlfn.LET(_xlpm.y,Clean_Data[[#This Row],[Year_Num]],_xlfn.IFS(_xlpm.y&lt;500,"Ancient",_xlpm.y&lt;1500,"Medieval",_xlpm.y&lt;1800,"Early Modern",_xlpm.y&lt;1946,"Modern",TRUE,"Contemporary"))</f>
        <v>Contemporary</v>
      </c>
      <c r="P364" s="5" t="str">
        <f>_xlfn.XLOOKUP(Clean_Data[[#This Row],[Country]],country_region[Country],country_region[Country_Standard],"Not found")</f>
        <v>New Zealand</v>
      </c>
      <c r="Q364" s="5" t="str">
        <f>_xlfn.XLOOKUP(Clean_Data[[#This Row],[Country]],country_region[Country],country_region[Region],"Not found")</f>
        <v>Oceania</v>
      </c>
      <c r="R364" s="5" t="str">
        <f>_xlfn.XLOOKUP(Clean_Data[[#This Row],[Type of Event]],event_type_category[Type of Event],event_type_category[Category],"Not found")</f>
        <v>Politics &amp; Law</v>
      </c>
    </row>
    <row r="365" spans="1:18">
      <c r="A365">
        <v>395</v>
      </c>
      <c r="B365" t="s">
        <v>1805</v>
      </c>
      <c r="E365" t="s">
        <v>643</v>
      </c>
      <c r="F365" t="s">
        <v>1660</v>
      </c>
      <c r="G365" t="s">
        <v>1806</v>
      </c>
      <c r="H365" t="s">
        <v>1660</v>
      </c>
      <c r="I365" t="s">
        <v>1807</v>
      </c>
      <c r="J365" t="s">
        <v>1808</v>
      </c>
      <c r="K365" t="s">
        <v>1809</v>
      </c>
      <c r="L365" t="s">
        <v>21</v>
      </c>
      <c r="M365">
        <v>2004</v>
      </c>
      <c r="N365" s="5">
        <f>ROUNDUP(Clean_Data[[#This Row],[Year_Num]]/100,0)</f>
        <v>21</v>
      </c>
      <c r="O365" s="5" t="str" cm="1">
        <f t="array" ref="O365">_xlfn.LET(_xlpm.y,Clean_Data[[#This Row],[Year_Num]],_xlfn.IFS(_xlpm.y&lt;500,"Ancient",_xlpm.y&lt;1500,"Medieval",_xlpm.y&lt;1800,"Early Modern",_xlpm.y&lt;1946,"Modern",TRUE,"Contemporary"))</f>
        <v>Contemporary</v>
      </c>
      <c r="P365" s="5" t="str">
        <f>_xlfn.XLOOKUP(Clean_Data[[#This Row],[Country]],country_region[Country],country_region[Country_Standard],"Not found")</f>
        <v>New Zealand</v>
      </c>
      <c r="Q365" s="5" t="str">
        <f>_xlfn.XLOOKUP(Clean_Data[[#This Row],[Country]],country_region[Country],country_region[Region],"Not found")</f>
        <v>Oceania</v>
      </c>
      <c r="R365" s="5" t="str">
        <f>_xlfn.XLOOKUP(Clean_Data[[#This Row],[Type of Event]],event_type_category[Type of Event],event_type_category[Category],"Not found")</f>
        <v>Politics &amp; Law</v>
      </c>
    </row>
    <row r="366" spans="1:18">
      <c r="A366">
        <v>396</v>
      </c>
      <c r="B366" t="s">
        <v>1810</v>
      </c>
      <c r="E366" t="s">
        <v>698</v>
      </c>
      <c r="F366" t="s">
        <v>1660</v>
      </c>
      <c r="G366" t="s">
        <v>1811</v>
      </c>
      <c r="H366" t="s">
        <v>1660</v>
      </c>
      <c r="I366" t="s">
        <v>1812</v>
      </c>
      <c r="J366" t="s">
        <v>1750</v>
      </c>
      <c r="K366" t="s">
        <v>1696</v>
      </c>
      <c r="L366" t="s">
        <v>21</v>
      </c>
      <c r="M366">
        <v>1987</v>
      </c>
      <c r="N366" s="5">
        <f>ROUNDUP(Clean_Data[[#This Row],[Year_Num]]/100,0)</f>
        <v>20</v>
      </c>
      <c r="O366" s="5" t="str" cm="1">
        <f t="array" ref="O366">_xlfn.LET(_xlpm.y,Clean_Data[[#This Row],[Year_Num]],_xlfn.IFS(_xlpm.y&lt;500,"Ancient",_xlpm.y&lt;1500,"Medieval",_xlpm.y&lt;1800,"Early Modern",_xlpm.y&lt;1946,"Modern",TRUE,"Contemporary"))</f>
        <v>Contemporary</v>
      </c>
      <c r="P366" s="5" t="str">
        <f>_xlfn.XLOOKUP(Clean_Data[[#This Row],[Country]],country_region[Country],country_region[Country_Standard],"Not found")</f>
        <v>New Zealand</v>
      </c>
      <c r="Q366" s="5" t="str">
        <f>_xlfn.XLOOKUP(Clean_Data[[#This Row],[Country]],country_region[Country],country_region[Region],"Not found")</f>
        <v>Oceania</v>
      </c>
      <c r="R366" s="5" t="str">
        <f>_xlfn.XLOOKUP(Clean_Data[[#This Row],[Type of Event]],event_type_category[Type of Event],event_type_category[Category],"Not found")</f>
        <v>Culture, Religion &amp; Sport</v>
      </c>
    </row>
    <row r="367" spans="1:18">
      <c r="A367">
        <v>397</v>
      </c>
      <c r="B367" t="s">
        <v>1813</v>
      </c>
      <c r="E367" t="s">
        <v>613</v>
      </c>
      <c r="F367" t="s">
        <v>1660</v>
      </c>
      <c r="G367" t="s">
        <v>1688</v>
      </c>
      <c r="H367" t="s">
        <v>1660</v>
      </c>
      <c r="I367" t="s">
        <v>1814</v>
      </c>
      <c r="J367" t="s">
        <v>1759</v>
      </c>
      <c r="K367" t="s">
        <v>1696</v>
      </c>
      <c r="L367" t="s">
        <v>21</v>
      </c>
      <c r="M367">
        <v>1986</v>
      </c>
      <c r="N367" s="5">
        <f>ROUNDUP(Clean_Data[[#This Row],[Year_Num]]/100,0)</f>
        <v>20</v>
      </c>
      <c r="O367" s="5" t="str" cm="1">
        <f t="array" ref="O367">_xlfn.LET(_xlpm.y,Clean_Data[[#This Row],[Year_Num]],_xlfn.IFS(_xlpm.y&lt;500,"Ancient",_xlpm.y&lt;1500,"Medieval",_xlpm.y&lt;1800,"Early Modern",_xlpm.y&lt;1946,"Modern",TRUE,"Contemporary"))</f>
        <v>Contemporary</v>
      </c>
      <c r="P367" s="5" t="str">
        <f>_xlfn.XLOOKUP(Clean_Data[[#This Row],[Country]],country_region[Country],country_region[Country_Standard],"Not found")</f>
        <v>New Zealand</v>
      </c>
      <c r="Q367" s="5" t="str">
        <f>_xlfn.XLOOKUP(Clean_Data[[#This Row],[Country]],country_region[Country],country_region[Region],"Not found")</f>
        <v>Oceania</v>
      </c>
      <c r="R367" s="5" t="str">
        <f>_xlfn.XLOOKUP(Clean_Data[[#This Row],[Type of Event]],event_type_category[Type of Event],event_type_category[Category],"Not found")</f>
        <v>Society &amp; Health</v>
      </c>
    </row>
    <row r="368" spans="1:18">
      <c r="A368">
        <v>398</v>
      </c>
      <c r="B368" t="s">
        <v>1815</v>
      </c>
      <c r="E368" t="s">
        <v>1816</v>
      </c>
      <c r="F368" t="s">
        <v>1354</v>
      </c>
      <c r="G368" t="s">
        <v>778</v>
      </c>
      <c r="H368" t="s">
        <v>1817</v>
      </c>
      <c r="I368" t="s">
        <v>1818</v>
      </c>
      <c r="J368" t="s">
        <v>1819</v>
      </c>
      <c r="K368" t="s">
        <v>1820</v>
      </c>
      <c r="L368" t="s">
        <v>21</v>
      </c>
      <c r="M368">
        <v>918</v>
      </c>
      <c r="N368" s="5">
        <f>ROUNDUP(Clean_Data[[#This Row],[Year_Num]]/100,0)</f>
        <v>10</v>
      </c>
      <c r="O368" s="5" t="str" cm="1">
        <f t="array" ref="O368">_xlfn.LET(_xlpm.y,Clean_Data[[#This Row],[Year_Num]],_xlfn.IFS(_xlpm.y&lt;500,"Ancient",_xlpm.y&lt;1500,"Medieval",_xlpm.y&lt;1800,"Early Modern",_xlpm.y&lt;1946,"Modern",TRUE,"Contemporary"))</f>
        <v>Medieval</v>
      </c>
      <c r="P368" s="5" t="str">
        <f>_xlfn.XLOOKUP(Clean_Data[[#This Row],[Country]],country_region[Country],country_region[Country_Standard],"Not found")</f>
        <v>Korea</v>
      </c>
      <c r="Q368" s="5" t="str">
        <f>_xlfn.XLOOKUP(Clean_Data[[#This Row],[Country]],country_region[Country],country_region[Region],"Not found")</f>
        <v>East Asia</v>
      </c>
      <c r="R368" s="5" t="str">
        <f>_xlfn.XLOOKUP(Clean_Data[[#This Row],[Type of Event]],event_type_category[Type of Event],event_type_category[Category],"Not found")</f>
        <v>Independence &amp; Nation-Building</v>
      </c>
    </row>
    <row r="369" spans="1:18">
      <c r="A369">
        <v>399</v>
      </c>
      <c r="B369" t="s">
        <v>1821</v>
      </c>
      <c r="E369" t="s">
        <v>1822</v>
      </c>
      <c r="F369" t="s">
        <v>1354</v>
      </c>
      <c r="G369" t="s">
        <v>1029</v>
      </c>
      <c r="H369" t="s">
        <v>1817</v>
      </c>
      <c r="I369" t="s">
        <v>4925</v>
      </c>
      <c r="J369" t="s">
        <v>1819</v>
      </c>
      <c r="K369" t="s">
        <v>785</v>
      </c>
      <c r="L369" t="s">
        <v>54</v>
      </c>
      <c r="M369">
        <v>1231</v>
      </c>
      <c r="N369" s="5">
        <f>ROUNDUP(Clean_Data[[#This Row],[Year_Num]]/100,0)</f>
        <v>13</v>
      </c>
      <c r="O369" s="5" t="str" cm="1">
        <f t="array" ref="O369">_xlfn.LET(_xlpm.y,Clean_Data[[#This Row],[Year_Num]],_xlfn.IFS(_xlpm.y&lt;500,"Ancient",_xlpm.y&lt;1500,"Medieval",_xlpm.y&lt;1800,"Early Modern",_xlpm.y&lt;1946,"Modern",TRUE,"Contemporary"))</f>
        <v>Medieval</v>
      </c>
      <c r="P369" s="5" t="str">
        <f>_xlfn.XLOOKUP(Clean_Data[[#This Row],[Country]],country_region[Country],country_region[Country_Standard],"Not found")</f>
        <v>Korea</v>
      </c>
      <c r="Q369" s="5" t="str">
        <f>_xlfn.XLOOKUP(Clean_Data[[#This Row],[Country]],country_region[Country],country_region[Region],"Not found")</f>
        <v>East Asia</v>
      </c>
      <c r="R369" s="5" t="str">
        <f>_xlfn.XLOOKUP(Clean_Data[[#This Row],[Type of Event]],event_type_category[Type of Event],event_type_category[Category],"Not found")</f>
        <v>War &amp; Conflict</v>
      </c>
    </row>
    <row r="370" spans="1:18">
      <c r="A370">
        <v>400</v>
      </c>
      <c r="B370" t="s">
        <v>1824</v>
      </c>
      <c r="E370" t="s">
        <v>1825</v>
      </c>
      <c r="F370" t="s">
        <v>1354</v>
      </c>
      <c r="G370" t="s">
        <v>778</v>
      </c>
      <c r="H370" t="s">
        <v>1817</v>
      </c>
      <c r="I370" t="s">
        <v>1826</v>
      </c>
      <c r="J370" t="s">
        <v>1819</v>
      </c>
      <c r="K370" t="s">
        <v>1827</v>
      </c>
      <c r="L370" t="s">
        <v>21</v>
      </c>
      <c r="M370">
        <v>1392</v>
      </c>
      <c r="N370" s="5">
        <f>ROUNDUP(Clean_Data[[#This Row],[Year_Num]]/100,0)</f>
        <v>14</v>
      </c>
      <c r="O370" s="5" t="str" cm="1">
        <f t="array" ref="O370">_xlfn.LET(_xlpm.y,Clean_Data[[#This Row],[Year_Num]],_xlfn.IFS(_xlpm.y&lt;500,"Ancient",_xlpm.y&lt;1500,"Medieval",_xlpm.y&lt;1800,"Early Modern",_xlpm.y&lt;1946,"Modern",TRUE,"Contemporary"))</f>
        <v>Medieval</v>
      </c>
      <c r="P370" s="5" t="str">
        <f>_xlfn.XLOOKUP(Clean_Data[[#This Row],[Country]],country_region[Country],country_region[Country_Standard],"Not found")</f>
        <v>Korea</v>
      </c>
      <c r="Q370" s="5" t="str">
        <f>_xlfn.XLOOKUP(Clean_Data[[#This Row],[Country]],country_region[Country],country_region[Region],"Not found")</f>
        <v>East Asia</v>
      </c>
      <c r="R370" s="5" t="str">
        <f>_xlfn.XLOOKUP(Clean_Data[[#This Row],[Type of Event]],event_type_category[Type of Event],event_type_category[Category],"Not found")</f>
        <v>Independence &amp; Nation-Building</v>
      </c>
    </row>
    <row r="371" spans="1:18">
      <c r="A371">
        <v>401</v>
      </c>
      <c r="B371" t="s">
        <v>1828</v>
      </c>
      <c r="E371" t="s">
        <v>1829</v>
      </c>
      <c r="F371" t="s">
        <v>1354</v>
      </c>
      <c r="G371" t="s">
        <v>138</v>
      </c>
      <c r="H371" t="s">
        <v>1817</v>
      </c>
      <c r="I371" t="s">
        <v>1830</v>
      </c>
      <c r="J371" t="s">
        <v>1819</v>
      </c>
      <c r="K371" t="s">
        <v>4926</v>
      </c>
      <c r="L371" t="s">
        <v>36</v>
      </c>
      <c r="M371">
        <v>1592</v>
      </c>
      <c r="N371" s="5">
        <f>ROUNDUP(Clean_Data[[#This Row],[Year_Num]]/100,0)</f>
        <v>16</v>
      </c>
      <c r="O371" s="5" t="str" cm="1">
        <f t="array" ref="O371">_xlfn.LET(_xlpm.y,Clean_Data[[#This Row],[Year_Num]],_xlfn.IFS(_xlpm.y&lt;500,"Ancient",_xlpm.y&lt;1500,"Medieval",_xlpm.y&lt;1800,"Early Modern",_xlpm.y&lt;1946,"Modern",TRUE,"Contemporary"))</f>
        <v>Early Modern</v>
      </c>
      <c r="P371" s="5" t="str">
        <f>_xlfn.XLOOKUP(Clean_Data[[#This Row],[Country]],country_region[Country],country_region[Country_Standard],"Not found")</f>
        <v>Korea</v>
      </c>
      <c r="Q371" s="5" t="str">
        <f>_xlfn.XLOOKUP(Clean_Data[[#This Row],[Country]],country_region[Country],country_region[Region],"Not found")</f>
        <v>East Asia</v>
      </c>
      <c r="R371" s="5" t="str">
        <f>_xlfn.XLOOKUP(Clean_Data[[#This Row],[Type of Event]],event_type_category[Type of Event],event_type_category[Category],"Not found")</f>
        <v>War &amp; Conflict</v>
      </c>
    </row>
    <row r="372" spans="1:18">
      <c r="A372">
        <v>402</v>
      </c>
      <c r="B372" t="s">
        <v>1832</v>
      </c>
      <c r="E372" t="s">
        <v>1833</v>
      </c>
      <c r="F372" t="s">
        <v>1354</v>
      </c>
      <c r="G372" t="s">
        <v>1029</v>
      </c>
      <c r="H372" t="s">
        <v>1817</v>
      </c>
      <c r="I372" t="s">
        <v>1834</v>
      </c>
      <c r="J372" t="s">
        <v>1819</v>
      </c>
      <c r="K372" t="s">
        <v>1835</v>
      </c>
      <c r="L372" t="s">
        <v>54</v>
      </c>
      <c r="M372">
        <v>1627</v>
      </c>
      <c r="N372" s="5">
        <f>ROUNDUP(Clean_Data[[#This Row],[Year_Num]]/100,0)</f>
        <v>17</v>
      </c>
      <c r="O372" s="5" t="str" cm="1">
        <f t="array" ref="O372">_xlfn.LET(_xlpm.y,Clean_Data[[#This Row],[Year_Num]],_xlfn.IFS(_xlpm.y&lt;500,"Ancient",_xlpm.y&lt;1500,"Medieval",_xlpm.y&lt;1800,"Early Modern",_xlpm.y&lt;1946,"Modern",TRUE,"Contemporary"))</f>
        <v>Early Modern</v>
      </c>
      <c r="P372" s="5" t="str">
        <f>_xlfn.XLOOKUP(Clean_Data[[#This Row],[Country]],country_region[Country],country_region[Country_Standard],"Not found")</f>
        <v>Korea</v>
      </c>
      <c r="Q372" s="5" t="str">
        <f>_xlfn.XLOOKUP(Clean_Data[[#This Row],[Country]],country_region[Country],country_region[Region],"Not found")</f>
        <v>East Asia</v>
      </c>
      <c r="R372" s="5" t="str">
        <f>_xlfn.XLOOKUP(Clean_Data[[#This Row],[Type of Event]],event_type_category[Type of Event],event_type_category[Category],"Not found")</f>
        <v>War &amp; Conflict</v>
      </c>
    </row>
    <row r="373" spans="1:18">
      <c r="A373">
        <v>403</v>
      </c>
      <c r="B373" t="s">
        <v>1836</v>
      </c>
      <c r="E373" t="s">
        <v>1307</v>
      </c>
      <c r="F373" t="s">
        <v>1354</v>
      </c>
      <c r="G373" t="s">
        <v>1837</v>
      </c>
      <c r="H373" t="s">
        <v>1817</v>
      </c>
      <c r="I373" t="s">
        <v>1838</v>
      </c>
      <c r="J373" t="s">
        <v>1819</v>
      </c>
      <c r="K373" t="s">
        <v>1839</v>
      </c>
      <c r="L373" t="s">
        <v>36</v>
      </c>
      <c r="M373">
        <v>1894</v>
      </c>
      <c r="N373" s="5">
        <f>ROUNDUP(Clean_Data[[#This Row],[Year_Num]]/100,0)</f>
        <v>19</v>
      </c>
      <c r="O373" s="5" t="str" cm="1">
        <f t="array" ref="O373">_xlfn.LET(_xlpm.y,Clean_Data[[#This Row],[Year_Num]],_xlfn.IFS(_xlpm.y&lt;500,"Ancient",_xlpm.y&lt;1500,"Medieval",_xlpm.y&lt;1800,"Early Modern",_xlpm.y&lt;1946,"Modern",TRUE,"Contemporary"))</f>
        <v>Modern</v>
      </c>
      <c r="P373" s="5" t="str">
        <f>_xlfn.XLOOKUP(Clean_Data[[#This Row],[Country]],country_region[Country],country_region[Country_Standard],"Not found")</f>
        <v>Korea</v>
      </c>
      <c r="Q373" s="5" t="str">
        <f>_xlfn.XLOOKUP(Clean_Data[[#This Row],[Country]],country_region[Country],country_region[Region],"Not found")</f>
        <v>East Asia</v>
      </c>
      <c r="R373" s="5" t="str">
        <f>_xlfn.XLOOKUP(Clean_Data[[#This Row],[Type of Event]],event_type_category[Type of Event],event_type_category[Category],"Not found")</f>
        <v>Politics &amp; Law</v>
      </c>
    </row>
    <row r="374" spans="1:18">
      <c r="A374">
        <v>404</v>
      </c>
      <c r="B374" t="s">
        <v>1840</v>
      </c>
      <c r="C374" t="s">
        <v>298</v>
      </c>
      <c r="D374" t="s">
        <v>158</v>
      </c>
      <c r="E374" t="s">
        <v>1841</v>
      </c>
      <c r="F374" t="s">
        <v>1354</v>
      </c>
      <c r="G374" t="s">
        <v>1842</v>
      </c>
      <c r="H374" t="s">
        <v>1843</v>
      </c>
      <c r="I374" t="s">
        <v>4927</v>
      </c>
      <c r="J374" t="s">
        <v>1845</v>
      </c>
      <c r="K374" t="s">
        <v>1846</v>
      </c>
      <c r="L374" t="s">
        <v>54</v>
      </c>
      <c r="M374">
        <v>1895</v>
      </c>
      <c r="N374" s="5">
        <f>ROUNDUP(Clean_Data[[#This Row],[Year_Num]]/100,0)</f>
        <v>19</v>
      </c>
      <c r="O374" s="5" t="str" cm="1">
        <f t="array" ref="O374">_xlfn.LET(_xlpm.y,Clean_Data[[#This Row],[Year_Num]],_xlfn.IFS(_xlpm.y&lt;500,"Ancient",_xlpm.y&lt;1500,"Medieval",_xlpm.y&lt;1800,"Early Modern",_xlpm.y&lt;1946,"Modern",TRUE,"Contemporary"))</f>
        <v>Modern</v>
      </c>
      <c r="P374" s="5" t="str">
        <f>_xlfn.XLOOKUP(Clean_Data[[#This Row],[Country]],country_region[Country],country_region[Country_Standard],"Not found")</f>
        <v>Korea</v>
      </c>
      <c r="Q374" s="5" t="str">
        <f>_xlfn.XLOOKUP(Clean_Data[[#This Row],[Country]],country_region[Country],country_region[Region],"Not found")</f>
        <v>East Asia</v>
      </c>
      <c r="R374" s="5" t="str">
        <f>_xlfn.XLOOKUP(Clean_Data[[#This Row],[Type of Event]],event_type_category[Type of Event],event_type_category[Category],"Not found")</f>
        <v>War &amp; Conflict</v>
      </c>
    </row>
    <row r="375" spans="1:18">
      <c r="A375">
        <v>405</v>
      </c>
      <c r="B375" t="s">
        <v>1847</v>
      </c>
      <c r="C375" t="s">
        <v>353</v>
      </c>
      <c r="D375" t="s">
        <v>158</v>
      </c>
      <c r="E375" t="s">
        <v>1848</v>
      </c>
      <c r="F375" t="s">
        <v>1354</v>
      </c>
      <c r="G375" t="s">
        <v>1712</v>
      </c>
      <c r="H375" t="s">
        <v>1817</v>
      </c>
      <c r="I375" t="s">
        <v>1849</v>
      </c>
      <c r="J375" t="s">
        <v>1819</v>
      </c>
      <c r="K375" t="s">
        <v>1850</v>
      </c>
      <c r="L375" t="s">
        <v>21</v>
      </c>
      <c r="M375">
        <v>1897</v>
      </c>
      <c r="N375" s="5">
        <f>ROUNDUP(Clean_Data[[#This Row],[Year_Num]]/100,0)</f>
        <v>19</v>
      </c>
      <c r="O375" s="5" t="str" cm="1">
        <f t="array" ref="O375">_xlfn.LET(_xlpm.y,Clean_Data[[#This Row],[Year_Num]],_xlfn.IFS(_xlpm.y&lt;500,"Ancient",_xlpm.y&lt;1500,"Medieval",_xlpm.y&lt;1800,"Early Modern",_xlpm.y&lt;1946,"Modern",TRUE,"Contemporary"))</f>
        <v>Modern</v>
      </c>
      <c r="P375" s="5" t="str">
        <f>_xlfn.XLOOKUP(Clean_Data[[#This Row],[Country]],country_region[Country],country_region[Country_Standard],"Not found")</f>
        <v>Korea</v>
      </c>
      <c r="Q375" s="5" t="str">
        <f>_xlfn.XLOOKUP(Clean_Data[[#This Row],[Country]],country_region[Country],country_region[Region],"Not found")</f>
        <v>East Asia</v>
      </c>
      <c r="R375" s="5" t="str">
        <f>_xlfn.XLOOKUP(Clean_Data[[#This Row],[Type of Event]],event_type_category[Type of Event],event_type_category[Category],"Not found")</f>
        <v>Politics &amp; Law</v>
      </c>
    </row>
    <row r="376" spans="1:18">
      <c r="A376">
        <v>406</v>
      </c>
      <c r="B376" t="s">
        <v>4881</v>
      </c>
      <c r="E376" t="s">
        <v>1060</v>
      </c>
      <c r="F376" t="s">
        <v>1354</v>
      </c>
      <c r="G376" t="s">
        <v>795</v>
      </c>
      <c r="H376" t="s">
        <v>1851</v>
      </c>
      <c r="I376" t="s">
        <v>1852</v>
      </c>
      <c r="J376" t="s">
        <v>1819</v>
      </c>
      <c r="K376" t="s">
        <v>1853</v>
      </c>
      <c r="L376" t="s">
        <v>54</v>
      </c>
      <c r="M376">
        <v>1904</v>
      </c>
      <c r="N376" s="5">
        <f>ROUNDUP(Clean_Data[[#This Row],[Year_Num]]/100,0)</f>
        <v>20</v>
      </c>
      <c r="O376" s="5" t="str" cm="1">
        <f t="array" ref="O376">_xlfn.LET(_xlpm.y,Clean_Data[[#This Row],[Year_Num]],_xlfn.IFS(_xlpm.y&lt;500,"Ancient",_xlpm.y&lt;1500,"Medieval",_xlpm.y&lt;1800,"Early Modern",_xlpm.y&lt;1946,"Modern",TRUE,"Contemporary"))</f>
        <v>Modern</v>
      </c>
      <c r="P376" s="5" t="str">
        <f>_xlfn.XLOOKUP(Clean_Data[[#This Row],[Country]],country_region[Country],country_region[Country_Standard],"Not found")</f>
        <v>Korea</v>
      </c>
      <c r="Q376" s="5" t="str">
        <f>_xlfn.XLOOKUP(Clean_Data[[#This Row],[Country]],country_region[Country],country_region[Region],"Not found")</f>
        <v>East Asia</v>
      </c>
      <c r="R376" s="5" t="str">
        <f>_xlfn.XLOOKUP(Clean_Data[[#This Row],[Type of Event]],event_type_category[Type of Event],event_type_category[Category],"Not found")</f>
        <v>War &amp; Conflict</v>
      </c>
    </row>
    <row r="377" spans="1:18">
      <c r="A377">
        <v>407</v>
      </c>
      <c r="B377" t="s">
        <v>4902</v>
      </c>
      <c r="C377" t="s">
        <v>325</v>
      </c>
      <c r="D377" t="s">
        <v>57</v>
      </c>
      <c r="E377" t="s">
        <v>1353</v>
      </c>
      <c r="F377" t="s">
        <v>1354</v>
      </c>
      <c r="G377" t="s">
        <v>1854</v>
      </c>
      <c r="H377" t="s">
        <v>1817</v>
      </c>
      <c r="I377" t="s">
        <v>1855</v>
      </c>
      <c r="J377" t="s">
        <v>1819</v>
      </c>
      <c r="K377" t="s">
        <v>1357</v>
      </c>
      <c r="L377" t="s">
        <v>54</v>
      </c>
      <c r="M377">
        <v>1910</v>
      </c>
      <c r="N377" s="5">
        <f>ROUNDUP(Clean_Data[[#This Row],[Year_Num]]/100,0)</f>
        <v>20</v>
      </c>
      <c r="O377" s="5" t="str" cm="1">
        <f t="array" ref="O377">_xlfn.LET(_xlpm.y,Clean_Data[[#This Row],[Year_Num]],_xlfn.IFS(_xlpm.y&lt;500,"Ancient",_xlpm.y&lt;1500,"Medieval",_xlpm.y&lt;1800,"Early Modern",_xlpm.y&lt;1946,"Modern",TRUE,"Contemporary"))</f>
        <v>Modern</v>
      </c>
      <c r="P377" s="5" t="str">
        <f>_xlfn.XLOOKUP(Clean_Data[[#This Row],[Country]],country_region[Country],country_region[Country_Standard],"Not found")</f>
        <v>Korea</v>
      </c>
      <c r="Q377" s="5" t="str">
        <f>_xlfn.XLOOKUP(Clean_Data[[#This Row],[Country]],country_region[Country],country_region[Region],"Not found")</f>
        <v>East Asia</v>
      </c>
      <c r="R377" s="5" t="str">
        <f>_xlfn.XLOOKUP(Clean_Data[[#This Row],[Type of Event]],event_type_category[Type of Event],event_type_category[Category],"Not found")</f>
        <v>Independence &amp; Nation-Building</v>
      </c>
    </row>
    <row r="378" spans="1:18">
      <c r="A378">
        <v>408</v>
      </c>
      <c r="B378" t="s">
        <v>1856</v>
      </c>
      <c r="C378" t="s">
        <v>46</v>
      </c>
      <c r="D378" t="s">
        <v>267</v>
      </c>
      <c r="E378" t="s">
        <v>375</v>
      </c>
      <c r="F378" t="s">
        <v>1354</v>
      </c>
      <c r="G378" t="s">
        <v>1857</v>
      </c>
      <c r="H378" t="s">
        <v>1817</v>
      </c>
      <c r="I378" t="s">
        <v>1858</v>
      </c>
      <c r="J378" t="s">
        <v>1819</v>
      </c>
      <c r="K378" t="s">
        <v>1859</v>
      </c>
      <c r="L378" t="s">
        <v>36</v>
      </c>
      <c r="M378">
        <v>1919</v>
      </c>
      <c r="N378" s="5">
        <f>ROUNDUP(Clean_Data[[#This Row],[Year_Num]]/100,0)</f>
        <v>20</v>
      </c>
      <c r="O378" s="5" t="str" cm="1">
        <f t="array" ref="O378">_xlfn.LET(_xlpm.y,Clean_Data[[#This Row],[Year_Num]],_xlfn.IFS(_xlpm.y&lt;500,"Ancient",_xlpm.y&lt;1500,"Medieval",_xlpm.y&lt;1800,"Early Modern",_xlpm.y&lt;1946,"Modern",TRUE,"Contemporary"))</f>
        <v>Modern</v>
      </c>
      <c r="P378" s="5" t="str">
        <f>_xlfn.XLOOKUP(Clean_Data[[#This Row],[Country]],country_region[Country],country_region[Country_Standard],"Not found")</f>
        <v>Korea</v>
      </c>
      <c r="Q378" s="5" t="str">
        <f>_xlfn.XLOOKUP(Clean_Data[[#This Row],[Country]],country_region[Country],country_region[Region],"Not found")</f>
        <v>East Asia</v>
      </c>
      <c r="R378" s="5" t="str">
        <f>_xlfn.XLOOKUP(Clean_Data[[#This Row],[Type of Event]],event_type_category[Type of Event],event_type_category[Category],"Not found")</f>
        <v>Independence &amp; Nation-Building</v>
      </c>
    </row>
    <row r="379" spans="1:18">
      <c r="A379">
        <v>409</v>
      </c>
      <c r="B379" t="s">
        <v>1860</v>
      </c>
      <c r="C379" t="s">
        <v>74</v>
      </c>
      <c r="D379" t="s">
        <v>39</v>
      </c>
      <c r="E379" t="s">
        <v>375</v>
      </c>
      <c r="F379" t="s">
        <v>1354</v>
      </c>
      <c r="G379" t="s">
        <v>1861</v>
      </c>
      <c r="H379" t="s">
        <v>1862</v>
      </c>
      <c r="I379" t="s">
        <v>4928</v>
      </c>
      <c r="J379" t="s">
        <v>1819</v>
      </c>
      <c r="K379" t="s">
        <v>1864</v>
      </c>
      <c r="L379" t="s">
        <v>21</v>
      </c>
      <c r="M379">
        <v>1919</v>
      </c>
      <c r="N379" s="5">
        <f>ROUNDUP(Clean_Data[[#This Row],[Year_Num]]/100,0)</f>
        <v>20</v>
      </c>
      <c r="O379" s="5" t="str" cm="1">
        <f t="array" ref="O379">_xlfn.LET(_xlpm.y,Clean_Data[[#This Row],[Year_Num]],_xlfn.IFS(_xlpm.y&lt;500,"Ancient",_xlpm.y&lt;1500,"Medieval",_xlpm.y&lt;1800,"Early Modern",_xlpm.y&lt;1946,"Modern",TRUE,"Contemporary"))</f>
        <v>Modern</v>
      </c>
      <c r="P379" s="5" t="str">
        <f>_xlfn.XLOOKUP(Clean_Data[[#This Row],[Country]],country_region[Country],country_region[Country_Standard],"Not found")</f>
        <v>Korea</v>
      </c>
      <c r="Q379" s="5" t="str">
        <f>_xlfn.XLOOKUP(Clean_Data[[#This Row],[Country]],country_region[Country],country_region[Region],"Not found")</f>
        <v>East Asia</v>
      </c>
      <c r="R379" s="5" t="str">
        <f>_xlfn.XLOOKUP(Clean_Data[[#This Row],[Type of Event]],event_type_category[Type of Event],event_type_category[Category],"Not found")</f>
        <v>Independence &amp; Nation-Building</v>
      </c>
    </row>
    <row r="380" spans="1:18">
      <c r="A380">
        <v>410</v>
      </c>
      <c r="B380" t="s">
        <v>1865</v>
      </c>
      <c r="C380" t="s">
        <v>56</v>
      </c>
      <c r="D380" t="s">
        <v>57</v>
      </c>
      <c r="E380" t="s">
        <v>682</v>
      </c>
      <c r="F380" t="s">
        <v>1354</v>
      </c>
      <c r="G380" t="s">
        <v>1866</v>
      </c>
      <c r="H380" t="s">
        <v>1817</v>
      </c>
      <c r="I380" t="s">
        <v>1867</v>
      </c>
      <c r="J380" t="s">
        <v>1819</v>
      </c>
      <c r="K380" t="s">
        <v>1868</v>
      </c>
      <c r="L380" t="s">
        <v>21</v>
      </c>
      <c r="M380">
        <v>1945</v>
      </c>
      <c r="N380" s="5">
        <f>ROUNDUP(Clean_Data[[#This Row],[Year_Num]]/100,0)</f>
        <v>20</v>
      </c>
      <c r="O380" s="5" t="str" cm="1">
        <f t="array" ref="O380">_xlfn.LET(_xlpm.y,Clean_Data[[#This Row],[Year_Num]],_xlfn.IFS(_xlpm.y&lt;500,"Ancient",_xlpm.y&lt;1500,"Medieval",_xlpm.y&lt;1800,"Early Modern",_xlpm.y&lt;1946,"Modern",TRUE,"Contemporary"))</f>
        <v>Modern</v>
      </c>
      <c r="P380" s="5" t="str">
        <f>_xlfn.XLOOKUP(Clean_Data[[#This Row],[Country]],country_region[Country],country_region[Country_Standard],"Not found")</f>
        <v>Korea</v>
      </c>
      <c r="Q380" s="5" t="str">
        <f>_xlfn.XLOOKUP(Clean_Data[[#This Row],[Country]],country_region[Country],country_region[Region],"Not found")</f>
        <v>East Asia</v>
      </c>
      <c r="R380" s="5" t="str">
        <f>_xlfn.XLOOKUP(Clean_Data[[#This Row],[Type of Event]],event_type_category[Type of Event],event_type_category[Category],"Not found")</f>
        <v>Independence &amp; Nation-Building</v>
      </c>
    </row>
    <row r="381" spans="1:18">
      <c r="A381">
        <v>411</v>
      </c>
      <c r="B381" t="s">
        <v>1869</v>
      </c>
      <c r="E381" t="s">
        <v>682</v>
      </c>
      <c r="F381" t="s">
        <v>1354</v>
      </c>
      <c r="G381" t="s">
        <v>1870</v>
      </c>
      <c r="H381" t="s">
        <v>1871</v>
      </c>
      <c r="I381" t="s">
        <v>1872</v>
      </c>
      <c r="J381" t="s">
        <v>1819</v>
      </c>
      <c r="K381" t="s">
        <v>1873</v>
      </c>
      <c r="L381" t="s">
        <v>54</v>
      </c>
      <c r="M381">
        <v>1945</v>
      </c>
      <c r="N381" s="5">
        <f>ROUNDUP(Clean_Data[[#This Row],[Year_Num]]/100,0)</f>
        <v>20</v>
      </c>
      <c r="O381" s="5" t="str" cm="1">
        <f t="array" ref="O381">_xlfn.LET(_xlpm.y,Clean_Data[[#This Row],[Year_Num]],_xlfn.IFS(_xlpm.y&lt;500,"Ancient",_xlpm.y&lt;1500,"Medieval",_xlpm.y&lt;1800,"Early Modern",_xlpm.y&lt;1946,"Modern",TRUE,"Contemporary"))</f>
        <v>Modern</v>
      </c>
      <c r="P381" s="5" t="str">
        <f>_xlfn.XLOOKUP(Clean_Data[[#This Row],[Country]],country_region[Country],country_region[Country_Standard],"Not found")</f>
        <v>Korea</v>
      </c>
      <c r="Q381" s="5" t="str">
        <f>_xlfn.XLOOKUP(Clean_Data[[#This Row],[Country]],country_region[Country],country_region[Region],"Not found")</f>
        <v>East Asia</v>
      </c>
      <c r="R381" s="5" t="str">
        <f>_xlfn.XLOOKUP(Clean_Data[[#This Row],[Type of Event]],event_type_category[Type of Event],event_type_category[Category],"Not found")</f>
        <v>Independence &amp; Nation-Building</v>
      </c>
    </row>
    <row r="382" spans="1:18">
      <c r="A382">
        <v>412</v>
      </c>
      <c r="B382" t="s">
        <v>1874</v>
      </c>
      <c r="C382" t="s">
        <v>56</v>
      </c>
      <c r="D382" t="s">
        <v>57</v>
      </c>
      <c r="E382" t="s">
        <v>656</v>
      </c>
      <c r="F382" t="s">
        <v>1875</v>
      </c>
      <c r="G382" t="s">
        <v>1876</v>
      </c>
      <c r="H382" t="s">
        <v>1432</v>
      </c>
      <c r="I382" t="s">
        <v>1877</v>
      </c>
      <c r="J382" t="s">
        <v>1878</v>
      </c>
      <c r="K382" t="s">
        <v>1879</v>
      </c>
      <c r="L382" t="s">
        <v>21</v>
      </c>
      <c r="M382">
        <v>1948</v>
      </c>
      <c r="N382" s="5">
        <f>ROUNDUP(Clean_Data[[#This Row],[Year_Num]]/100,0)</f>
        <v>20</v>
      </c>
      <c r="O382" s="5" t="str" cm="1">
        <f t="array" ref="O382">_xlfn.LET(_xlpm.y,Clean_Data[[#This Row],[Year_Num]],_xlfn.IFS(_xlpm.y&lt;500,"Ancient",_xlpm.y&lt;1500,"Medieval",_xlpm.y&lt;1800,"Early Modern",_xlpm.y&lt;1946,"Modern",TRUE,"Contemporary"))</f>
        <v>Contemporary</v>
      </c>
      <c r="P382" s="5" t="str">
        <f>_xlfn.XLOOKUP(Clean_Data[[#This Row],[Country]],country_region[Country],country_region[Country_Standard],"Not found")</f>
        <v>South Korea</v>
      </c>
      <c r="Q382" s="5" t="str">
        <f>_xlfn.XLOOKUP(Clean_Data[[#This Row],[Country]],country_region[Country],country_region[Region],"Not found")</f>
        <v>East Asia</v>
      </c>
      <c r="R382" s="5" t="str">
        <f>_xlfn.XLOOKUP(Clean_Data[[#This Row],[Type of Event]],event_type_category[Type of Event],event_type_category[Category],"Not found")</f>
        <v>Independence &amp; Nation-Building</v>
      </c>
    </row>
    <row r="383" spans="1:18">
      <c r="A383">
        <v>413</v>
      </c>
      <c r="B383" t="s">
        <v>1880</v>
      </c>
      <c r="C383" t="s">
        <v>240</v>
      </c>
      <c r="D383" t="s">
        <v>286</v>
      </c>
      <c r="E383" t="s">
        <v>656</v>
      </c>
      <c r="F383" t="s">
        <v>1881</v>
      </c>
      <c r="G383" t="s">
        <v>1876</v>
      </c>
      <c r="H383" t="s">
        <v>1882</v>
      </c>
      <c r="I383" t="s">
        <v>1883</v>
      </c>
      <c r="J383" t="s">
        <v>1884</v>
      </c>
      <c r="K383" t="s">
        <v>4929</v>
      </c>
      <c r="L383" t="s">
        <v>54</v>
      </c>
      <c r="M383">
        <v>1948</v>
      </c>
      <c r="N383" s="5">
        <f>ROUNDUP(Clean_Data[[#This Row],[Year_Num]]/100,0)</f>
        <v>20</v>
      </c>
      <c r="O383" s="5" t="str" cm="1">
        <f t="array" ref="O383">_xlfn.LET(_xlpm.y,Clean_Data[[#This Row],[Year_Num]],_xlfn.IFS(_xlpm.y&lt;500,"Ancient",_xlpm.y&lt;1500,"Medieval",_xlpm.y&lt;1800,"Early Modern",_xlpm.y&lt;1946,"Modern",TRUE,"Contemporary"))</f>
        <v>Contemporary</v>
      </c>
      <c r="P383" s="5" t="str">
        <f>_xlfn.XLOOKUP(Clean_Data[[#This Row],[Country]],country_region[Country],country_region[Country_Standard],"Not found")</f>
        <v>North Korea</v>
      </c>
      <c r="Q383" s="5" t="str">
        <f>_xlfn.XLOOKUP(Clean_Data[[#This Row],[Country]],country_region[Country],country_region[Region],"Not found")</f>
        <v>East Asia</v>
      </c>
      <c r="R383" s="5" t="str">
        <f>_xlfn.XLOOKUP(Clean_Data[[#This Row],[Type of Event]],event_type_category[Type of Event],event_type_category[Category],"Not found")</f>
        <v>Independence &amp; Nation-Building</v>
      </c>
    </row>
    <row r="384" spans="1:18">
      <c r="A384">
        <v>414</v>
      </c>
      <c r="B384" t="s">
        <v>1886</v>
      </c>
      <c r="E384" t="s">
        <v>656</v>
      </c>
      <c r="F384" t="s">
        <v>1875</v>
      </c>
      <c r="G384" t="s">
        <v>1768</v>
      </c>
      <c r="H384" t="s">
        <v>1887</v>
      </c>
      <c r="I384" t="s">
        <v>4930</v>
      </c>
      <c r="J384" t="s">
        <v>1889</v>
      </c>
      <c r="K384" t="s">
        <v>1890</v>
      </c>
      <c r="L384" t="s">
        <v>54</v>
      </c>
      <c r="M384">
        <v>1948</v>
      </c>
      <c r="N384" s="5">
        <f>ROUNDUP(Clean_Data[[#This Row],[Year_Num]]/100,0)</f>
        <v>20</v>
      </c>
      <c r="O384" s="5" t="str" cm="1">
        <f t="array" ref="O384">_xlfn.LET(_xlpm.y,Clean_Data[[#This Row],[Year_Num]],_xlfn.IFS(_xlpm.y&lt;500,"Ancient",_xlpm.y&lt;1500,"Medieval",_xlpm.y&lt;1800,"Early Modern",_xlpm.y&lt;1946,"Modern",TRUE,"Contemporary"))</f>
        <v>Contemporary</v>
      </c>
      <c r="P384" s="5" t="str">
        <f>_xlfn.XLOOKUP(Clean_Data[[#This Row],[Country]],country_region[Country],country_region[Country_Standard],"Not found")</f>
        <v>South Korea</v>
      </c>
      <c r="Q384" s="5" t="str">
        <f>_xlfn.XLOOKUP(Clean_Data[[#This Row],[Country]],country_region[Country],country_region[Region],"Not found")</f>
        <v>East Asia</v>
      </c>
      <c r="R384" s="5" t="str">
        <f>_xlfn.XLOOKUP(Clean_Data[[#This Row],[Type of Event]],event_type_category[Type of Event],event_type_category[Category],"Not found")</f>
        <v>Society &amp; Health</v>
      </c>
    </row>
    <row r="385" spans="1:18">
      <c r="A385">
        <v>415</v>
      </c>
      <c r="B385" t="s">
        <v>1891</v>
      </c>
      <c r="C385" t="s">
        <v>200</v>
      </c>
      <c r="D385" t="s">
        <v>100</v>
      </c>
      <c r="E385" t="s">
        <v>438</v>
      </c>
      <c r="F385" t="s">
        <v>1354</v>
      </c>
      <c r="G385" t="s">
        <v>138</v>
      </c>
      <c r="H385" t="s">
        <v>1817</v>
      </c>
      <c r="I385" t="s">
        <v>1892</v>
      </c>
      <c r="J385" t="s">
        <v>1893</v>
      </c>
      <c r="K385" t="s">
        <v>1894</v>
      </c>
      <c r="L385" t="s">
        <v>54</v>
      </c>
      <c r="M385">
        <v>1950</v>
      </c>
      <c r="N385" s="5">
        <f>ROUNDUP(Clean_Data[[#This Row],[Year_Num]]/100,0)</f>
        <v>20</v>
      </c>
      <c r="O385" s="5" t="str" cm="1">
        <f t="array" ref="O385">_xlfn.LET(_xlpm.y,Clean_Data[[#This Row],[Year_Num]],_xlfn.IFS(_xlpm.y&lt;500,"Ancient",_xlpm.y&lt;1500,"Medieval",_xlpm.y&lt;1800,"Early Modern",_xlpm.y&lt;1946,"Modern",TRUE,"Contemporary"))</f>
        <v>Contemporary</v>
      </c>
      <c r="P385" s="5" t="str">
        <f>_xlfn.XLOOKUP(Clean_Data[[#This Row],[Country]],country_region[Country],country_region[Country_Standard],"Not found")</f>
        <v>Korea</v>
      </c>
      <c r="Q385" s="5" t="str">
        <f>_xlfn.XLOOKUP(Clean_Data[[#This Row],[Country]],country_region[Country],country_region[Region],"Not found")</f>
        <v>East Asia</v>
      </c>
      <c r="R385" s="5" t="str">
        <f>_xlfn.XLOOKUP(Clean_Data[[#This Row],[Type of Event]],event_type_category[Type of Event],event_type_category[Category],"Not found")</f>
        <v>War &amp; Conflict</v>
      </c>
    </row>
    <row r="386" spans="1:18">
      <c r="A386">
        <v>416</v>
      </c>
      <c r="B386" t="s">
        <v>1895</v>
      </c>
      <c r="E386" t="s">
        <v>682</v>
      </c>
      <c r="F386" t="s">
        <v>1875</v>
      </c>
      <c r="G386" t="s">
        <v>1896</v>
      </c>
      <c r="H386" t="s">
        <v>1875</v>
      </c>
      <c r="I386" t="s">
        <v>4931</v>
      </c>
      <c r="J386" t="s">
        <v>1878</v>
      </c>
      <c r="K386" t="s">
        <v>1330</v>
      </c>
      <c r="L386" t="s">
        <v>36</v>
      </c>
      <c r="M386">
        <v>1945</v>
      </c>
      <c r="N386" s="5">
        <f>ROUNDUP(Clean_Data[[#This Row],[Year_Num]]/100,0)</f>
        <v>20</v>
      </c>
      <c r="O386" s="5" t="str" cm="1">
        <f t="array" ref="O386">_xlfn.LET(_xlpm.y,Clean_Data[[#This Row],[Year_Num]],_xlfn.IFS(_xlpm.y&lt;500,"Ancient",_xlpm.y&lt;1500,"Medieval",_xlpm.y&lt;1800,"Early Modern",_xlpm.y&lt;1946,"Modern",TRUE,"Contemporary"))</f>
        <v>Modern</v>
      </c>
      <c r="P386" s="5" t="str">
        <f>_xlfn.XLOOKUP(Clean_Data[[#This Row],[Country]],country_region[Country],country_region[Country_Standard],"Not found")</f>
        <v>South Korea</v>
      </c>
      <c r="Q386" s="5" t="str">
        <f>_xlfn.XLOOKUP(Clean_Data[[#This Row],[Country]],country_region[Country],country_region[Region],"Not found")</f>
        <v>East Asia</v>
      </c>
      <c r="R386" s="5" t="str">
        <f>_xlfn.XLOOKUP(Clean_Data[[#This Row],[Type of Event]],event_type_category[Type of Event],event_type_category[Category],"Not found")</f>
        <v>War &amp; Conflict</v>
      </c>
    </row>
    <row r="387" spans="1:18">
      <c r="A387">
        <v>417</v>
      </c>
      <c r="B387" t="s">
        <v>1898</v>
      </c>
      <c r="E387" t="s">
        <v>682</v>
      </c>
      <c r="F387" t="s">
        <v>1881</v>
      </c>
      <c r="G387" t="s">
        <v>1896</v>
      </c>
      <c r="H387" t="s">
        <v>1881</v>
      </c>
      <c r="I387" t="s">
        <v>1899</v>
      </c>
      <c r="J387" t="s">
        <v>1884</v>
      </c>
      <c r="K387" t="s">
        <v>1079</v>
      </c>
      <c r="L387" t="s">
        <v>36</v>
      </c>
      <c r="M387">
        <v>1945</v>
      </c>
      <c r="N387" s="5">
        <f>ROUNDUP(Clean_Data[[#This Row],[Year_Num]]/100,0)</f>
        <v>20</v>
      </c>
      <c r="O387" s="5" t="str" cm="1">
        <f t="array" ref="O387">_xlfn.LET(_xlpm.y,Clean_Data[[#This Row],[Year_Num]],_xlfn.IFS(_xlpm.y&lt;500,"Ancient",_xlpm.y&lt;1500,"Medieval",_xlpm.y&lt;1800,"Early Modern",_xlpm.y&lt;1946,"Modern",TRUE,"Contemporary"))</f>
        <v>Modern</v>
      </c>
      <c r="P387" s="5" t="str">
        <f>_xlfn.XLOOKUP(Clean_Data[[#This Row],[Country]],country_region[Country],country_region[Country_Standard],"Not found")</f>
        <v>North Korea</v>
      </c>
      <c r="Q387" s="5" t="str">
        <f>_xlfn.XLOOKUP(Clean_Data[[#This Row],[Country]],country_region[Country],country_region[Region],"Not found")</f>
        <v>East Asia</v>
      </c>
      <c r="R387" s="5" t="str">
        <f>_xlfn.XLOOKUP(Clean_Data[[#This Row],[Type of Event]],event_type_category[Type of Event],event_type_category[Category],"Not found")</f>
        <v>War &amp; Conflict</v>
      </c>
    </row>
    <row r="388" spans="1:18">
      <c r="A388">
        <v>418</v>
      </c>
      <c r="B388" t="s">
        <v>1891</v>
      </c>
      <c r="C388" t="s">
        <v>200</v>
      </c>
      <c r="D388" t="s">
        <v>100</v>
      </c>
      <c r="E388" t="s">
        <v>438</v>
      </c>
      <c r="F388" t="s">
        <v>1881</v>
      </c>
      <c r="G388" t="s">
        <v>138</v>
      </c>
      <c r="H388" t="s">
        <v>1817</v>
      </c>
      <c r="I388" t="s">
        <v>1900</v>
      </c>
      <c r="J388" t="s">
        <v>1819</v>
      </c>
      <c r="K388" t="s">
        <v>4929</v>
      </c>
      <c r="L388" t="s">
        <v>36</v>
      </c>
      <c r="M388">
        <v>1950</v>
      </c>
      <c r="N388" s="5">
        <f>ROUNDUP(Clean_Data[[#This Row],[Year_Num]]/100,0)</f>
        <v>20</v>
      </c>
      <c r="O388" s="5" t="str" cm="1">
        <f t="array" ref="O388">_xlfn.LET(_xlpm.y,Clean_Data[[#This Row],[Year_Num]],_xlfn.IFS(_xlpm.y&lt;500,"Ancient",_xlpm.y&lt;1500,"Medieval",_xlpm.y&lt;1800,"Early Modern",_xlpm.y&lt;1946,"Modern",TRUE,"Contemporary"))</f>
        <v>Contemporary</v>
      </c>
      <c r="P388" s="5" t="str">
        <f>_xlfn.XLOOKUP(Clean_Data[[#This Row],[Country]],country_region[Country],country_region[Country_Standard],"Not found")</f>
        <v>North Korea</v>
      </c>
      <c r="Q388" s="5" t="str">
        <f>_xlfn.XLOOKUP(Clean_Data[[#This Row],[Country]],country_region[Country],country_region[Region],"Not found")</f>
        <v>East Asia</v>
      </c>
      <c r="R388" s="5" t="str">
        <f>_xlfn.XLOOKUP(Clean_Data[[#This Row],[Type of Event]],event_type_category[Type of Event],event_type_category[Category],"Not found")</f>
        <v>War &amp; Conflict</v>
      </c>
    </row>
    <row r="389" spans="1:18">
      <c r="A389">
        <v>419</v>
      </c>
      <c r="B389" t="s">
        <v>1901</v>
      </c>
      <c r="C389" t="s">
        <v>522</v>
      </c>
      <c r="D389" t="s">
        <v>211</v>
      </c>
      <c r="E389" t="s">
        <v>1146</v>
      </c>
      <c r="F389" t="s">
        <v>1881</v>
      </c>
      <c r="G389" t="s">
        <v>1902</v>
      </c>
      <c r="H389" t="s">
        <v>1903</v>
      </c>
      <c r="I389" t="s">
        <v>1904</v>
      </c>
      <c r="J389" t="s">
        <v>1819</v>
      </c>
      <c r="K389" t="s">
        <v>1905</v>
      </c>
      <c r="L389" t="s">
        <v>21</v>
      </c>
      <c r="M389">
        <v>1953</v>
      </c>
      <c r="N389" s="5">
        <f>ROUNDUP(Clean_Data[[#This Row],[Year_Num]]/100,0)</f>
        <v>20</v>
      </c>
      <c r="O389" s="5" t="str" cm="1">
        <f t="array" ref="O389">_xlfn.LET(_xlpm.y,Clean_Data[[#This Row],[Year_Num]],_xlfn.IFS(_xlpm.y&lt;500,"Ancient",_xlpm.y&lt;1500,"Medieval",_xlpm.y&lt;1800,"Early Modern",_xlpm.y&lt;1946,"Modern",TRUE,"Contemporary"))</f>
        <v>Contemporary</v>
      </c>
      <c r="P389" s="5" t="str">
        <f>_xlfn.XLOOKUP(Clean_Data[[#This Row],[Country]],country_region[Country],country_region[Country_Standard],"Not found")</f>
        <v>North Korea</v>
      </c>
      <c r="Q389" s="5" t="str">
        <f>_xlfn.XLOOKUP(Clean_Data[[#This Row],[Country]],country_region[Country],country_region[Region],"Not found")</f>
        <v>East Asia</v>
      </c>
      <c r="R389" s="5" t="str">
        <f>_xlfn.XLOOKUP(Clean_Data[[#This Row],[Type of Event]],event_type_category[Type of Event],event_type_category[Category],"Not found")</f>
        <v>Diplomacy &amp; International Relations</v>
      </c>
    </row>
    <row r="390" spans="1:18">
      <c r="A390">
        <v>420</v>
      </c>
      <c r="B390" t="s">
        <v>1906</v>
      </c>
      <c r="E390" t="s">
        <v>1907</v>
      </c>
      <c r="F390" t="s">
        <v>1881</v>
      </c>
      <c r="G390" t="s">
        <v>1908</v>
      </c>
      <c r="H390" t="s">
        <v>1882</v>
      </c>
      <c r="I390" t="s">
        <v>4932</v>
      </c>
      <c r="J390" t="s">
        <v>1910</v>
      </c>
      <c r="K390" t="s">
        <v>4929</v>
      </c>
      <c r="L390" t="s">
        <v>36</v>
      </c>
      <c r="M390">
        <v>1955</v>
      </c>
      <c r="N390" s="5">
        <f>ROUNDUP(Clean_Data[[#This Row],[Year_Num]]/100,0)</f>
        <v>20</v>
      </c>
      <c r="O390" s="5" t="str" cm="1">
        <f t="array" ref="O390">_xlfn.LET(_xlpm.y,Clean_Data[[#This Row],[Year_Num]],_xlfn.IFS(_xlpm.y&lt;500,"Ancient",_xlpm.y&lt;1500,"Medieval",_xlpm.y&lt;1800,"Early Modern",_xlpm.y&lt;1946,"Modern",TRUE,"Contemporary"))</f>
        <v>Contemporary</v>
      </c>
      <c r="P390" s="5" t="str">
        <f>_xlfn.XLOOKUP(Clean_Data[[#This Row],[Country]],country_region[Country],country_region[Country_Standard],"Not found")</f>
        <v>North Korea</v>
      </c>
      <c r="Q390" s="5" t="str">
        <f>_xlfn.XLOOKUP(Clean_Data[[#This Row],[Country]],country_region[Country],country_region[Region],"Not found")</f>
        <v>East Asia</v>
      </c>
      <c r="R390" s="5" t="str">
        <f>_xlfn.XLOOKUP(Clean_Data[[#This Row],[Type of Event]],event_type_category[Type of Event],event_type_category[Category],"Not found")</f>
        <v>Politics &amp; Law</v>
      </c>
    </row>
    <row r="391" spans="1:18">
      <c r="A391">
        <v>421</v>
      </c>
      <c r="B391" t="s">
        <v>1911</v>
      </c>
      <c r="C391" t="s">
        <v>99</v>
      </c>
      <c r="D391" t="s">
        <v>260</v>
      </c>
      <c r="E391" t="s">
        <v>1164</v>
      </c>
      <c r="F391" t="s">
        <v>1881</v>
      </c>
      <c r="G391" t="s">
        <v>1912</v>
      </c>
      <c r="H391" t="s">
        <v>1913</v>
      </c>
      <c r="I391" t="s">
        <v>1914</v>
      </c>
      <c r="J391" t="s">
        <v>1915</v>
      </c>
      <c r="K391" t="s">
        <v>4929</v>
      </c>
      <c r="L391" t="s">
        <v>54</v>
      </c>
      <c r="M391">
        <v>1968</v>
      </c>
      <c r="N391" s="5">
        <f>ROUNDUP(Clean_Data[[#This Row],[Year_Num]]/100,0)</f>
        <v>20</v>
      </c>
      <c r="O391" s="5" t="str" cm="1">
        <f t="array" ref="O391">_xlfn.LET(_xlpm.y,Clean_Data[[#This Row],[Year_Num]],_xlfn.IFS(_xlpm.y&lt;500,"Ancient",_xlpm.y&lt;1500,"Medieval",_xlpm.y&lt;1800,"Early Modern",_xlpm.y&lt;1946,"Modern",TRUE,"Contemporary"))</f>
        <v>Contemporary</v>
      </c>
      <c r="P391" s="5" t="str">
        <f>_xlfn.XLOOKUP(Clean_Data[[#This Row],[Country]],country_region[Country],country_region[Country_Standard],"Not found")</f>
        <v>North Korea</v>
      </c>
      <c r="Q391" s="5" t="str">
        <f>_xlfn.XLOOKUP(Clean_Data[[#This Row],[Country]],country_region[Country],country_region[Region],"Not found")</f>
        <v>East Asia</v>
      </c>
      <c r="R391" s="5" t="str">
        <f>_xlfn.XLOOKUP(Clean_Data[[#This Row],[Type of Event]],event_type_category[Type of Event],event_type_category[Category],"Not found")</f>
        <v>War &amp; Conflict</v>
      </c>
    </row>
    <row r="392" spans="1:18">
      <c r="A392">
        <v>422</v>
      </c>
      <c r="B392" t="s">
        <v>4933</v>
      </c>
      <c r="C392" t="s">
        <v>298</v>
      </c>
      <c r="D392" t="s">
        <v>211</v>
      </c>
      <c r="E392" t="s">
        <v>1917</v>
      </c>
      <c r="F392" t="s">
        <v>1881</v>
      </c>
      <c r="G392" t="s">
        <v>31</v>
      </c>
      <c r="H392" t="s">
        <v>1882</v>
      </c>
      <c r="I392" t="s">
        <v>4934</v>
      </c>
      <c r="J392" t="s">
        <v>1910</v>
      </c>
      <c r="L392" t="s">
        <v>54</v>
      </c>
      <c r="M392">
        <v>1994</v>
      </c>
      <c r="N392" s="5">
        <f>ROUNDUP(Clean_Data[[#This Row],[Year_Num]]/100,0)</f>
        <v>20</v>
      </c>
      <c r="O392" s="5" t="str" cm="1">
        <f t="array" ref="O392">_xlfn.LET(_xlpm.y,Clean_Data[[#This Row],[Year_Num]],_xlfn.IFS(_xlpm.y&lt;500,"Ancient",_xlpm.y&lt;1500,"Medieval",_xlpm.y&lt;1800,"Early Modern",_xlpm.y&lt;1946,"Modern",TRUE,"Contemporary"))</f>
        <v>Contemporary</v>
      </c>
      <c r="P392" s="5" t="str">
        <f>_xlfn.XLOOKUP(Clean_Data[[#This Row],[Country]],country_region[Country],country_region[Country_Standard],"Not found")</f>
        <v>North Korea</v>
      </c>
      <c r="Q392" s="5" t="str">
        <f>_xlfn.XLOOKUP(Clean_Data[[#This Row],[Country]],country_region[Country],country_region[Region],"Not found")</f>
        <v>East Asia</v>
      </c>
      <c r="R392" s="5" t="str">
        <f>_xlfn.XLOOKUP(Clean_Data[[#This Row],[Type of Event]],event_type_category[Type of Event],event_type_category[Category],"Not found")</f>
        <v>Politics &amp; Law</v>
      </c>
    </row>
    <row r="393" spans="1:18">
      <c r="A393">
        <v>423</v>
      </c>
      <c r="B393" t="s">
        <v>1919</v>
      </c>
      <c r="C393" t="s">
        <v>240</v>
      </c>
      <c r="D393" t="s">
        <v>158</v>
      </c>
      <c r="E393" t="s">
        <v>603</v>
      </c>
      <c r="F393" t="s">
        <v>1881</v>
      </c>
      <c r="G393" t="s">
        <v>76</v>
      </c>
      <c r="H393" t="s">
        <v>1920</v>
      </c>
      <c r="I393" t="s">
        <v>1921</v>
      </c>
      <c r="J393" t="s">
        <v>79</v>
      </c>
      <c r="K393" t="s">
        <v>4935</v>
      </c>
      <c r="L393" t="s">
        <v>54</v>
      </c>
      <c r="M393">
        <v>2006</v>
      </c>
      <c r="N393" s="5">
        <f>ROUNDUP(Clean_Data[[#This Row],[Year_Num]]/100,0)</f>
        <v>21</v>
      </c>
      <c r="O393" s="5" t="str" cm="1">
        <f t="array" ref="O393">_xlfn.LET(_xlpm.y,Clean_Data[[#This Row],[Year_Num]],_xlfn.IFS(_xlpm.y&lt;500,"Ancient",_xlpm.y&lt;1500,"Medieval",_xlpm.y&lt;1800,"Early Modern",_xlpm.y&lt;1946,"Modern",TRUE,"Contemporary"))</f>
        <v>Contemporary</v>
      </c>
      <c r="P393" s="5" t="str">
        <f>_xlfn.XLOOKUP(Clean_Data[[#This Row],[Country]],country_region[Country],country_region[Country_Standard],"Not found")</f>
        <v>North Korea</v>
      </c>
      <c r="Q393" s="5" t="str">
        <f>_xlfn.XLOOKUP(Clean_Data[[#This Row],[Country]],country_region[Country],country_region[Region],"Not found")</f>
        <v>East Asia</v>
      </c>
      <c r="R393" s="5" t="str">
        <f>_xlfn.XLOOKUP(Clean_Data[[#This Row],[Type of Event]],event_type_category[Type of Event],event_type_category[Category],"Not found")</f>
        <v>War &amp; Conflict</v>
      </c>
    </row>
    <row r="394" spans="1:18">
      <c r="A394">
        <v>424</v>
      </c>
      <c r="B394" t="s">
        <v>1923</v>
      </c>
      <c r="C394" t="s">
        <v>580</v>
      </c>
      <c r="D394" t="s">
        <v>39</v>
      </c>
      <c r="E394" t="s">
        <v>123</v>
      </c>
      <c r="F394" t="s">
        <v>1875</v>
      </c>
      <c r="G394" t="s">
        <v>1924</v>
      </c>
      <c r="H394" t="s">
        <v>1432</v>
      </c>
      <c r="I394" t="s">
        <v>1925</v>
      </c>
      <c r="J394" t="s">
        <v>1926</v>
      </c>
      <c r="K394" t="s">
        <v>1927</v>
      </c>
      <c r="L394" t="s">
        <v>21</v>
      </c>
      <c r="M394">
        <v>1960</v>
      </c>
      <c r="N394" s="5">
        <f>ROUNDUP(Clean_Data[[#This Row],[Year_Num]]/100,0)</f>
        <v>20</v>
      </c>
      <c r="O394" s="5" t="str" cm="1">
        <f t="array" ref="O394">_xlfn.LET(_xlpm.y,Clean_Data[[#This Row],[Year_Num]],_xlfn.IFS(_xlpm.y&lt;500,"Ancient",_xlpm.y&lt;1500,"Medieval",_xlpm.y&lt;1800,"Early Modern",_xlpm.y&lt;1946,"Modern",TRUE,"Contemporary"))</f>
        <v>Contemporary</v>
      </c>
      <c r="P394" s="5" t="str">
        <f>_xlfn.XLOOKUP(Clean_Data[[#This Row],[Country]],country_region[Country],country_region[Country_Standard],"Not found")</f>
        <v>South Korea</v>
      </c>
      <c r="Q394" s="5" t="str">
        <f>_xlfn.XLOOKUP(Clean_Data[[#This Row],[Country]],country_region[Country],country_region[Region],"Not found")</f>
        <v>East Asia</v>
      </c>
      <c r="R394" s="5" t="str">
        <f>_xlfn.XLOOKUP(Clean_Data[[#This Row],[Type of Event]],event_type_category[Type of Event],event_type_category[Category],"Not found")</f>
        <v>War &amp; Conflict</v>
      </c>
    </row>
    <row r="395" spans="1:18">
      <c r="A395">
        <v>425</v>
      </c>
      <c r="B395" t="s">
        <v>1928</v>
      </c>
      <c r="C395" t="s">
        <v>150</v>
      </c>
      <c r="D395" t="s">
        <v>47</v>
      </c>
      <c r="E395" t="s">
        <v>1929</v>
      </c>
      <c r="F395" t="s">
        <v>1875</v>
      </c>
      <c r="G395" t="s">
        <v>1930</v>
      </c>
      <c r="H395" t="s">
        <v>1432</v>
      </c>
      <c r="I395" t="s">
        <v>4936</v>
      </c>
      <c r="J395" t="s">
        <v>1926</v>
      </c>
      <c r="K395" t="s">
        <v>4937</v>
      </c>
      <c r="L395" t="s">
        <v>21</v>
      </c>
      <c r="M395">
        <v>1961</v>
      </c>
      <c r="N395" s="5">
        <f>ROUNDUP(Clean_Data[[#This Row],[Year_Num]]/100,0)</f>
        <v>20</v>
      </c>
      <c r="O395" s="5" t="str" cm="1">
        <f t="array" ref="O395">_xlfn.LET(_xlpm.y,Clean_Data[[#This Row],[Year_Num]],_xlfn.IFS(_xlpm.y&lt;500,"Ancient",_xlpm.y&lt;1500,"Medieval",_xlpm.y&lt;1800,"Early Modern",_xlpm.y&lt;1946,"Modern",TRUE,"Contemporary"))</f>
        <v>Contemporary</v>
      </c>
      <c r="P395" s="5" t="str">
        <f>_xlfn.XLOOKUP(Clean_Data[[#This Row],[Country]],country_region[Country],country_region[Country_Standard],"Not found")</f>
        <v>South Korea</v>
      </c>
      <c r="Q395" s="5" t="str">
        <f>_xlfn.XLOOKUP(Clean_Data[[#This Row],[Country]],country_region[Country],country_region[Region],"Not found")</f>
        <v>East Asia</v>
      </c>
      <c r="R395" s="5" t="str">
        <f>_xlfn.XLOOKUP(Clean_Data[[#This Row],[Type of Event]],event_type_category[Type of Event],event_type_category[Category],"Not found")</f>
        <v>War &amp; Conflict</v>
      </c>
    </row>
    <row r="396" spans="1:18">
      <c r="A396">
        <v>426</v>
      </c>
      <c r="B396" t="s">
        <v>1933</v>
      </c>
      <c r="C396" t="s">
        <v>195</v>
      </c>
      <c r="D396" t="s">
        <v>47</v>
      </c>
      <c r="E396" t="s">
        <v>455</v>
      </c>
      <c r="F396" t="s">
        <v>1875</v>
      </c>
      <c r="G396" t="s">
        <v>1934</v>
      </c>
      <c r="H396" t="s">
        <v>1935</v>
      </c>
      <c r="I396" t="s">
        <v>1936</v>
      </c>
      <c r="J396" t="s">
        <v>1937</v>
      </c>
      <c r="K396" t="s">
        <v>4938</v>
      </c>
      <c r="L396" t="s">
        <v>21</v>
      </c>
      <c r="M396">
        <v>1980</v>
      </c>
      <c r="N396" s="5">
        <f>ROUNDUP(Clean_Data[[#This Row],[Year_Num]]/100,0)</f>
        <v>20</v>
      </c>
      <c r="O396" s="5" t="str" cm="1">
        <f t="array" ref="O396">_xlfn.LET(_xlpm.y,Clean_Data[[#This Row],[Year_Num]],_xlfn.IFS(_xlpm.y&lt;500,"Ancient",_xlpm.y&lt;1500,"Medieval",_xlpm.y&lt;1800,"Early Modern",_xlpm.y&lt;1946,"Modern",TRUE,"Contemporary"))</f>
        <v>Contemporary</v>
      </c>
      <c r="P396" s="5" t="str">
        <f>_xlfn.XLOOKUP(Clean_Data[[#This Row],[Country]],country_region[Country],country_region[Country_Standard],"Not found")</f>
        <v>South Korea</v>
      </c>
      <c r="Q396" s="5" t="str">
        <f>_xlfn.XLOOKUP(Clean_Data[[#This Row],[Country]],country_region[Country],country_region[Region],"Not found")</f>
        <v>East Asia</v>
      </c>
      <c r="R396" s="5" t="str">
        <f>_xlfn.XLOOKUP(Clean_Data[[#This Row],[Type of Event]],event_type_category[Type of Event],event_type_category[Category],"Not found")</f>
        <v>Society &amp; Health</v>
      </c>
    </row>
    <row r="397" spans="1:18">
      <c r="A397">
        <v>427</v>
      </c>
      <c r="B397" t="s">
        <v>1939</v>
      </c>
      <c r="C397" t="s">
        <v>1129</v>
      </c>
      <c r="D397" t="s">
        <v>286</v>
      </c>
      <c r="E397" t="s">
        <v>460</v>
      </c>
      <c r="F397" t="s">
        <v>1875</v>
      </c>
      <c r="G397" t="s">
        <v>827</v>
      </c>
      <c r="H397" t="s">
        <v>1432</v>
      </c>
      <c r="I397" t="s">
        <v>1940</v>
      </c>
      <c r="J397" t="s">
        <v>1941</v>
      </c>
      <c r="K397" t="s">
        <v>4939</v>
      </c>
      <c r="L397" t="s">
        <v>21</v>
      </c>
      <c r="M397">
        <v>1988</v>
      </c>
      <c r="N397" s="5">
        <f>ROUNDUP(Clean_Data[[#This Row],[Year_Num]]/100,0)</f>
        <v>20</v>
      </c>
      <c r="O397" s="5" t="str" cm="1">
        <f t="array" ref="O397">_xlfn.LET(_xlpm.y,Clean_Data[[#This Row],[Year_Num]],_xlfn.IFS(_xlpm.y&lt;500,"Ancient",_xlpm.y&lt;1500,"Medieval",_xlpm.y&lt;1800,"Early Modern",_xlpm.y&lt;1946,"Modern",TRUE,"Contemporary"))</f>
        <v>Contemporary</v>
      </c>
      <c r="P397" s="5" t="str">
        <f>_xlfn.XLOOKUP(Clean_Data[[#This Row],[Country]],country_region[Country],country_region[Country_Standard],"Not found")</f>
        <v>South Korea</v>
      </c>
      <c r="Q397" s="5" t="str">
        <f>_xlfn.XLOOKUP(Clean_Data[[#This Row],[Country]],country_region[Country],country_region[Region],"Not found")</f>
        <v>East Asia</v>
      </c>
      <c r="R397" s="5" t="str">
        <f>_xlfn.XLOOKUP(Clean_Data[[#This Row],[Type of Event]],event_type_category[Type of Event],event_type_category[Category],"Not found")</f>
        <v>Culture, Religion &amp; Sport</v>
      </c>
    </row>
    <row r="398" spans="1:18">
      <c r="A398">
        <v>428</v>
      </c>
      <c r="B398" t="s">
        <v>4940</v>
      </c>
      <c r="E398" t="s">
        <v>627</v>
      </c>
      <c r="F398" t="s">
        <v>1875</v>
      </c>
      <c r="G398" t="s">
        <v>1944</v>
      </c>
      <c r="H398" t="s">
        <v>1817</v>
      </c>
      <c r="I398" t="s">
        <v>4941</v>
      </c>
      <c r="J398" t="s">
        <v>1946</v>
      </c>
      <c r="K398" t="s">
        <v>4942</v>
      </c>
      <c r="L398" t="s">
        <v>21</v>
      </c>
      <c r="M398">
        <v>1990</v>
      </c>
      <c r="N398" s="5">
        <f>ROUNDUP(Clean_Data[[#This Row],[Year_Num]]/100,0)</f>
        <v>20</v>
      </c>
      <c r="O398" s="5" t="str" cm="1">
        <f t="array" ref="O398">_xlfn.LET(_xlpm.y,Clean_Data[[#This Row],[Year_Num]],_xlfn.IFS(_xlpm.y&lt;500,"Ancient",_xlpm.y&lt;1500,"Medieval",_xlpm.y&lt;1800,"Early Modern",_xlpm.y&lt;1946,"Modern",TRUE,"Contemporary"))</f>
        <v>Contemporary</v>
      </c>
      <c r="P398" s="5" t="str">
        <f>_xlfn.XLOOKUP(Clean_Data[[#This Row],[Country]],country_region[Country],country_region[Country_Standard],"Not found")</f>
        <v>South Korea</v>
      </c>
      <c r="Q398" s="5" t="str">
        <f>_xlfn.XLOOKUP(Clean_Data[[#This Row],[Country]],country_region[Country],country_region[Region],"Not found")</f>
        <v>East Asia</v>
      </c>
      <c r="R398" s="5" t="str">
        <f>_xlfn.XLOOKUP(Clean_Data[[#This Row],[Type of Event]],event_type_category[Type of Event],event_type_category[Category],"Not found")</f>
        <v>Diplomacy &amp; International Relations</v>
      </c>
    </row>
    <row r="399" spans="1:18">
      <c r="A399">
        <v>429</v>
      </c>
      <c r="B399" t="s">
        <v>1948</v>
      </c>
      <c r="C399" t="s">
        <v>251</v>
      </c>
      <c r="D399" t="s">
        <v>47</v>
      </c>
      <c r="E399" t="s">
        <v>648</v>
      </c>
      <c r="F399" t="s">
        <v>1875</v>
      </c>
      <c r="G399" t="s">
        <v>827</v>
      </c>
      <c r="H399" t="s">
        <v>1949</v>
      </c>
      <c r="I399" t="s">
        <v>4943</v>
      </c>
      <c r="J399" t="s">
        <v>830</v>
      </c>
      <c r="K399" t="s">
        <v>1951</v>
      </c>
      <c r="L399" t="s">
        <v>21</v>
      </c>
      <c r="M399">
        <v>2002</v>
      </c>
      <c r="N399" s="5">
        <f>ROUNDUP(Clean_Data[[#This Row],[Year_Num]]/100,0)</f>
        <v>21</v>
      </c>
      <c r="O399" s="5" t="str" cm="1">
        <f t="array" ref="O399">_xlfn.LET(_xlpm.y,Clean_Data[[#This Row],[Year_Num]],_xlfn.IFS(_xlpm.y&lt;500,"Ancient",_xlpm.y&lt;1500,"Medieval",_xlpm.y&lt;1800,"Early Modern",_xlpm.y&lt;1946,"Modern",TRUE,"Contemporary"))</f>
        <v>Contemporary</v>
      </c>
      <c r="P399" s="5" t="str">
        <f>_xlfn.XLOOKUP(Clean_Data[[#This Row],[Country]],country_region[Country],country_region[Country_Standard],"Not found")</f>
        <v>South Korea</v>
      </c>
      <c r="Q399" s="5" t="str">
        <f>_xlfn.XLOOKUP(Clean_Data[[#This Row],[Country]],country_region[Country],country_region[Region],"Not found")</f>
        <v>East Asia</v>
      </c>
      <c r="R399" s="5" t="str">
        <f>_xlfn.XLOOKUP(Clean_Data[[#This Row],[Type of Event]],event_type_category[Type of Event],event_type_category[Category],"Not found")</f>
        <v>Culture, Religion &amp; Sport</v>
      </c>
    </row>
    <row r="400" spans="1:18">
      <c r="A400">
        <v>430</v>
      </c>
      <c r="B400" t="s">
        <v>4944</v>
      </c>
      <c r="C400" t="s">
        <v>353</v>
      </c>
      <c r="D400" t="s">
        <v>267</v>
      </c>
      <c r="E400" t="s">
        <v>643</v>
      </c>
      <c r="F400" t="s">
        <v>1875</v>
      </c>
      <c r="G400" t="s">
        <v>31</v>
      </c>
      <c r="H400" t="s">
        <v>1432</v>
      </c>
      <c r="I400" t="s">
        <v>1953</v>
      </c>
      <c r="J400" t="s">
        <v>1926</v>
      </c>
      <c r="K400" t="s">
        <v>1954</v>
      </c>
      <c r="L400" t="s">
        <v>36</v>
      </c>
      <c r="M400">
        <v>2004</v>
      </c>
      <c r="N400" s="5">
        <f>ROUNDUP(Clean_Data[[#This Row],[Year_Num]]/100,0)</f>
        <v>21</v>
      </c>
      <c r="O400" s="5" t="str" cm="1">
        <f t="array" ref="O400">_xlfn.LET(_xlpm.y,Clean_Data[[#This Row],[Year_Num]],_xlfn.IFS(_xlpm.y&lt;500,"Ancient",_xlpm.y&lt;1500,"Medieval",_xlpm.y&lt;1800,"Early Modern",_xlpm.y&lt;1946,"Modern",TRUE,"Contemporary"))</f>
        <v>Contemporary</v>
      </c>
      <c r="P400" s="5" t="str">
        <f>_xlfn.XLOOKUP(Clean_Data[[#This Row],[Country]],country_region[Country],country_region[Country_Standard],"Not found")</f>
        <v>South Korea</v>
      </c>
      <c r="Q400" s="5" t="str">
        <f>_xlfn.XLOOKUP(Clean_Data[[#This Row],[Country]],country_region[Country],country_region[Region],"Not found")</f>
        <v>East Asia</v>
      </c>
      <c r="R400" s="5" t="str">
        <f>_xlfn.XLOOKUP(Clean_Data[[#This Row],[Type of Event]],event_type_category[Type of Event],event_type_category[Category],"Not found")</f>
        <v>Politics &amp; Law</v>
      </c>
    </row>
    <row r="401" spans="1:18">
      <c r="A401">
        <v>431</v>
      </c>
      <c r="B401" t="s">
        <v>1955</v>
      </c>
      <c r="E401" t="s">
        <v>348</v>
      </c>
      <c r="F401" t="s">
        <v>1875</v>
      </c>
      <c r="G401" t="s">
        <v>563</v>
      </c>
      <c r="H401" t="s">
        <v>1956</v>
      </c>
      <c r="I401" t="s">
        <v>1957</v>
      </c>
      <c r="J401" t="s">
        <v>1958</v>
      </c>
      <c r="K401" t="s">
        <v>4945</v>
      </c>
      <c r="L401" t="s">
        <v>54</v>
      </c>
      <c r="M401">
        <v>2017</v>
      </c>
      <c r="N401" s="5">
        <f>ROUNDUP(Clean_Data[[#This Row],[Year_Num]]/100,0)</f>
        <v>21</v>
      </c>
      <c r="O401" s="5" t="str" cm="1">
        <f t="array" ref="O401">_xlfn.LET(_xlpm.y,Clean_Data[[#This Row],[Year_Num]],_xlfn.IFS(_xlpm.y&lt;500,"Ancient",_xlpm.y&lt;1500,"Medieval",_xlpm.y&lt;1800,"Early Modern",_xlpm.y&lt;1946,"Modern",TRUE,"Contemporary"))</f>
        <v>Contemporary</v>
      </c>
      <c r="P401" s="5" t="str">
        <f>_xlfn.XLOOKUP(Clean_Data[[#This Row],[Country]],country_region[Country],country_region[Country_Standard],"Not found")</f>
        <v>South Korea</v>
      </c>
      <c r="Q401" s="5" t="str">
        <f>_xlfn.XLOOKUP(Clean_Data[[#This Row],[Country]],country_region[Country],country_region[Region],"Not found")</f>
        <v>East Asia</v>
      </c>
      <c r="R401" s="5" t="str">
        <f>_xlfn.XLOOKUP(Clean_Data[[#This Row],[Type of Event]],event_type_category[Type of Event],event_type_category[Category],"Not found")</f>
        <v>War &amp; Conflict</v>
      </c>
    </row>
    <row r="402" spans="1:18">
      <c r="A402">
        <v>432</v>
      </c>
      <c r="B402" t="s">
        <v>4946</v>
      </c>
      <c r="C402" t="s">
        <v>522</v>
      </c>
      <c r="D402" t="s">
        <v>39</v>
      </c>
      <c r="E402" t="s">
        <v>174</v>
      </c>
      <c r="F402" t="s">
        <v>1875</v>
      </c>
      <c r="G402" t="s">
        <v>1961</v>
      </c>
      <c r="H402" t="s">
        <v>1903</v>
      </c>
      <c r="I402" t="s">
        <v>1962</v>
      </c>
      <c r="J402" t="s">
        <v>1946</v>
      </c>
      <c r="K402" t="s">
        <v>4947</v>
      </c>
      <c r="L402" t="s">
        <v>21</v>
      </c>
      <c r="M402">
        <v>2018</v>
      </c>
      <c r="N402" s="5">
        <f>ROUNDUP(Clean_Data[[#This Row],[Year_Num]]/100,0)</f>
        <v>21</v>
      </c>
      <c r="O402" s="5" t="str" cm="1">
        <f t="array" ref="O402">_xlfn.LET(_xlpm.y,Clean_Data[[#This Row],[Year_Num]],_xlfn.IFS(_xlpm.y&lt;500,"Ancient",_xlpm.y&lt;1500,"Medieval",_xlpm.y&lt;1800,"Early Modern",_xlpm.y&lt;1946,"Modern",TRUE,"Contemporary"))</f>
        <v>Contemporary</v>
      </c>
      <c r="P402" s="5" t="str">
        <f>_xlfn.XLOOKUP(Clean_Data[[#This Row],[Country]],country_region[Country],country_region[Country_Standard],"Not found")</f>
        <v>South Korea</v>
      </c>
      <c r="Q402" s="5" t="str">
        <f>_xlfn.XLOOKUP(Clean_Data[[#This Row],[Country]],country_region[Country],country_region[Region],"Not found")</f>
        <v>East Asia</v>
      </c>
      <c r="R402" s="5" t="str">
        <f>_xlfn.XLOOKUP(Clean_Data[[#This Row],[Type of Event]],event_type_category[Type of Event],event_type_category[Category],"Not found")</f>
        <v>Diplomacy &amp; International Relations</v>
      </c>
    </row>
    <row r="403" spans="1:18">
      <c r="A403">
        <v>433</v>
      </c>
      <c r="B403" t="s">
        <v>1964</v>
      </c>
      <c r="C403" t="s">
        <v>200</v>
      </c>
      <c r="D403" t="s">
        <v>47</v>
      </c>
      <c r="E403" t="s">
        <v>231</v>
      </c>
      <c r="F403" t="s">
        <v>1881</v>
      </c>
      <c r="G403" t="s">
        <v>76</v>
      </c>
      <c r="H403" t="s">
        <v>1881</v>
      </c>
      <c r="I403" t="s">
        <v>1965</v>
      </c>
      <c r="J403" t="s">
        <v>79</v>
      </c>
      <c r="K403" t="s">
        <v>4935</v>
      </c>
      <c r="L403" t="s">
        <v>54</v>
      </c>
      <c r="M403">
        <v>2009</v>
      </c>
      <c r="N403" s="5">
        <f>ROUNDUP(Clean_Data[[#This Row],[Year_Num]]/100,0)</f>
        <v>21</v>
      </c>
      <c r="O403" s="5" t="str" cm="1">
        <f t="array" ref="O403">_xlfn.LET(_xlpm.y,Clean_Data[[#This Row],[Year_Num]],_xlfn.IFS(_xlpm.y&lt;500,"Ancient",_xlpm.y&lt;1500,"Medieval",_xlpm.y&lt;1800,"Early Modern",_xlpm.y&lt;1946,"Modern",TRUE,"Contemporary"))</f>
        <v>Contemporary</v>
      </c>
      <c r="P403" s="5" t="str">
        <f>_xlfn.XLOOKUP(Clean_Data[[#This Row],[Country]],country_region[Country],country_region[Country_Standard],"Not found")</f>
        <v>North Korea</v>
      </c>
      <c r="Q403" s="5" t="str">
        <f>_xlfn.XLOOKUP(Clean_Data[[#This Row],[Country]],country_region[Country],country_region[Region],"Not found")</f>
        <v>East Asia</v>
      </c>
      <c r="R403" s="5" t="str">
        <f>_xlfn.XLOOKUP(Clean_Data[[#This Row],[Type of Event]],event_type_category[Type of Event],event_type_category[Category],"Not found")</f>
        <v>War &amp; Conflict</v>
      </c>
    </row>
    <row r="404" spans="1:18">
      <c r="A404">
        <v>434</v>
      </c>
      <c r="B404" t="s">
        <v>4948</v>
      </c>
      <c r="C404" t="s">
        <v>1129</v>
      </c>
      <c r="D404" t="s">
        <v>66</v>
      </c>
      <c r="E404" t="s">
        <v>1426</v>
      </c>
      <c r="F404" t="s">
        <v>1881</v>
      </c>
      <c r="G404" t="s">
        <v>1967</v>
      </c>
      <c r="H404" t="s">
        <v>1882</v>
      </c>
      <c r="I404" t="s">
        <v>4949</v>
      </c>
      <c r="J404" t="s">
        <v>1910</v>
      </c>
      <c r="L404" t="s">
        <v>36</v>
      </c>
      <c r="M404">
        <v>2011</v>
      </c>
      <c r="N404" s="5">
        <f>ROUNDUP(Clean_Data[[#This Row],[Year_Num]]/100,0)</f>
        <v>21</v>
      </c>
      <c r="O404" s="5" t="str" cm="1">
        <f t="array" ref="O404">_xlfn.LET(_xlpm.y,Clean_Data[[#This Row],[Year_Num]],_xlfn.IFS(_xlpm.y&lt;500,"Ancient",_xlpm.y&lt;1500,"Medieval",_xlpm.y&lt;1800,"Early Modern",_xlpm.y&lt;1946,"Modern",TRUE,"Contemporary"))</f>
        <v>Contemporary</v>
      </c>
      <c r="P404" s="5" t="str">
        <f>_xlfn.XLOOKUP(Clean_Data[[#This Row],[Country]],country_region[Country],country_region[Country_Standard],"Not found")</f>
        <v>North Korea</v>
      </c>
      <c r="Q404" s="5" t="str">
        <f>_xlfn.XLOOKUP(Clean_Data[[#This Row],[Country]],country_region[Country],country_region[Region],"Not found")</f>
        <v>East Asia</v>
      </c>
      <c r="R404" s="5" t="str">
        <f>_xlfn.XLOOKUP(Clean_Data[[#This Row],[Type of Event]],event_type_category[Type of Event],event_type_category[Category],"Not found")</f>
        <v>Politics &amp; Law</v>
      </c>
    </row>
    <row r="405" spans="1:18">
      <c r="A405">
        <v>435</v>
      </c>
      <c r="B405" t="s">
        <v>4950</v>
      </c>
      <c r="E405" t="s">
        <v>151</v>
      </c>
      <c r="F405" t="s">
        <v>1881</v>
      </c>
      <c r="G405" t="s">
        <v>31</v>
      </c>
      <c r="H405" t="s">
        <v>1881</v>
      </c>
      <c r="I405" t="s">
        <v>1970</v>
      </c>
      <c r="J405" t="s">
        <v>1910</v>
      </c>
      <c r="K405" t="s">
        <v>4951</v>
      </c>
      <c r="L405" t="s">
        <v>36</v>
      </c>
      <c r="M405">
        <v>2012</v>
      </c>
      <c r="N405" s="5">
        <f>ROUNDUP(Clean_Data[[#This Row],[Year_Num]]/100,0)</f>
        <v>21</v>
      </c>
      <c r="O405" s="5" t="str" cm="1">
        <f t="array" ref="O405">_xlfn.LET(_xlpm.y,Clean_Data[[#This Row],[Year_Num]],_xlfn.IFS(_xlpm.y&lt;500,"Ancient",_xlpm.y&lt;1500,"Medieval",_xlpm.y&lt;1800,"Early Modern",_xlpm.y&lt;1946,"Modern",TRUE,"Contemporary"))</f>
        <v>Contemporary</v>
      </c>
      <c r="P405" s="5" t="str">
        <f>_xlfn.XLOOKUP(Clean_Data[[#This Row],[Country]],country_region[Country],country_region[Country_Standard],"Not found")</f>
        <v>North Korea</v>
      </c>
      <c r="Q405" s="5" t="str">
        <f>_xlfn.XLOOKUP(Clean_Data[[#This Row],[Country]],country_region[Country],country_region[Region],"Not found")</f>
        <v>East Asia</v>
      </c>
      <c r="R405" s="5" t="str">
        <f>_xlfn.XLOOKUP(Clean_Data[[#This Row],[Type of Event]],event_type_category[Type of Event],event_type_category[Category],"Not found")</f>
        <v>Politics &amp; Law</v>
      </c>
    </row>
    <row r="406" spans="1:18">
      <c r="A406">
        <v>436</v>
      </c>
      <c r="B406" t="s">
        <v>1972</v>
      </c>
      <c r="C406" t="s">
        <v>115</v>
      </c>
      <c r="D406" t="s">
        <v>47</v>
      </c>
      <c r="E406" t="s">
        <v>1973</v>
      </c>
      <c r="F406" t="s">
        <v>1578</v>
      </c>
      <c r="G406" t="s">
        <v>1123</v>
      </c>
      <c r="H406" t="s">
        <v>1974</v>
      </c>
      <c r="I406" t="s">
        <v>1975</v>
      </c>
      <c r="J406" t="s">
        <v>1976</v>
      </c>
      <c r="K406" t="s">
        <v>1977</v>
      </c>
      <c r="L406" t="s">
        <v>21</v>
      </c>
      <c r="M406">
        <v>1954</v>
      </c>
      <c r="N406" s="5">
        <f>ROUNDUP(Clean_Data[[#This Row],[Year_Num]]/100,0)</f>
        <v>20</v>
      </c>
      <c r="O406" s="5" t="str" cm="1">
        <f t="array" ref="O406">_xlfn.LET(_xlpm.y,Clean_Data[[#This Row],[Year_Num]],_xlfn.IFS(_xlpm.y&lt;500,"Ancient",_xlpm.y&lt;1500,"Medieval",_xlpm.y&lt;1800,"Early Modern",_xlpm.y&lt;1946,"Modern",TRUE,"Contemporary"))</f>
        <v>Contemporary</v>
      </c>
      <c r="P406" s="5" t="str">
        <f>_xlfn.XLOOKUP(Clean_Data[[#This Row],[Country]],country_region[Country],country_region[Country_Standard],"Not found")</f>
        <v>Vietnam</v>
      </c>
      <c r="Q406" s="5" t="str">
        <f>_xlfn.XLOOKUP(Clean_Data[[#This Row],[Country]],country_region[Country],country_region[Region],"Not found")</f>
        <v>Southeast Asia</v>
      </c>
      <c r="R406" s="5" t="str">
        <f>_xlfn.XLOOKUP(Clean_Data[[#This Row],[Type of Event]],event_type_category[Type of Event],event_type_category[Category],"Not found")</f>
        <v>War &amp; Conflict</v>
      </c>
    </row>
    <row r="407" spans="1:18">
      <c r="A407">
        <v>437</v>
      </c>
      <c r="B407" t="s">
        <v>1978</v>
      </c>
      <c r="C407" t="s">
        <v>38</v>
      </c>
      <c r="D407" t="s">
        <v>211</v>
      </c>
      <c r="E407" t="s">
        <v>1973</v>
      </c>
      <c r="F407" t="s">
        <v>1578</v>
      </c>
      <c r="G407" t="s">
        <v>1400</v>
      </c>
      <c r="H407" t="s">
        <v>974</v>
      </c>
      <c r="I407" t="s">
        <v>1979</v>
      </c>
      <c r="J407" t="s">
        <v>1980</v>
      </c>
      <c r="K407" t="s">
        <v>79</v>
      </c>
      <c r="L407" t="s">
        <v>36</v>
      </c>
      <c r="M407">
        <v>1954</v>
      </c>
      <c r="N407" s="5">
        <f>ROUNDUP(Clean_Data[[#This Row],[Year_Num]]/100,0)</f>
        <v>20</v>
      </c>
      <c r="O407" s="5" t="str" cm="1">
        <f t="array" ref="O407">_xlfn.LET(_xlpm.y,Clean_Data[[#This Row],[Year_Num]],_xlfn.IFS(_xlpm.y&lt;500,"Ancient",_xlpm.y&lt;1500,"Medieval",_xlpm.y&lt;1800,"Early Modern",_xlpm.y&lt;1946,"Modern",TRUE,"Contemporary"))</f>
        <v>Contemporary</v>
      </c>
      <c r="P407" s="5" t="str">
        <f>_xlfn.XLOOKUP(Clean_Data[[#This Row],[Country]],country_region[Country],country_region[Country_Standard],"Not found")</f>
        <v>Vietnam</v>
      </c>
      <c r="Q407" s="5" t="str">
        <f>_xlfn.XLOOKUP(Clean_Data[[#This Row],[Country]],country_region[Country],country_region[Region],"Not found")</f>
        <v>Southeast Asia</v>
      </c>
      <c r="R407" s="5" t="str">
        <f>_xlfn.XLOOKUP(Clean_Data[[#This Row],[Type of Event]],event_type_category[Type of Event],event_type_category[Category],"Not found")</f>
        <v>Diplomacy &amp; International Relations</v>
      </c>
    </row>
    <row r="408" spans="1:18">
      <c r="A408">
        <v>438</v>
      </c>
      <c r="B408" t="s">
        <v>1981</v>
      </c>
      <c r="E408" t="s">
        <v>123</v>
      </c>
      <c r="F408" t="s">
        <v>1578</v>
      </c>
      <c r="G408" t="s">
        <v>1982</v>
      </c>
      <c r="H408" t="s">
        <v>1983</v>
      </c>
      <c r="I408" t="s">
        <v>1984</v>
      </c>
      <c r="J408" t="s">
        <v>1985</v>
      </c>
      <c r="K408" t="s">
        <v>1986</v>
      </c>
      <c r="L408" t="s">
        <v>36</v>
      </c>
      <c r="M408">
        <v>1960</v>
      </c>
      <c r="N408" s="5">
        <f>ROUNDUP(Clean_Data[[#This Row],[Year_Num]]/100,0)</f>
        <v>20</v>
      </c>
      <c r="O408" s="5" t="str" cm="1">
        <f t="array" ref="O408">_xlfn.LET(_xlpm.y,Clean_Data[[#This Row],[Year_Num]],_xlfn.IFS(_xlpm.y&lt;500,"Ancient",_xlpm.y&lt;1500,"Medieval",_xlpm.y&lt;1800,"Early Modern",_xlpm.y&lt;1946,"Modern",TRUE,"Contemporary"))</f>
        <v>Contemporary</v>
      </c>
      <c r="P408" s="5" t="str">
        <f>_xlfn.XLOOKUP(Clean_Data[[#This Row],[Country]],country_region[Country],country_region[Country_Standard],"Not found")</f>
        <v>Vietnam</v>
      </c>
      <c r="Q408" s="5" t="str">
        <f>_xlfn.XLOOKUP(Clean_Data[[#This Row],[Country]],country_region[Country],country_region[Region],"Not found")</f>
        <v>Southeast Asia</v>
      </c>
      <c r="R408" s="5" t="str">
        <f>_xlfn.XLOOKUP(Clean_Data[[#This Row],[Type of Event]],event_type_category[Type of Event],event_type_category[Category],"Not found")</f>
        <v>War &amp; Conflict</v>
      </c>
    </row>
    <row r="409" spans="1:18">
      <c r="A409">
        <v>439</v>
      </c>
      <c r="B409" t="s">
        <v>1987</v>
      </c>
      <c r="C409" t="s">
        <v>331</v>
      </c>
      <c r="D409" t="s">
        <v>57</v>
      </c>
      <c r="E409" t="s">
        <v>1387</v>
      </c>
      <c r="F409" t="s">
        <v>1578</v>
      </c>
      <c r="G409" t="s">
        <v>1988</v>
      </c>
      <c r="H409" t="s">
        <v>1989</v>
      </c>
      <c r="I409" t="s">
        <v>1990</v>
      </c>
      <c r="J409" t="s">
        <v>1991</v>
      </c>
      <c r="K409" t="s">
        <v>1992</v>
      </c>
      <c r="L409" t="s">
        <v>54</v>
      </c>
      <c r="M409">
        <v>1964</v>
      </c>
      <c r="N409" s="5">
        <f>ROUNDUP(Clean_Data[[#This Row],[Year_Num]]/100,0)</f>
        <v>20</v>
      </c>
      <c r="O409" s="5" t="str" cm="1">
        <f t="array" ref="O409">_xlfn.LET(_xlpm.y,Clean_Data[[#This Row],[Year_Num]],_xlfn.IFS(_xlpm.y&lt;500,"Ancient",_xlpm.y&lt;1500,"Medieval",_xlpm.y&lt;1800,"Early Modern",_xlpm.y&lt;1946,"Modern",TRUE,"Contemporary"))</f>
        <v>Contemporary</v>
      </c>
      <c r="P409" s="5" t="str">
        <f>_xlfn.XLOOKUP(Clean_Data[[#This Row],[Country]],country_region[Country],country_region[Country_Standard],"Not found")</f>
        <v>Vietnam</v>
      </c>
      <c r="Q409" s="5" t="str">
        <f>_xlfn.XLOOKUP(Clean_Data[[#This Row],[Country]],country_region[Country],country_region[Region],"Not found")</f>
        <v>Southeast Asia</v>
      </c>
      <c r="R409" s="5" t="str">
        <f>_xlfn.XLOOKUP(Clean_Data[[#This Row],[Type of Event]],event_type_category[Type of Event],event_type_category[Category],"Not found")</f>
        <v>War &amp; Conflict</v>
      </c>
    </row>
    <row r="410" spans="1:18">
      <c r="A410">
        <v>440</v>
      </c>
      <c r="B410" t="s">
        <v>1993</v>
      </c>
      <c r="C410" t="s">
        <v>246</v>
      </c>
      <c r="D410" t="s">
        <v>260</v>
      </c>
      <c r="E410" t="s">
        <v>1164</v>
      </c>
      <c r="F410" t="s">
        <v>1578</v>
      </c>
      <c r="G410" t="s">
        <v>1994</v>
      </c>
      <c r="H410" t="s">
        <v>1983</v>
      </c>
      <c r="I410" t="s">
        <v>1995</v>
      </c>
      <c r="J410" t="s">
        <v>1996</v>
      </c>
      <c r="K410" t="s">
        <v>1997</v>
      </c>
      <c r="L410" t="s">
        <v>36</v>
      </c>
      <c r="M410">
        <v>1968</v>
      </c>
      <c r="N410" s="5">
        <f>ROUNDUP(Clean_Data[[#This Row],[Year_Num]]/100,0)</f>
        <v>20</v>
      </c>
      <c r="O410" s="5" t="str" cm="1">
        <f t="array" ref="O410">_xlfn.LET(_xlpm.y,Clean_Data[[#This Row],[Year_Num]],_xlfn.IFS(_xlpm.y&lt;500,"Ancient",_xlpm.y&lt;1500,"Medieval",_xlpm.y&lt;1800,"Early Modern",_xlpm.y&lt;1946,"Modern",TRUE,"Contemporary"))</f>
        <v>Contemporary</v>
      </c>
      <c r="P410" s="5" t="str">
        <f>_xlfn.XLOOKUP(Clean_Data[[#This Row],[Country]],country_region[Country],country_region[Country_Standard],"Not found")</f>
        <v>Vietnam</v>
      </c>
      <c r="Q410" s="5" t="str">
        <f>_xlfn.XLOOKUP(Clean_Data[[#This Row],[Country]],country_region[Country],country_region[Region],"Not found")</f>
        <v>Southeast Asia</v>
      </c>
      <c r="R410" s="5" t="str">
        <f>_xlfn.XLOOKUP(Clean_Data[[#This Row],[Type of Event]],event_type_category[Type of Event],event_type_category[Category],"Not found")</f>
        <v>War &amp; Conflict</v>
      </c>
    </row>
    <row r="411" spans="1:18">
      <c r="A411">
        <v>441</v>
      </c>
      <c r="B411" t="s">
        <v>1998</v>
      </c>
      <c r="C411" t="s">
        <v>522</v>
      </c>
      <c r="D411" t="s">
        <v>260</v>
      </c>
      <c r="E411" t="s">
        <v>1396</v>
      </c>
      <c r="F411" t="s">
        <v>1578</v>
      </c>
      <c r="G411" t="s">
        <v>1400</v>
      </c>
      <c r="H411" t="s">
        <v>1999</v>
      </c>
      <c r="I411" t="s">
        <v>2000</v>
      </c>
      <c r="J411" t="s">
        <v>1991</v>
      </c>
      <c r="K411" t="s">
        <v>2001</v>
      </c>
      <c r="L411" t="s">
        <v>36</v>
      </c>
      <c r="M411">
        <v>1973</v>
      </c>
      <c r="N411" s="5">
        <f>ROUNDUP(Clean_Data[[#This Row],[Year_Num]]/100,0)</f>
        <v>20</v>
      </c>
      <c r="O411" s="5" t="str" cm="1">
        <f t="array" ref="O411">_xlfn.LET(_xlpm.y,Clean_Data[[#This Row],[Year_Num]],_xlfn.IFS(_xlpm.y&lt;500,"Ancient",_xlpm.y&lt;1500,"Medieval",_xlpm.y&lt;1800,"Early Modern",_xlpm.y&lt;1946,"Modern",TRUE,"Contemporary"))</f>
        <v>Contemporary</v>
      </c>
      <c r="P411" s="5" t="str">
        <f>_xlfn.XLOOKUP(Clean_Data[[#This Row],[Country]],country_region[Country],country_region[Country_Standard],"Not found")</f>
        <v>Vietnam</v>
      </c>
      <c r="Q411" s="5" t="str">
        <f>_xlfn.XLOOKUP(Clean_Data[[#This Row],[Country]],country_region[Country],country_region[Region],"Not found")</f>
        <v>Southeast Asia</v>
      </c>
      <c r="R411" s="5" t="str">
        <f>_xlfn.XLOOKUP(Clean_Data[[#This Row],[Type of Event]],event_type_category[Type of Event],event_type_category[Category],"Not found")</f>
        <v>Diplomacy &amp; International Relations</v>
      </c>
    </row>
    <row r="412" spans="1:18">
      <c r="A412">
        <v>442</v>
      </c>
      <c r="B412" t="s">
        <v>2002</v>
      </c>
      <c r="C412" t="s">
        <v>246</v>
      </c>
      <c r="D412" t="s">
        <v>39</v>
      </c>
      <c r="E412" t="s">
        <v>201</v>
      </c>
      <c r="F412" t="s">
        <v>1578</v>
      </c>
      <c r="G412" t="s">
        <v>2003</v>
      </c>
      <c r="H412" t="s">
        <v>2004</v>
      </c>
      <c r="I412" t="s">
        <v>2005</v>
      </c>
      <c r="J412" t="s">
        <v>2006</v>
      </c>
      <c r="K412" t="s">
        <v>2007</v>
      </c>
      <c r="L412" t="s">
        <v>21</v>
      </c>
      <c r="M412">
        <v>1975</v>
      </c>
      <c r="N412" s="5">
        <f>ROUNDUP(Clean_Data[[#This Row],[Year_Num]]/100,0)</f>
        <v>20</v>
      </c>
      <c r="O412" s="5" t="str" cm="1">
        <f t="array" ref="O412">_xlfn.LET(_xlpm.y,Clean_Data[[#This Row],[Year_Num]],_xlfn.IFS(_xlpm.y&lt;500,"Ancient",_xlpm.y&lt;1500,"Medieval",_xlpm.y&lt;1800,"Early Modern",_xlpm.y&lt;1946,"Modern",TRUE,"Contemporary"))</f>
        <v>Contemporary</v>
      </c>
      <c r="P412" s="5" t="str">
        <f>_xlfn.XLOOKUP(Clean_Data[[#This Row],[Country]],country_region[Country],country_region[Country_Standard],"Not found")</f>
        <v>Vietnam</v>
      </c>
      <c r="Q412" s="5" t="str">
        <f>_xlfn.XLOOKUP(Clean_Data[[#This Row],[Country]],country_region[Country],country_region[Region],"Not found")</f>
        <v>Southeast Asia</v>
      </c>
      <c r="R412" s="5" t="str">
        <f>_xlfn.XLOOKUP(Clean_Data[[#This Row],[Type of Event]],event_type_category[Type of Event],event_type_category[Category],"Not found")</f>
        <v>War &amp; Conflict</v>
      </c>
    </row>
    <row r="413" spans="1:18">
      <c r="A413">
        <v>443</v>
      </c>
      <c r="B413" t="s">
        <v>2008</v>
      </c>
      <c r="C413" t="s">
        <v>331</v>
      </c>
      <c r="D413" t="s">
        <v>211</v>
      </c>
      <c r="E413" t="s">
        <v>1609</v>
      </c>
      <c r="F413" t="s">
        <v>1578</v>
      </c>
      <c r="G413" t="s">
        <v>31</v>
      </c>
      <c r="H413" t="s">
        <v>1578</v>
      </c>
      <c r="I413" t="s">
        <v>2009</v>
      </c>
      <c r="J413" t="s">
        <v>1980</v>
      </c>
      <c r="K413" t="s">
        <v>2010</v>
      </c>
      <c r="L413" t="s">
        <v>21</v>
      </c>
      <c r="M413">
        <v>1976</v>
      </c>
      <c r="N413" s="5">
        <f>ROUNDUP(Clean_Data[[#This Row],[Year_Num]]/100,0)</f>
        <v>20</v>
      </c>
      <c r="O413" s="5" t="str" cm="1">
        <f t="array" ref="O413">_xlfn.LET(_xlpm.y,Clean_Data[[#This Row],[Year_Num]],_xlfn.IFS(_xlpm.y&lt;500,"Ancient",_xlpm.y&lt;1500,"Medieval",_xlpm.y&lt;1800,"Early Modern",_xlpm.y&lt;1946,"Modern",TRUE,"Contemporary"))</f>
        <v>Contemporary</v>
      </c>
      <c r="P413" s="5" t="str">
        <f>_xlfn.XLOOKUP(Clean_Data[[#This Row],[Country]],country_region[Country],country_region[Country_Standard],"Not found")</f>
        <v>Vietnam</v>
      </c>
      <c r="Q413" s="5" t="str">
        <f>_xlfn.XLOOKUP(Clean_Data[[#This Row],[Country]],country_region[Country],country_region[Region],"Not found")</f>
        <v>Southeast Asia</v>
      </c>
      <c r="R413" s="5" t="str">
        <f>_xlfn.XLOOKUP(Clean_Data[[#This Row],[Type of Event]],event_type_category[Type of Event],event_type_category[Category],"Not found")</f>
        <v>Politics &amp; Law</v>
      </c>
    </row>
    <row r="414" spans="1:18">
      <c r="A414">
        <v>446</v>
      </c>
      <c r="B414" t="s">
        <v>4952</v>
      </c>
      <c r="C414" t="s">
        <v>74</v>
      </c>
      <c r="D414" t="s">
        <v>211</v>
      </c>
      <c r="E414" t="s">
        <v>1409</v>
      </c>
      <c r="F414" t="s">
        <v>1578</v>
      </c>
      <c r="G414" t="s">
        <v>1961</v>
      </c>
      <c r="H414" t="s">
        <v>2012</v>
      </c>
      <c r="I414" t="s">
        <v>2013</v>
      </c>
      <c r="J414" t="s">
        <v>2014</v>
      </c>
      <c r="K414" t="s">
        <v>2015</v>
      </c>
      <c r="L414" t="s">
        <v>21</v>
      </c>
      <c r="M414">
        <v>1995</v>
      </c>
      <c r="N414" s="5">
        <f>ROUNDUP(Clean_Data[[#This Row],[Year_Num]]/100,0)</f>
        <v>20</v>
      </c>
      <c r="O414" s="5" t="str" cm="1">
        <f t="array" ref="O414">_xlfn.LET(_xlpm.y,Clean_Data[[#This Row],[Year_Num]],_xlfn.IFS(_xlpm.y&lt;500,"Ancient",_xlpm.y&lt;1500,"Medieval",_xlpm.y&lt;1800,"Early Modern",_xlpm.y&lt;1946,"Modern",TRUE,"Contemporary"))</f>
        <v>Contemporary</v>
      </c>
      <c r="P414" s="5" t="str">
        <f>_xlfn.XLOOKUP(Clean_Data[[#This Row],[Country]],country_region[Country],country_region[Country_Standard],"Not found")</f>
        <v>Vietnam</v>
      </c>
      <c r="Q414" s="5" t="str">
        <f>_xlfn.XLOOKUP(Clean_Data[[#This Row],[Country]],country_region[Country],country_region[Region],"Not found")</f>
        <v>Southeast Asia</v>
      </c>
      <c r="R414" s="5" t="str">
        <f>_xlfn.XLOOKUP(Clean_Data[[#This Row],[Type of Event]],event_type_category[Type of Event],event_type_category[Category],"Not found")</f>
        <v>Diplomacy &amp; International Relations</v>
      </c>
    </row>
    <row r="415" spans="1:18">
      <c r="A415">
        <v>447</v>
      </c>
      <c r="B415" t="s">
        <v>2016</v>
      </c>
      <c r="C415" t="s">
        <v>362</v>
      </c>
      <c r="D415" t="s">
        <v>211</v>
      </c>
      <c r="E415" t="s">
        <v>1409</v>
      </c>
      <c r="F415" t="s">
        <v>1578</v>
      </c>
      <c r="G415" t="s">
        <v>2017</v>
      </c>
      <c r="H415" t="s">
        <v>2018</v>
      </c>
      <c r="I415" t="s">
        <v>2019</v>
      </c>
      <c r="J415" t="s">
        <v>1980</v>
      </c>
      <c r="K415" t="s">
        <v>2020</v>
      </c>
      <c r="L415" t="s">
        <v>21</v>
      </c>
      <c r="M415">
        <v>1995</v>
      </c>
      <c r="N415" s="5">
        <f>ROUNDUP(Clean_Data[[#This Row],[Year_Num]]/100,0)</f>
        <v>20</v>
      </c>
      <c r="O415" s="5" t="str" cm="1">
        <f t="array" ref="O415">_xlfn.LET(_xlpm.y,Clean_Data[[#This Row],[Year_Num]],_xlfn.IFS(_xlpm.y&lt;500,"Ancient",_xlpm.y&lt;1500,"Medieval",_xlpm.y&lt;1800,"Early Modern",_xlpm.y&lt;1946,"Modern",TRUE,"Contemporary"))</f>
        <v>Contemporary</v>
      </c>
      <c r="P415" s="5" t="str">
        <f>_xlfn.XLOOKUP(Clean_Data[[#This Row],[Country]],country_region[Country],country_region[Country_Standard],"Not found")</f>
        <v>Vietnam</v>
      </c>
      <c r="Q415" s="5" t="str">
        <f>_xlfn.XLOOKUP(Clean_Data[[#This Row],[Country]],country_region[Country],country_region[Region],"Not found")</f>
        <v>Southeast Asia</v>
      </c>
      <c r="R415" s="5" t="str">
        <f>_xlfn.XLOOKUP(Clean_Data[[#This Row],[Type of Event]],event_type_category[Type of Event],event_type_category[Category],"Not found")</f>
        <v>Diplomacy &amp; International Relations</v>
      </c>
    </row>
    <row r="416" spans="1:18">
      <c r="A416">
        <v>448</v>
      </c>
      <c r="B416" t="s">
        <v>2021</v>
      </c>
      <c r="C416" t="s">
        <v>74</v>
      </c>
      <c r="D416" t="s">
        <v>260</v>
      </c>
      <c r="E416" t="s">
        <v>294</v>
      </c>
      <c r="F416" t="s">
        <v>1578</v>
      </c>
      <c r="G416" t="s">
        <v>2022</v>
      </c>
      <c r="H416" t="s">
        <v>974</v>
      </c>
      <c r="I416" t="s">
        <v>2023</v>
      </c>
      <c r="J416" t="s">
        <v>2024</v>
      </c>
      <c r="K416" t="s">
        <v>2025</v>
      </c>
      <c r="L416" t="s">
        <v>21</v>
      </c>
      <c r="M416">
        <v>2007</v>
      </c>
      <c r="N416" s="5">
        <f>ROUNDUP(Clean_Data[[#This Row],[Year_Num]]/100,0)</f>
        <v>21</v>
      </c>
      <c r="O416" s="5" t="str" cm="1">
        <f t="array" ref="O416">_xlfn.LET(_xlpm.y,Clean_Data[[#This Row],[Year_Num]],_xlfn.IFS(_xlpm.y&lt;500,"Ancient",_xlpm.y&lt;1500,"Medieval",_xlpm.y&lt;1800,"Early Modern",_xlpm.y&lt;1946,"Modern",TRUE,"Contemporary"))</f>
        <v>Contemporary</v>
      </c>
      <c r="P416" s="5" t="str">
        <f>_xlfn.XLOOKUP(Clean_Data[[#This Row],[Country]],country_region[Country],country_region[Country_Standard],"Not found")</f>
        <v>Vietnam</v>
      </c>
      <c r="Q416" s="5" t="str">
        <f>_xlfn.XLOOKUP(Clean_Data[[#This Row],[Country]],country_region[Country],country_region[Region],"Not found")</f>
        <v>Southeast Asia</v>
      </c>
      <c r="R416" s="5" t="str">
        <f>_xlfn.XLOOKUP(Clean_Data[[#This Row],[Type of Event]],event_type_category[Type of Event],event_type_category[Category],"Not found")</f>
        <v>Economy &amp; Infrastructure</v>
      </c>
    </row>
    <row r="417" spans="1:18">
      <c r="A417">
        <v>449</v>
      </c>
      <c r="B417" t="s">
        <v>2026</v>
      </c>
      <c r="C417" t="s">
        <v>107</v>
      </c>
      <c r="D417" t="s">
        <v>158</v>
      </c>
      <c r="E417" t="s">
        <v>623</v>
      </c>
      <c r="F417" t="s">
        <v>1578</v>
      </c>
      <c r="G417" t="s">
        <v>2027</v>
      </c>
      <c r="H417" t="s">
        <v>2028</v>
      </c>
      <c r="I417" t="s">
        <v>2029</v>
      </c>
      <c r="J417" t="s">
        <v>1980</v>
      </c>
      <c r="K417" t="s">
        <v>2030</v>
      </c>
      <c r="L417" t="s">
        <v>21</v>
      </c>
      <c r="M417">
        <v>2010</v>
      </c>
      <c r="N417" s="5">
        <f>ROUNDUP(Clean_Data[[#This Row],[Year_Num]]/100,0)</f>
        <v>21</v>
      </c>
      <c r="O417" s="5" t="str" cm="1">
        <f t="array" ref="O417">_xlfn.LET(_xlpm.y,Clean_Data[[#This Row],[Year_Num]],_xlfn.IFS(_xlpm.y&lt;500,"Ancient",_xlpm.y&lt;1500,"Medieval",_xlpm.y&lt;1800,"Early Modern",_xlpm.y&lt;1946,"Modern",TRUE,"Contemporary"))</f>
        <v>Contemporary</v>
      </c>
      <c r="P417" s="5" t="str">
        <f>_xlfn.XLOOKUP(Clean_Data[[#This Row],[Country]],country_region[Country],country_region[Country_Standard],"Not found")</f>
        <v>Vietnam</v>
      </c>
      <c r="Q417" s="5" t="str">
        <f>_xlfn.XLOOKUP(Clean_Data[[#This Row],[Country]],country_region[Country],country_region[Region],"Not found")</f>
        <v>Southeast Asia</v>
      </c>
      <c r="R417" s="5" t="str">
        <f>_xlfn.XLOOKUP(Clean_Data[[#This Row],[Type of Event]],event_type_category[Type of Event],event_type_category[Category],"Not found")</f>
        <v>Culture, Religion &amp; Sport</v>
      </c>
    </row>
    <row r="418" spans="1:18">
      <c r="A418">
        <v>450</v>
      </c>
      <c r="B418" t="s">
        <v>2031</v>
      </c>
      <c r="C418" t="s">
        <v>321</v>
      </c>
      <c r="D418" t="s">
        <v>83</v>
      </c>
      <c r="E418" t="s">
        <v>348</v>
      </c>
      <c r="F418" t="s">
        <v>1578</v>
      </c>
      <c r="G418" t="s">
        <v>2032</v>
      </c>
      <c r="H418" t="s">
        <v>2033</v>
      </c>
      <c r="I418" t="s">
        <v>4953</v>
      </c>
      <c r="J418" t="s">
        <v>2035</v>
      </c>
      <c r="K418" t="s">
        <v>2030</v>
      </c>
      <c r="L418" t="s">
        <v>21</v>
      </c>
      <c r="M418">
        <v>2017</v>
      </c>
      <c r="N418" s="5">
        <f>ROUNDUP(Clean_Data[[#This Row],[Year_Num]]/100,0)</f>
        <v>21</v>
      </c>
      <c r="O418" s="5" t="str" cm="1">
        <f t="array" ref="O418">_xlfn.LET(_xlpm.y,Clean_Data[[#This Row],[Year_Num]],_xlfn.IFS(_xlpm.y&lt;500,"Ancient",_xlpm.y&lt;1500,"Medieval",_xlpm.y&lt;1800,"Early Modern",_xlpm.y&lt;1946,"Modern",TRUE,"Contemporary"))</f>
        <v>Contemporary</v>
      </c>
      <c r="P418" s="5" t="str">
        <f>_xlfn.XLOOKUP(Clean_Data[[#This Row],[Country]],country_region[Country],country_region[Country_Standard],"Not found")</f>
        <v>Vietnam</v>
      </c>
      <c r="Q418" s="5" t="str">
        <f>_xlfn.XLOOKUP(Clean_Data[[#This Row],[Country]],country_region[Country],country_region[Region],"Not found")</f>
        <v>Southeast Asia</v>
      </c>
      <c r="R418" s="5" t="str">
        <f>_xlfn.XLOOKUP(Clean_Data[[#This Row],[Type of Event]],event_type_category[Type of Event],event_type_category[Category],"Not found")</f>
        <v>Diplomacy &amp; International Relations</v>
      </c>
    </row>
    <row r="419" spans="1:18">
      <c r="A419">
        <v>451</v>
      </c>
      <c r="B419" t="s">
        <v>2036</v>
      </c>
      <c r="E419" t="s">
        <v>294</v>
      </c>
      <c r="F419" t="s">
        <v>1578</v>
      </c>
      <c r="G419" t="s">
        <v>1647</v>
      </c>
      <c r="H419" t="s">
        <v>1578</v>
      </c>
      <c r="I419" t="s">
        <v>2037</v>
      </c>
      <c r="J419" t="s">
        <v>1980</v>
      </c>
      <c r="K419" t="s">
        <v>2038</v>
      </c>
      <c r="L419" t="s">
        <v>21</v>
      </c>
      <c r="M419">
        <v>2007</v>
      </c>
      <c r="N419" s="5">
        <f>ROUNDUP(Clean_Data[[#This Row],[Year_Num]]/100,0)</f>
        <v>21</v>
      </c>
      <c r="O419" s="5" t="str" cm="1">
        <f t="array" ref="O419">_xlfn.LET(_xlpm.y,Clean_Data[[#This Row],[Year_Num]],_xlfn.IFS(_xlpm.y&lt;500,"Ancient",_xlpm.y&lt;1500,"Medieval",_xlpm.y&lt;1800,"Early Modern",_xlpm.y&lt;1946,"Modern",TRUE,"Contemporary"))</f>
        <v>Contemporary</v>
      </c>
      <c r="P419" s="5" t="str">
        <f>_xlfn.XLOOKUP(Clean_Data[[#This Row],[Country]],country_region[Country],country_region[Country_Standard],"Not found")</f>
        <v>Vietnam</v>
      </c>
      <c r="Q419" s="5" t="str">
        <f>_xlfn.XLOOKUP(Clean_Data[[#This Row],[Country]],country_region[Country],country_region[Region],"Not found")</f>
        <v>Southeast Asia</v>
      </c>
      <c r="R419" s="5" t="str">
        <f>_xlfn.XLOOKUP(Clean_Data[[#This Row],[Type of Event]],event_type_category[Type of Event],event_type_category[Category],"Not found")</f>
        <v>Economy &amp; Infrastructure</v>
      </c>
    </row>
    <row r="420" spans="1:18">
      <c r="A420">
        <v>452</v>
      </c>
      <c r="B420" t="s">
        <v>2039</v>
      </c>
      <c r="C420" t="s">
        <v>580</v>
      </c>
      <c r="D420" t="s">
        <v>39</v>
      </c>
      <c r="E420" t="s">
        <v>84</v>
      </c>
      <c r="F420" t="s">
        <v>1578</v>
      </c>
      <c r="G420" t="s">
        <v>2040</v>
      </c>
      <c r="H420" t="s">
        <v>2041</v>
      </c>
      <c r="I420" t="s">
        <v>4954</v>
      </c>
      <c r="J420" t="s">
        <v>1980</v>
      </c>
      <c r="K420" t="s">
        <v>2030</v>
      </c>
      <c r="L420" t="s">
        <v>21</v>
      </c>
      <c r="M420">
        <v>2008</v>
      </c>
      <c r="N420" s="5">
        <f>ROUNDUP(Clean_Data[[#This Row],[Year_Num]]/100,0)</f>
        <v>21</v>
      </c>
      <c r="O420" s="5" t="str" cm="1">
        <f t="array" ref="O420">_xlfn.LET(_xlpm.y,Clean_Data[[#This Row],[Year_Num]],_xlfn.IFS(_xlpm.y&lt;500,"Ancient",_xlpm.y&lt;1500,"Medieval",_xlpm.y&lt;1800,"Early Modern",_xlpm.y&lt;1946,"Modern",TRUE,"Contemporary"))</f>
        <v>Contemporary</v>
      </c>
      <c r="P420" s="5" t="str">
        <f>_xlfn.XLOOKUP(Clean_Data[[#This Row],[Country]],country_region[Country],country_region[Country_Standard],"Not found")</f>
        <v>Vietnam</v>
      </c>
      <c r="Q420" s="5" t="str">
        <f>_xlfn.XLOOKUP(Clean_Data[[#This Row],[Country]],country_region[Country],country_region[Region],"Not found")</f>
        <v>Southeast Asia</v>
      </c>
      <c r="R420" s="5" t="str">
        <f>_xlfn.XLOOKUP(Clean_Data[[#This Row],[Type of Event]],event_type_category[Type of Event],event_type_category[Category],"Not found")</f>
        <v>Science, Technology &amp; Exploration</v>
      </c>
    </row>
    <row r="421" spans="1:18">
      <c r="A421">
        <v>453</v>
      </c>
      <c r="B421" t="s">
        <v>2043</v>
      </c>
      <c r="C421" t="s">
        <v>38</v>
      </c>
      <c r="D421" t="s">
        <v>47</v>
      </c>
      <c r="E421" t="s">
        <v>299</v>
      </c>
      <c r="F421" t="s">
        <v>1578</v>
      </c>
      <c r="G421" t="s">
        <v>1961</v>
      </c>
      <c r="H421" t="s">
        <v>2044</v>
      </c>
      <c r="I421" t="s">
        <v>4955</v>
      </c>
      <c r="J421" t="s">
        <v>2014</v>
      </c>
      <c r="K421" t="s">
        <v>2046</v>
      </c>
      <c r="L421" t="s">
        <v>21</v>
      </c>
      <c r="M421">
        <v>2016</v>
      </c>
      <c r="N421" s="5">
        <f>ROUNDUP(Clean_Data[[#This Row],[Year_Num]]/100,0)</f>
        <v>21</v>
      </c>
      <c r="O421" s="5" t="str" cm="1">
        <f t="array" ref="O421">_xlfn.LET(_xlpm.y,Clean_Data[[#This Row],[Year_Num]],_xlfn.IFS(_xlpm.y&lt;500,"Ancient",_xlpm.y&lt;1500,"Medieval",_xlpm.y&lt;1800,"Early Modern",_xlpm.y&lt;1946,"Modern",TRUE,"Contemporary"))</f>
        <v>Contemporary</v>
      </c>
      <c r="P421" s="5" t="str">
        <f>_xlfn.XLOOKUP(Clean_Data[[#This Row],[Country]],country_region[Country],country_region[Country_Standard],"Not found")</f>
        <v>Vietnam</v>
      </c>
      <c r="Q421" s="5" t="str">
        <f>_xlfn.XLOOKUP(Clean_Data[[#This Row],[Country]],country_region[Country],country_region[Region],"Not found")</f>
        <v>Southeast Asia</v>
      </c>
      <c r="R421" s="5" t="str">
        <f>_xlfn.XLOOKUP(Clean_Data[[#This Row],[Type of Event]],event_type_category[Type of Event],event_type_category[Category],"Not found")</f>
        <v>Diplomacy &amp; International Relations</v>
      </c>
    </row>
    <row r="422" spans="1:18">
      <c r="A422">
        <v>454</v>
      </c>
      <c r="B422" t="s">
        <v>4956</v>
      </c>
      <c r="E422" t="s">
        <v>166</v>
      </c>
      <c r="F422" t="s">
        <v>1578</v>
      </c>
      <c r="G422" t="s">
        <v>984</v>
      </c>
      <c r="H422" t="s">
        <v>1578</v>
      </c>
      <c r="I422" t="s">
        <v>4957</v>
      </c>
      <c r="J422" t="s">
        <v>1980</v>
      </c>
      <c r="K422" t="s">
        <v>2049</v>
      </c>
      <c r="L422" t="s">
        <v>21</v>
      </c>
      <c r="M422">
        <v>2020</v>
      </c>
      <c r="N422" s="5">
        <f>ROUNDUP(Clean_Data[[#This Row],[Year_Num]]/100,0)</f>
        <v>21</v>
      </c>
      <c r="O422" s="5" t="str" cm="1">
        <f t="array" ref="O422">_xlfn.LET(_xlpm.y,Clean_Data[[#This Row],[Year_Num]],_xlfn.IFS(_xlpm.y&lt;500,"Ancient",_xlpm.y&lt;1500,"Medieval",_xlpm.y&lt;1800,"Early Modern",_xlpm.y&lt;1946,"Modern",TRUE,"Contemporary"))</f>
        <v>Contemporary</v>
      </c>
      <c r="P422" s="5" t="str">
        <f>_xlfn.XLOOKUP(Clean_Data[[#This Row],[Country]],country_region[Country],country_region[Country_Standard],"Not found")</f>
        <v>Vietnam</v>
      </c>
      <c r="Q422" s="5" t="str">
        <f>_xlfn.XLOOKUP(Clean_Data[[#This Row],[Country]],country_region[Country],country_region[Region],"Not found")</f>
        <v>Southeast Asia</v>
      </c>
      <c r="R422" s="5" t="str">
        <f>_xlfn.XLOOKUP(Clean_Data[[#This Row],[Type of Event]],event_type_category[Type of Event],event_type_category[Category],"Not found")</f>
        <v>Society &amp; Health</v>
      </c>
    </row>
    <row r="423" spans="1:18">
      <c r="A423">
        <v>455</v>
      </c>
      <c r="B423" t="s">
        <v>2050</v>
      </c>
      <c r="C423" t="s">
        <v>230</v>
      </c>
      <c r="D423" t="s">
        <v>83</v>
      </c>
      <c r="E423" t="s">
        <v>348</v>
      </c>
      <c r="F423" t="s">
        <v>1578</v>
      </c>
      <c r="G423" t="s">
        <v>280</v>
      </c>
      <c r="H423" t="s">
        <v>1578</v>
      </c>
      <c r="I423" t="s">
        <v>2051</v>
      </c>
      <c r="J423" t="s">
        <v>2052</v>
      </c>
      <c r="L423" t="s">
        <v>54</v>
      </c>
      <c r="M423">
        <v>2017</v>
      </c>
      <c r="N423" s="5">
        <f>ROUNDUP(Clean_Data[[#This Row],[Year_Num]]/100,0)</f>
        <v>21</v>
      </c>
      <c r="O423" s="5" t="str" cm="1">
        <f t="array" ref="O423">_xlfn.LET(_xlpm.y,Clean_Data[[#This Row],[Year_Num]],_xlfn.IFS(_xlpm.y&lt;500,"Ancient",_xlpm.y&lt;1500,"Medieval",_xlpm.y&lt;1800,"Early Modern",_xlpm.y&lt;1946,"Modern",TRUE,"Contemporary"))</f>
        <v>Contemporary</v>
      </c>
      <c r="P423" s="5" t="str">
        <f>_xlfn.XLOOKUP(Clean_Data[[#This Row],[Country]],country_region[Country],country_region[Country_Standard],"Not found")</f>
        <v>Vietnam</v>
      </c>
      <c r="Q423" s="5" t="str">
        <f>_xlfn.XLOOKUP(Clean_Data[[#This Row],[Country]],country_region[Country],country_region[Region],"Not found")</f>
        <v>Southeast Asia</v>
      </c>
      <c r="R423" s="5" t="str">
        <f>_xlfn.XLOOKUP(Clean_Data[[#This Row],[Type of Event]],event_type_category[Type of Event],event_type_category[Category],"Not found")</f>
        <v>Disasters &amp; Accidents</v>
      </c>
    </row>
    <row r="424" spans="1:18">
      <c r="A424">
        <v>456</v>
      </c>
      <c r="B424" t="s">
        <v>2053</v>
      </c>
      <c r="E424" t="s">
        <v>2054</v>
      </c>
      <c r="F424" t="s">
        <v>1578</v>
      </c>
      <c r="G424" t="s">
        <v>1022</v>
      </c>
      <c r="H424" t="s">
        <v>2055</v>
      </c>
      <c r="I424" t="s">
        <v>2056</v>
      </c>
      <c r="J424" t="s">
        <v>1980</v>
      </c>
      <c r="K424" t="s">
        <v>2057</v>
      </c>
      <c r="L424" t="s">
        <v>21</v>
      </c>
      <c r="M424">
        <v>968</v>
      </c>
      <c r="N424" s="5">
        <f>ROUNDUP(Clean_Data[[#This Row],[Year_Num]]/100,0)</f>
        <v>10</v>
      </c>
      <c r="O424" s="5" t="str" cm="1">
        <f t="array" ref="O424">_xlfn.LET(_xlpm.y,Clean_Data[[#This Row],[Year_Num]],_xlfn.IFS(_xlpm.y&lt;500,"Ancient",_xlpm.y&lt;1500,"Medieval",_xlpm.y&lt;1800,"Early Modern",_xlpm.y&lt;1946,"Modern",TRUE,"Contemporary"))</f>
        <v>Medieval</v>
      </c>
      <c r="P424" s="5" t="str">
        <f>_xlfn.XLOOKUP(Clean_Data[[#This Row],[Country]],country_region[Country],country_region[Country_Standard],"Not found")</f>
        <v>Vietnam</v>
      </c>
      <c r="Q424" s="5" t="str">
        <f>_xlfn.XLOOKUP(Clean_Data[[#This Row],[Country]],country_region[Country],country_region[Region],"Not found")</f>
        <v>Southeast Asia</v>
      </c>
      <c r="R424" s="5" t="str">
        <f>_xlfn.XLOOKUP(Clean_Data[[#This Row],[Type of Event]],event_type_category[Type of Event],event_type_category[Category],"Not found")</f>
        <v>Independence &amp; Nation-Building</v>
      </c>
    </row>
    <row r="425" spans="1:18">
      <c r="A425">
        <v>457</v>
      </c>
      <c r="B425" t="s">
        <v>2058</v>
      </c>
      <c r="E425" t="s">
        <v>2059</v>
      </c>
      <c r="F425" t="s">
        <v>1578</v>
      </c>
      <c r="G425" t="s">
        <v>778</v>
      </c>
      <c r="H425" t="s">
        <v>2028</v>
      </c>
      <c r="I425" t="s">
        <v>2060</v>
      </c>
      <c r="J425" t="s">
        <v>1980</v>
      </c>
      <c r="K425" t="s">
        <v>2061</v>
      </c>
      <c r="L425" t="s">
        <v>21</v>
      </c>
      <c r="M425">
        <v>1009</v>
      </c>
      <c r="N425" s="5">
        <f>ROUNDUP(Clean_Data[[#This Row],[Year_Num]]/100,0)</f>
        <v>11</v>
      </c>
      <c r="O425" s="5" t="str" cm="1">
        <f t="array" ref="O425">_xlfn.LET(_xlpm.y,Clean_Data[[#This Row],[Year_Num]],_xlfn.IFS(_xlpm.y&lt;500,"Ancient",_xlpm.y&lt;1500,"Medieval",_xlpm.y&lt;1800,"Early Modern",_xlpm.y&lt;1946,"Modern",TRUE,"Contemporary"))</f>
        <v>Medieval</v>
      </c>
      <c r="P425" s="5" t="str">
        <f>_xlfn.XLOOKUP(Clean_Data[[#This Row],[Country]],country_region[Country],country_region[Country_Standard],"Not found")</f>
        <v>Vietnam</v>
      </c>
      <c r="Q425" s="5" t="str">
        <f>_xlfn.XLOOKUP(Clean_Data[[#This Row],[Country]],country_region[Country],country_region[Region],"Not found")</f>
        <v>Southeast Asia</v>
      </c>
      <c r="R425" s="5" t="str">
        <f>_xlfn.XLOOKUP(Clean_Data[[#This Row],[Type of Event]],event_type_category[Type of Event],event_type_category[Category],"Not found")</f>
        <v>Independence &amp; Nation-Building</v>
      </c>
    </row>
    <row r="426" spans="1:18">
      <c r="A426">
        <v>458</v>
      </c>
      <c r="B426" t="s">
        <v>2062</v>
      </c>
      <c r="E426" t="s">
        <v>2063</v>
      </c>
      <c r="F426" t="s">
        <v>1578</v>
      </c>
      <c r="G426" t="s">
        <v>2064</v>
      </c>
      <c r="H426" t="s">
        <v>2055</v>
      </c>
      <c r="I426" t="s">
        <v>2065</v>
      </c>
      <c r="J426" t="s">
        <v>1980</v>
      </c>
      <c r="K426" t="s">
        <v>2066</v>
      </c>
      <c r="L426" t="s">
        <v>21</v>
      </c>
      <c r="M426">
        <v>1258</v>
      </c>
      <c r="N426" s="5">
        <f>ROUNDUP(Clean_Data[[#This Row],[Year_Num]]/100,0)</f>
        <v>13</v>
      </c>
      <c r="O426" s="5" t="str" cm="1">
        <f t="array" ref="O426">_xlfn.LET(_xlpm.y,Clean_Data[[#This Row],[Year_Num]],_xlfn.IFS(_xlpm.y&lt;500,"Ancient",_xlpm.y&lt;1500,"Medieval",_xlpm.y&lt;1800,"Early Modern",_xlpm.y&lt;1946,"Modern",TRUE,"Contemporary"))</f>
        <v>Medieval</v>
      </c>
      <c r="P426" s="5" t="str">
        <f>_xlfn.XLOOKUP(Clean_Data[[#This Row],[Country]],country_region[Country],country_region[Country_Standard],"Not found")</f>
        <v>Vietnam</v>
      </c>
      <c r="Q426" s="5" t="str">
        <f>_xlfn.XLOOKUP(Clean_Data[[#This Row],[Country]],country_region[Country],country_region[Region],"Not found")</f>
        <v>Southeast Asia</v>
      </c>
      <c r="R426" s="5" t="str">
        <f>_xlfn.XLOOKUP(Clean_Data[[#This Row],[Type of Event]],event_type_category[Type of Event],event_type_category[Category],"Not found")</f>
        <v>War &amp; Conflict</v>
      </c>
    </row>
    <row r="427" spans="1:18">
      <c r="A427">
        <v>459</v>
      </c>
      <c r="B427" t="s">
        <v>4958</v>
      </c>
      <c r="E427" t="s">
        <v>2068</v>
      </c>
      <c r="F427" t="s">
        <v>1578</v>
      </c>
      <c r="G427" t="s">
        <v>2069</v>
      </c>
      <c r="H427" t="s">
        <v>1578</v>
      </c>
      <c r="I427" t="s">
        <v>4959</v>
      </c>
      <c r="J427" t="s">
        <v>1980</v>
      </c>
      <c r="K427" t="s">
        <v>2071</v>
      </c>
      <c r="L427" t="s">
        <v>36</v>
      </c>
      <c r="M427">
        <v>1400</v>
      </c>
      <c r="N427" s="5">
        <f>ROUNDUP(Clean_Data[[#This Row],[Year_Num]]/100,0)</f>
        <v>14</v>
      </c>
      <c r="O427" s="5" t="str" cm="1">
        <f t="array" ref="O427">_xlfn.LET(_xlpm.y,Clean_Data[[#This Row],[Year_Num]],_xlfn.IFS(_xlpm.y&lt;500,"Ancient",_xlpm.y&lt;1500,"Medieval",_xlpm.y&lt;1800,"Early Modern",_xlpm.y&lt;1946,"Modern",TRUE,"Contemporary"))</f>
        <v>Medieval</v>
      </c>
      <c r="P427" s="5" t="str">
        <f>_xlfn.XLOOKUP(Clean_Data[[#This Row],[Country]],country_region[Country],country_region[Country_Standard],"Not found")</f>
        <v>Vietnam</v>
      </c>
      <c r="Q427" s="5" t="str">
        <f>_xlfn.XLOOKUP(Clean_Data[[#This Row],[Country]],country_region[Country],country_region[Region],"Not found")</f>
        <v>Southeast Asia</v>
      </c>
      <c r="R427" s="5" t="str">
        <f>_xlfn.XLOOKUP(Clean_Data[[#This Row],[Type of Event]],event_type_category[Type of Event],event_type_category[Category],"Not found")</f>
        <v>Culture, Religion &amp; Sport</v>
      </c>
    </row>
    <row r="428" spans="1:18">
      <c r="A428">
        <v>460</v>
      </c>
      <c r="B428" t="s">
        <v>2072</v>
      </c>
      <c r="E428" t="s">
        <v>2073</v>
      </c>
      <c r="F428" t="s">
        <v>1578</v>
      </c>
      <c r="G428" t="s">
        <v>2074</v>
      </c>
      <c r="H428" t="s">
        <v>1578</v>
      </c>
      <c r="I428" t="s">
        <v>2075</v>
      </c>
      <c r="J428" t="s">
        <v>1980</v>
      </c>
      <c r="K428" t="s">
        <v>2076</v>
      </c>
      <c r="L428" t="s">
        <v>21</v>
      </c>
      <c r="M428">
        <v>1428</v>
      </c>
      <c r="N428" s="5">
        <f>ROUNDUP(Clean_Data[[#This Row],[Year_Num]]/100,0)</f>
        <v>15</v>
      </c>
      <c r="O428" s="5" t="str" cm="1">
        <f t="array" ref="O428">_xlfn.LET(_xlpm.y,Clean_Data[[#This Row],[Year_Num]],_xlfn.IFS(_xlpm.y&lt;500,"Ancient",_xlpm.y&lt;1500,"Medieval",_xlpm.y&lt;1800,"Early Modern",_xlpm.y&lt;1946,"Modern",TRUE,"Contemporary"))</f>
        <v>Medieval</v>
      </c>
      <c r="P428" s="5" t="str">
        <f>_xlfn.XLOOKUP(Clean_Data[[#This Row],[Country]],country_region[Country],country_region[Country_Standard],"Not found")</f>
        <v>Vietnam</v>
      </c>
      <c r="Q428" s="5" t="str">
        <f>_xlfn.XLOOKUP(Clean_Data[[#This Row],[Country]],country_region[Country],country_region[Region],"Not found")</f>
        <v>Southeast Asia</v>
      </c>
      <c r="R428" s="5" t="str">
        <f>_xlfn.XLOOKUP(Clean_Data[[#This Row],[Type of Event]],event_type_category[Type of Event],event_type_category[Category],"Not found")</f>
        <v>Independence &amp; Nation-Building</v>
      </c>
    </row>
    <row r="429" spans="1:18">
      <c r="A429">
        <v>461</v>
      </c>
      <c r="B429" t="s">
        <v>2077</v>
      </c>
      <c r="E429" t="s">
        <v>2078</v>
      </c>
      <c r="F429" t="s">
        <v>1578</v>
      </c>
      <c r="G429" t="s">
        <v>1042</v>
      </c>
      <c r="H429" t="s">
        <v>2079</v>
      </c>
      <c r="I429" t="s">
        <v>2080</v>
      </c>
      <c r="J429" t="s">
        <v>2081</v>
      </c>
      <c r="K429" t="s">
        <v>2082</v>
      </c>
      <c r="L429" t="s">
        <v>21</v>
      </c>
      <c r="M429">
        <v>1650</v>
      </c>
      <c r="N429" s="5">
        <f>ROUNDUP(Clean_Data[[#This Row],[Year_Num]]/100,0)</f>
        <v>17</v>
      </c>
      <c r="O429" s="5" t="str" cm="1">
        <f t="array" ref="O429">_xlfn.LET(_xlpm.y,Clean_Data[[#This Row],[Year_Num]],_xlfn.IFS(_xlpm.y&lt;500,"Ancient",_xlpm.y&lt;1500,"Medieval",_xlpm.y&lt;1800,"Early Modern",_xlpm.y&lt;1946,"Modern",TRUE,"Contemporary"))</f>
        <v>Early Modern</v>
      </c>
      <c r="P429" s="5" t="str">
        <f>_xlfn.XLOOKUP(Clean_Data[[#This Row],[Country]],country_region[Country],country_region[Country_Standard],"Not found")</f>
        <v>Vietnam</v>
      </c>
      <c r="Q429" s="5" t="str">
        <f>_xlfn.XLOOKUP(Clean_Data[[#This Row],[Country]],country_region[Country],country_region[Region],"Not found")</f>
        <v>Southeast Asia</v>
      </c>
      <c r="R429" s="5" t="str">
        <f>_xlfn.XLOOKUP(Clean_Data[[#This Row],[Type of Event]],event_type_category[Type of Event],event_type_category[Category],"Not found")</f>
        <v>Independence &amp; Nation-Building</v>
      </c>
    </row>
    <row r="430" spans="1:18">
      <c r="A430">
        <v>462</v>
      </c>
      <c r="B430" t="s">
        <v>2083</v>
      </c>
      <c r="E430" t="s">
        <v>2084</v>
      </c>
      <c r="F430" t="s">
        <v>1578</v>
      </c>
      <c r="G430" t="s">
        <v>1470</v>
      </c>
      <c r="H430" t="s">
        <v>2085</v>
      </c>
      <c r="I430" t="s">
        <v>2086</v>
      </c>
      <c r="J430" t="s">
        <v>1980</v>
      </c>
      <c r="K430" t="s">
        <v>2087</v>
      </c>
      <c r="L430" t="s">
        <v>36</v>
      </c>
      <c r="M430">
        <v>1771</v>
      </c>
      <c r="N430" s="5">
        <f>ROUNDUP(Clean_Data[[#This Row],[Year_Num]]/100,0)</f>
        <v>18</v>
      </c>
      <c r="O430" s="5" t="str" cm="1">
        <f t="array" ref="O430">_xlfn.LET(_xlpm.y,Clean_Data[[#This Row],[Year_Num]],_xlfn.IFS(_xlpm.y&lt;500,"Ancient",_xlpm.y&lt;1500,"Medieval",_xlpm.y&lt;1800,"Early Modern",_xlpm.y&lt;1946,"Modern",TRUE,"Contemporary"))</f>
        <v>Early Modern</v>
      </c>
      <c r="P430" s="5" t="str">
        <f>_xlfn.XLOOKUP(Clean_Data[[#This Row],[Country]],country_region[Country],country_region[Country_Standard],"Not found")</f>
        <v>Vietnam</v>
      </c>
      <c r="Q430" s="5" t="str">
        <f>_xlfn.XLOOKUP(Clean_Data[[#This Row],[Country]],country_region[Country],country_region[Region],"Not found")</f>
        <v>Southeast Asia</v>
      </c>
      <c r="R430" s="5" t="str">
        <f>_xlfn.XLOOKUP(Clean_Data[[#This Row],[Type of Event]],event_type_category[Type of Event],event_type_category[Category],"Not found")</f>
        <v>War &amp; Conflict</v>
      </c>
    </row>
    <row r="431" spans="1:18">
      <c r="A431">
        <v>463</v>
      </c>
      <c r="B431" t="s">
        <v>2088</v>
      </c>
      <c r="E431" t="s">
        <v>2089</v>
      </c>
      <c r="F431" t="s">
        <v>1578</v>
      </c>
      <c r="G431" t="s">
        <v>2090</v>
      </c>
      <c r="H431" t="s">
        <v>1578</v>
      </c>
      <c r="I431" t="s">
        <v>2091</v>
      </c>
      <c r="J431" t="s">
        <v>1980</v>
      </c>
      <c r="K431" t="s">
        <v>2092</v>
      </c>
      <c r="L431" t="s">
        <v>21</v>
      </c>
      <c r="M431">
        <v>1802</v>
      </c>
      <c r="N431" s="5">
        <f>ROUNDUP(Clean_Data[[#This Row],[Year_Num]]/100,0)</f>
        <v>19</v>
      </c>
      <c r="O431" s="5" t="str" cm="1">
        <f t="array" ref="O431">_xlfn.LET(_xlpm.y,Clean_Data[[#This Row],[Year_Num]],_xlfn.IFS(_xlpm.y&lt;500,"Ancient",_xlpm.y&lt;1500,"Medieval",_xlpm.y&lt;1800,"Early Modern",_xlpm.y&lt;1946,"Modern",TRUE,"Contemporary"))</f>
        <v>Modern</v>
      </c>
      <c r="P431" s="5" t="str">
        <f>_xlfn.XLOOKUP(Clean_Data[[#This Row],[Country]],country_region[Country],country_region[Country_Standard],"Not found")</f>
        <v>Vietnam</v>
      </c>
      <c r="Q431" s="5" t="str">
        <f>_xlfn.XLOOKUP(Clean_Data[[#This Row],[Country]],country_region[Country],country_region[Region],"Not found")</f>
        <v>Southeast Asia</v>
      </c>
      <c r="R431" s="5" t="str">
        <f>_xlfn.XLOOKUP(Clean_Data[[#This Row],[Type of Event]],event_type_category[Type of Event],event_type_category[Category],"Not found")</f>
        <v>Politics &amp; Law</v>
      </c>
    </row>
    <row r="432" spans="1:18">
      <c r="A432">
        <v>464</v>
      </c>
      <c r="B432" t="s">
        <v>2093</v>
      </c>
      <c r="E432" t="s">
        <v>48</v>
      </c>
      <c r="F432" t="s">
        <v>1578</v>
      </c>
      <c r="G432" t="s">
        <v>2094</v>
      </c>
      <c r="H432" t="s">
        <v>2079</v>
      </c>
      <c r="I432" t="s">
        <v>2095</v>
      </c>
      <c r="J432" t="s">
        <v>1980</v>
      </c>
      <c r="K432" t="s">
        <v>2096</v>
      </c>
      <c r="L432" t="s">
        <v>54</v>
      </c>
      <c r="M432">
        <v>1858</v>
      </c>
      <c r="N432" s="5">
        <f>ROUNDUP(Clean_Data[[#This Row],[Year_Num]]/100,0)</f>
        <v>19</v>
      </c>
      <c r="O432" s="5" t="str" cm="1">
        <f t="array" ref="O432">_xlfn.LET(_xlpm.y,Clean_Data[[#This Row],[Year_Num]],_xlfn.IFS(_xlpm.y&lt;500,"Ancient",_xlpm.y&lt;1500,"Medieval",_xlpm.y&lt;1800,"Early Modern",_xlpm.y&lt;1946,"Modern",TRUE,"Contemporary"))</f>
        <v>Modern</v>
      </c>
      <c r="P432" s="5" t="str">
        <f>_xlfn.XLOOKUP(Clean_Data[[#This Row],[Country]],country_region[Country],country_region[Country_Standard],"Not found")</f>
        <v>Vietnam</v>
      </c>
      <c r="Q432" s="5" t="str">
        <f>_xlfn.XLOOKUP(Clean_Data[[#This Row],[Country]],country_region[Country],country_region[Region],"Not found")</f>
        <v>Southeast Asia</v>
      </c>
      <c r="R432" s="5" t="str">
        <f>_xlfn.XLOOKUP(Clean_Data[[#This Row],[Type of Event]],event_type_category[Type of Event],event_type_category[Category],"Not found")</f>
        <v>Independence &amp; Nation-Building</v>
      </c>
    </row>
    <row r="433" spans="1:18">
      <c r="A433">
        <v>466</v>
      </c>
      <c r="B433" t="s">
        <v>2097</v>
      </c>
      <c r="E433" t="s">
        <v>2098</v>
      </c>
      <c r="F433" t="s">
        <v>1578</v>
      </c>
      <c r="G433" t="s">
        <v>2099</v>
      </c>
      <c r="H433" t="s">
        <v>2028</v>
      </c>
      <c r="I433" t="s">
        <v>2100</v>
      </c>
      <c r="J433" t="s">
        <v>2101</v>
      </c>
      <c r="K433" t="s">
        <v>2102</v>
      </c>
      <c r="L433" t="s">
        <v>54</v>
      </c>
      <c r="M433">
        <v>1908</v>
      </c>
      <c r="N433" s="5">
        <f>ROUNDUP(Clean_Data[[#This Row],[Year_Num]]/100,0)</f>
        <v>20</v>
      </c>
      <c r="O433" s="5" t="str" cm="1">
        <f t="array" ref="O433">_xlfn.LET(_xlpm.y,Clean_Data[[#This Row],[Year_Num]],_xlfn.IFS(_xlpm.y&lt;500,"Ancient",_xlpm.y&lt;1500,"Medieval",_xlpm.y&lt;1800,"Early Modern",_xlpm.y&lt;1946,"Modern",TRUE,"Contemporary"))</f>
        <v>Modern</v>
      </c>
      <c r="P433" s="5" t="str">
        <f>_xlfn.XLOOKUP(Clean_Data[[#This Row],[Country]],country_region[Country],country_region[Country_Standard],"Not found")</f>
        <v>Vietnam</v>
      </c>
      <c r="Q433" s="5" t="str">
        <f>_xlfn.XLOOKUP(Clean_Data[[#This Row],[Country]],country_region[Country],country_region[Region],"Not found")</f>
        <v>Southeast Asia</v>
      </c>
      <c r="R433" s="5" t="str">
        <f>_xlfn.XLOOKUP(Clean_Data[[#This Row],[Type of Event]],event_type_category[Type of Event],event_type_category[Category],"Not found")</f>
        <v>War &amp; Conflict</v>
      </c>
    </row>
    <row r="434" spans="1:18">
      <c r="A434">
        <v>467</v>
      </c>
      <c r="B434" t="s">
        <v>2103</v>
      </c>
      <c r="E434" t="s">
        <v>2104</v>
      </c>
      <c r="F434" t="s">
        <v>1578</v>
      </c>
      <c r="G434" t="s">
        <v>500</v>
      </c>
      <c r="H434" t="s">
        <v>1578</v>
      </c>
      <c r="I434" t="s">
        <v>2105</v>
      </c>
      <c r="J434" t="s">
        <v>2106</v>
      </c>
      <c r="K434" t="s">
        <v>2107</v>
      </c>
      <c r="L434" t="s">
        <v>36</v>
      </c>
      <c r="M434">
        <v>1927</v>
      </c>
      <c r="N434" s="5">
        <f>ROUNDUP(Clean_Data[[#This Row],[Year_Num]]/100,0)</f>
        <v>20</v>
      </c>
      <c r="O434" s="5" t="str" cm="1">
        <f t="array" ref="O434">_xlfn.LET(_xlpm.y,Clean_Data[[#This Row],[Year_Num]],_xlfn.IFS(_xlpm.y&lt;500,"Ancient",_xlpm.y&lt;1500,"Medieval",_xlpm.y&lt;1800,"Early Modern",_xlpm.y&lt;1946,"Modern",TRUE,"Contemporary"))</f>
        <v>Modern</v>
      </c>
      <c r="P434" s="5" t="str">
        <f>_xlfn.XLOOKUP(Clean_Data[[#This Row],[Country]],country_region[Country],country_region[Country_Standard],"Not found")</f>
        <v>Vietnam</v>
      </c>
      <c r="Q434" s="5" t="str">
        <f>_xlfn.XLOOKUP(Clean_Data[[#This Row],[Country]],country_region[Country],country_region[Region],"Not found")</f>
        <v>Southeast Asia</v>
      </c>
      <c r="R434" s="5" t="str">
        <f>_xlfn.XLOOKUP(Clean_Data[[#This Row],[Type of Event]],event_type_category[Type of Event],event_type_category[Category],"Not found")</f>
        <v>Politics &amp; Law</v>
      </c>
    </row>
    <row r="435" spans="1:18">
      <c r="A435">
        <v>468</v>
      </c>
      <c r="B435" t="s">
        <v>2108</v>
      </c>
      <c r="E435" t="s">
        <v>394</v>
      </c>
      <c r="F435" t="s">
        <v>1578</v>
      </c>
      <c r="G435" t="s">
        <v>2109</v>
      </c>
      <c r="H435" t="s">
        <v>2110</v>
      </c>
      <c r="I435" t="s">
        <v>2111</v>
      </c>
      <c r="J435" t="s">
        <v>2112</v>
      </c>
      <c r="K435" t="s">
        <v>2113</v>
      </c>
      <c r="L435" t="s">
        <v>36</v>
      </c>
      <c r="M435">
        <v>1930</v>
      </c>
      <c r="N435" s="5">
        <f>ROUNDUP(Clean_Data[[#This Row],[Year_Num]]/100,0)</f>
        <v>20</v>
      </c>
      <c r="O435" s="5" t="str" cm="1">
        <f t="array" ref="O435">_xlfn.LET(_xlpm.y,Clean_Data[[#This Row],[Year_Num]],_xlfn.IFS(_xlpm.y&lt;500,"Ancient",_xlpm.y&lt;1500,"Medieval",_xlpm.y&lt;1800,"Early Modern",_xlpm.y&lt;1946,"Modern",TRUE,"Contemporary"))</f>
        <v>Modern</v>
      </c>
      <c r="P435" s="5" t="str">
        <f>_xlfn.XLOOKUP(Clean_Data[[#This Row],[Country]],country_region[Country],country_region[Country_Standard],"Not found")</f>
        <v>Vietnam</v>
      </c>
      <c r="Q435" s="5" t="str">
        <f>_xlfn.XLOOKUP(Clean_Data[[#This Row],[Country]],country_region[Country],country_region[Region],"Not found")</f>
        <v>Southeast Asia</v>
      </c>
      <c r="R435" s="5" t="str">
        <f>_xlfn.XLOOKUP(Clean_Data[[#This Row],[Type of Event]],event_type_category[Type of Event],event_type_category[Category],"Not found")</f>
        <v>War &amp; Conflict</v>
      </c>
    </row>
    <row r="436" spans="1:18">
      <c r="A436">
        <v>469</v>
      </c>
      <c r="B436" t="s">
        <v>2114</v>
      </c>
      <c r="C436" t="s">
        <v>65</v>
      </c>
      <c r="D436" t="s">
        <v>173</v>
      </c>
      <c r="E436" t="s">
        <v>394</v>
      </c>
      <c r="F436" t="s">
        <v>1578</v>
      </c>
      <c r="G436" t="s">
        <v>1728</v>
      </c>
      <c r="H436" t="s">
        <v>822</v>
      </c>
      <c r="I436" t="s">
        <v>2115</v>
      </c>
      <c r="J436" t="s">
        <v>1980</v>
      </c>
      <c r="K436" t="s">
        <v>2116</v>
      </c>
      <c r="L436" t="s">
        <v>21</v>
      </c>
      <c r="M436">
        <v>1930</v>
      </c>
      <c r="N436" s="5">
        <f>ROUNDUP(Clean_Data[[#This Row],[Year_Num]]/100,0)</f>
        <v>20</v>
      </c>
      <c r="O436" s="5" t="str" cm="1">
        <f t="array" ref="O436">_xlfn.LET(_xlpm.y,Clean_Data[[#This Row],[Year_Num]],_xlfn.IFS(_xlpm.y&lt;500,"Ancient",_xlpm.y&lt;1500,"Medieval",_xlpm.y&lt;1800,"Early Modern",_xlpm.y&lt;1946,"Modern",TRUE,"Contemporary"))</f>
        <v>Modern</v>
      </c>
      <c r="P436" s="5" t="str">
        <f>_xlfn.XLOOKUP(Clean_Data[[#This Row],[Country]],country_region[Country],country_region[Country_Standard],"Not found")</f>
        <v>Vietnam</v>
      </c>
      <c r="Q436" s="5" t="str">
        <f>_xlfn.XLOOKUP(Clean_Data[[#This Row],[Country]],country_region[Country],country_region[Region],"Not found")</f>
        <v>Southeast Asia</v>
      </c>
      <c r="R436" s="5" t="str">
        <f>_xlfn.XLOOKUP(Clean_Data[[#This Row],[Type of Event]],event_type_category[Type of Event],event_type_category[Category],"Not found")</f>
        <v>Politics &amp; Law</v>
      </c>
    </row>
    <row r="437" spans="1:18">
      <c r="A437">
        <v>470</v>
      </c>
      <c r="B437" t="s">
        <v>2117</v>
      </c>
      <c r="E437" t="s">
        <v>571</v>
      </c>
      <c r="F437" t="s">
        <v>1578</v>
      </c>
      <c r="G437" t="s">
        <v>1896</v>
      </c>
      <c r="H437" t="s">
        <v>1578</v>
      </c>
      <c r="I437" t="s">
        <v>2118</v>
      </c>
      <c r="J437" t="s">
        <v>1980</v>
      </c>
      <c r="K437" t="s">
        <v>1357</v>
      </c>
      <c r="L437" t="s">
        <v>36</v>
      </c>
      <c r="M437">
        <v>1940</v>
      </c>
      <c r="N437" s="5">
        <f>ROUNDUP(Clean_Data[[#This Row],[Year_Num]]/100,0)</f>
        <v>20</v>
      </c>
      <c r="O437" s="5" t="str" cm="1">
        <f t="array" ref="O437">_xlfn.LET(_xlpm.y,Clean_Data[[#This Row],[Year_Num]],_xlfn.IFS(_xlpm.y&lt;500,"Ancient",_xlpm.y&lt;1500,"Medieval",_xlpm.y&lt;1800,"Early Modern",_xlpm.y&lt;1946,"Modern",TRUE,"Contemporary"))</f>
        <v>Modern</v>
      </c>
      <c r="P437" s="5" t="str">
        <f>_xlfn.XLOOKUP(Clean_Data[[#This Row],[Country]],country_region[Country],country_region[Country_Standard],"Not found")</f>
        <v>Vietnam</v>
      </c>
      <c r="Q437" s="5" t="str">
        <f>_xlfn.XLOOKUP(Clean_Data[[#This Row],[Country]],country_region[Country],country_region[Region],"Not found")</f>
        <v>Southeast Asia</v>
      </c>
      <c r="R437" s="5" t="str">
        <f>_xlfn.XLOOKUP(Clean_Data[[#This Row],[Type of Event]],event_type_category[Type of Event],event_type_category[Category],"Not found")</f>
        <v>War &amp; Conflict</v>
      </c>
    </row>
    <row r="438" spans="1:18">
      <c r="A438">
        <v>471</v>
      </c>
      <c r="B438" t="s">
        <v>2119</v>
      </c>
      <c r="C438" t="s">
        <v>335</v>
      </c>
      <c r="D438" t="s">
        <v>57</v>
      </c>
      <c r="E438" t="s">
        <v>682</v>
      </c>
      <c r="F438" t="s">
        <v>1578</v>
      </c>
      <c r="G438" t="s">
        <v>1857</v>
      </c>
      <c r="H438" t="s">
        <v>1578</v>
      </c>
      <c r="I438" t="s">
        <v>2120</v>
      </c>
      <c r="J438" t="s">
        <v>1980</v>
      </c>
      <c r="K438" t="s">
        <v>2121</v>
      </c>
      <c r="L438" t="s">
        <v>21</v>
      </c>
      <c r="M438">
        <v>1945</v>
      </c>
      <c r="N438" s="5">
        <f>ROUNDUP(Clean_Data[[#This Row],[Year_Num]]/100,0)</f>
        <v>20</v>
      </c>
      <c r="O438" s="5" t="str" cm="1">
        <f t="array" ref="O438">_xlfn.LET(_xlpm.y,Clean_Data[[#This Row],[Year_Num]],_xlfn.IFS(_xlpm.y&lt;500,"Ancient",_xlpm.y&lt;1500,"Medieval",_xlpm.y&lt;1800,"Early Modern",_xlpm.y&lt;1946,"Modern",TRUE,"Contemporary"))</f>
        <v>Modern</v>
      </c>
      <c r="P438" s="5" t="str">
        <f>_xlfn.XLOOKUP(Clean_Data[[#This Row],[Country]],country_region[Country],country_region[Country_Standard],"Not found")</f>
        <v>Vietnam</v>
      </c>
      <c r="Q438" s="5" t="str">
        <f>_xlfn.XLOOKUP(Clean_Data[[#This Row],[Country]],country_region[Country],country_region[Region],"Not found")</f>
        <v>Southeast Asia</v>
      </c>
      <c r="R438" s="5" t="str">
        <f>_xlfn.XLOOKUP(Clean_Data[[#This Row],[Type of Event]],event_type_category[Type of Event],event_type_category[Category],"Not found")</f>
        <v>Independence &amp; Nation-Building</v>
      </c>
    </row>
    <row r="439" spans="1:18">
      <c r="A439">
        <v>472</v>
      </c>
      <c r="B439" t="s">
        <v>2122</v>
      </c>
      <c r="C439" t="s">
        <v>331</v>
      </c>
      <c r="D439" t="s">
        <v>286</v>
      </c>
      <c r="E439" t="s">
        <v>682</v>
      </c>
      <c r="F439" t="s">
        <v>1578</v>
      </c>
      <c r="G439" t="s">
        <v>2122</v>
      </c>
      <c r="H439" t="s">
        <v>2123</v>
      </c>
      <c r="I439" t="s">
        <v>2124</v>
      </c>
      <c r="J439" t="s">
        <v>1980</v>
      </c>
      <c r="K439" t="s">
        <v>2116</v>
      </c>
      <c r="L439" t="s">
        <v>21</v>
      </c>
      <c r="M439">
        <v>1945</v>
      </c>
      <c r="N439" s="5">
        <f>ROUNDUP(Clean_Data[[#This Row],[Year_Num]]/100,0)</f>
        <v>20</v>
      </c>
      <c r="O439" s="5" t="str" cm="1">
        <f t="array" ref="O439">_xlfn.LET(_xlpm.y,Clean_Data[[#This Row],[Year_Num]],_xlfn.IFS(_xlpm.y&lt;500,"Ancient",_xlpm.y&lt;1500,"Medieval",_xlpm.y&lt;1800,"Early Modern",_xlpm.y&lt;1946,"Modern",TRUE,"Contemporary"))</f>
        <v>Modern</v>
      </c>
      <c r="P439" s="5" t="str">
        <f>_xlfn.XLOOKUP(Clean_Data[[#This Row],[Country]],country_region[Country],country_region[Country_Standard],"Not found")</f>
        <v>Vietnam</v>
      </c>
      <c r="Q439" s="5" t="str">
        <f>_xlfn.XLOOKUP(Clean_Data[[#This Row],[Country]],country_region[Country],country_region[Region],"Not found")</f>
        <v>Southeast Asia</v>
      </c>
      <c r="R439" s="5" t="str">
        <f>_xlfn.XLOOKUP(Clean_Data[[#This Row],[Type of Event]],event_type_category[Type of Event],event_type_category[Category],"Not found")</f>
        <v>Independence &amp; Nation-Building</v>
      </c>
    </row>
    <row r="440" spans="1:18">
      <c r="A440">
        <v>473</v>
      </c>
      <c r="B440" t="s">
        <v>2125</v>
      </c>
      <c r="C440" t="s">
        <v>580</v>
      </c>
      <c r="D440" t="s">
        <v>66</v>
      </c>
      <c r="E440" t="s">
        <v>2126</v>
      </c>
      <c r="F440" t="s">
        <v>1578</v>
      </c>
      <c r="G440" t="s">
        <v>138</v>
      </c>
      <c r="H440" t="s">
        <v>2055</v>
      </c>
      <c r="I440" t="s">
        <v>2127</v>
      </c>
      <c r="J440" t="s">
        <v>1980</v>
      </c>
      <c r="K440" t="s">
        <v>2128</v>
      </c>
      <c r="L440" t="s">
        <v>54</v>
      </c>
      <c r="M440">
        <v>1946</v>
      </c>
      <c r="N440" s="5">
        <f>ROUNDUP(Clean_Data[[#This Row],[Year_Num]]/100,0)</f>
        <v>20</v>
      </c>
      <c r="O440" s="5" t="str" cm="1">
        <f t="array" ref="O440">_xlfn.LET(_xlpm.y,Clean_Data[[#This Row],[Year_Num]],_xlfn.IFS(_xlpm.y&lt;500,"Ancient",_xlpm.y&lt;1500,"Medieval",_xlpm.y&lt;1800,"Early Modern",_xlpm.y&lt;1946,"Modern",TRUE,"Contemporary"))</f>
        <v>Contemporary</v>
      </c>
      <c r="P440" s="5" t="str">
        <f>_xlfn.XLOOKUP(Clean_Data[[#This Row],[Country]],country_region[Country],country_region[Country_Standard],"Not found")</f>
        <v>Vietnam</v>
      </c>
      <c r="Q440" s="5" t="str">
        <f>_xlfn.XLOOKUP(Clean_Data[[#This Row],[Country]],country_region[Country],country_region[Region],"Not found")</f>
        <v>Southeast Asia</v>
      </c>
      <c r="R440" s="5" t="str">
        <f>_xlfn.XLOOKUP(Clean_Data[[#This Row],[Type of Event]],event_type_category[Type of Event],event_type_category[Category],"Not found")</f>
        <v>War &amp; Conflict</v>
      </c>
    </row>
    <row r="441" spans="1:18">
      <c r="A441">
        <v>475</v>
      </c>
      <c r="B441" t="s">
        <v>2132</v>
      </c>
      <c r="E441" t="s">
        <v>1084</v>
      </c>
      <c r="F441" t="s">
        <v>1578</v>
      </c>
      <c r="G441" t="s">
        <v>2133</v>
      </c>
      <c r="H441" t="s">
        <v>1578</v>
      </c>
      <c r="I441" t="s">
        <v>2134</v>
      </c>
      <c r="J441" t="s">
        <v>1980</v>
      </c>
      <c r="K441" t="s">
        <v>2116</v>
      </c>
      <c r="L441" t="s">
        <v>36</v>
      </c>
      <c r="M441">
        <v>1941</v>
      </c>
      <c r="N441" s="5">
        <f>ROUNDUP(Clean_Data[[#This Row],[Year_Num]]/100,0)</f>
        <v>20</v>
      </c>
      <c r="O441" s="5" t="str" cm="1">
        <f t="array" ref="O441">_xlfn.LET(_xlpm.y,Clean_Data[[#This Row],[Year_Num]],_xlfn.IFS(_xlpm.y&lt;500,"Ancient",_xlpm.y&lt;1500,"Medieval",_xlpm.y&lt;1800,"Early Modern",_xlpm.y&lt;1946,"Modern",TRUE,"Contemporary"))</f>
        <v>Modern</v>
      </c>
      <c r="P441" s="5" t="str">
        <f>_xlfn.XLOOKUP(Clean_Data[[#This Row],[Country]],country_region[Country],country_region[Country_Standard],"Not found")</f>
        <v>Vietnam</v>
      </c>
      <c r="Q441" s="5" t="str">
        <f>_xlfn.XLOOKUP(Clean_Data[[#This Row],[Country]],country_region[Country],country_region[Region],"Not found")</f>
        <v>Southeast Asia</v>
      </c>
      <c r="R441" s="5" t="str">
        <f>_xlfn.XLOOKUP(Clean_Data[[#This Row],[Type of Event]],event_type_category[Type of Event],event_type_category[Category],"Not found")</f>
        <v>War &amp; Conflict</v>
      </c>
    </row>
    <row r="442" spans="1:18">
      <c r="A442">
        <v>476</v>
      </c>
      <c r="B442" t="s">
        <v>2135</v>
      </c>
      <c r="E442" t="s">
        <v>2136</v>
      </c>
      <c r="F442" t="s">
        <v>2137</v>
      </c>
      <c r="G442" t="s">
        <v>1022</v>
      </c>
      <c r="H442" t="s">
        <v>2138</v>
      </c>
      <c r="I442" t="s">
        <v>2139</v>
      </c>
      <c r="J442" t="s">
        <v>2140</v>
      </c>
      <c r="K442" t="s">
        <v>4960</v>
      </c>
      <c r="L442" t="s">
        <v>21</v>
      </c>
      <c r="M442">
        <v>1744</v>
      </c>
      <c r="N442" s="5">
        <f>ROUNDUP(Clean_Data[[#This Row],[Year_Num]]/100,0)</f>
        <v>18</v>
      </c>
      <c r="O442" s="5" t="str" cm="1">
        <f t="array" ref="O442">_xlfn.LET(_xlpm.y,Clean_Data[[#This Row],[Year_Num]],_xlfn.IFS(_xlpm.y&lt;500,"Ancient",_xlpm.y&lt;1500,"Medieval",_xlpm.y&lt;1800,"Early Modern",_xlpm.y&lt;1946,"Modern",TRUE,"Contemporary"))</f>
        <v>Early Modern</v>
      </c>
      <c r="P442" s="5" t="str">
        <f>_xlfn.XLOOKUP(Clean_Data[[#This Row],[Country]],country_region[Country],country_region[Country_Standard],"Not found")</f>
        <v>Saudi Arabia</v>
      </c>
      <c r="Q442" s="5" t="str">
        <f>_xlfn.XLOOKUP(Clean_Data[[#This Row],[Country]],country_region[Country],country_region[Region],"Not found")</f>
        <v>Middle East &amp; North Africa</v>
      </c>
      <c r="R442" s="5" t="str">
        <f>_xlfn.XLOOKUP(Clean_Data[[#This Row],[Type of Event]],event_type_category[Type of Event],event_type_category[Category],"Not found")</f>
        <v>Independence &amp; Nation-Building</v>
      </c>
    </row>
    <row r="443" spans="1:18">
      <c r="A443">
        <v>477</v>
      </c>
      <c r="B443" t="s">
        <v>2142</v>
      </c>
      <c r="E443" t="s">
        <v>2143</v>
      </c>
      <c r="F443" t="s">
        <v>2137</v>
      </c>
      <c r="G443" t="s">
        <v>2144</v>
      </c>
      <c r="H443" t="s">
        <v>2138</v>
      </c>
      <c r="I443" t="s">
        <v>2145</v>
      </c>
      <c r="J443" t="s">
        <v>2140</v>
      </c>
      <c r="K443" t="s">
        <v>2146</v>
      </c>
      <c r="L443" t="s">
        <v>54</v>
      </c>
      <c r="M443">
        <v>1818</v>
      </c>
      <c r="N443" s="5">
        <f>ROUNDUP(Clean_Data[[#This Row],[Year_Num]]/100,0)</f>
        <v>19</v>
      </c>
      <c r="O443" s="5" t="str" cm="1">
        <f t="array" ref="O443">_xlfn.LET(_xlpm.y,Clean_Data[[#This Row],[Year_Num]],_xlfn.IFS(_xlpm.y&lt;500,"Ancient",_xlpm.y&lt;1500,"Medieval",_xlpm.y&lt;1800,"Early Modern",_xlpm.y&lt;1946,"Modern",TRUE,"Contemporary"))</f>
        <v>Modern</v>
      </c>
      <c r="P443" s="5" t="str">
        <f>_xlfn.XLOOKUP(Clean_Data[[#This Row],[Country]],country_region[Country],country_region[Country_Standard],"Not found")</f>
        <v>Saudi Arabia</v>
      </c>
      <c r="Q443" s="5" t="str">
        <f>_xlfn.XLOOKUP(Clean_Data[[#This Row],[Country]],country_region[Country],country_region[Region],"Not found")</f>
        <v>Middle East &amp; North Africa</v>
      </c>
      <c r="R443" s="5" t="str">
        <f>_xlfn.XLOOKUP(Clean_Data[[#This Row],[Type of Event]],event_type_category[Type of Event],event_type_category[Category],"Not found")</f>
        <v>War &amp; Conflict</v>
      </c>
    </row>
    <row r="444" spans="1:18">
      <c r="A444">
        <v>478</v>
      </c>
      <c r="B444" t="s">
        <v>2147</v>
      </c>
      <c r="E444" t="s">
        <v>2148</v>
      </c>
      <c r="F444" t="s">
        <v>2137</v>
      </c>
      <c r="G444" t="s">
        <v>1022</v>
      </c>
      <c r="H444" t="s">
        <v>2149</v>
      </c>
      <c r="I444" t="s">
        <v>2150</v>
      </c>
      <c r="J444" t="s">
        <v>2140</v>
      </c>
      <c r="K444" t="s">
        <v>2151</v>
      </c>
      <c r="L444" t="s">
        <v>21</v>
      </c>
      <c r="M444">
        <v>1824</v>
      </c>
      <c r="N444" s="5">
        <f>ROUNDUP(Clean_Data[[#This Row],[Year_Num]]/100,0)</f>
        <v>19</v>
      </c>
      <c r="O444" s="5" t="str" cm="1">
        <f t="array" ref="O444">_xlfn.LET(_xlpm.y,Clean_Data[[#This Row],[Year_Num]],_xlfn.IFS(_xlpm.y&lt;500,"Ancient",_xlpm.y&lt;1500,"Medieval",_xlpm.y&lt;1800,"Early Modern",_xlpm.y&lt;1946,"Modern",TRUE,"Contemporary"))</f>
        <v>Modern</v>
      </c>
      <c r="P444" s="5" t="str">
        <f>_xlfn.XLOOKUP(Clean_Data[[#This Row],[Country]],country_region[Country],country_region[Country_Standard],"Not found")</f>
        <v>Saudi Arabia</v>
      </c>
      <c r="Q444" s="5" t="str">
        <f>_xlfn.XLOOKUP(Clean_Data[[#This Row],[Country]],country_region[Country],country_region[Region],"Not found")</f>
        <v>Middle East &amp; North Africa</v>
      </c>
      <c r="R444" s="5" t="str">
        <f>_xlfn.XLOOKUP(Clean_Data[[#This Row],[Type of Event]],event_type_category[Type of Event],event_type_category[Category],"Not found")</f>
        <v>Independence &amp; Nation-Building</v>
      </c>
    </row>
    <row r="445" spans="1:18">
      <c r="A445">
        <v>479</v>
      </c>
      <c r="B445" t="s">
        <v>2152</v>
      </c>
      <c r="E445" t="s">
        <v>2153</v>
      </c>
      <c r="F445" t="s">
        <v>2137</v>
      </c>
      <c r="G445" t="s">
        <v>1042</v>
      </c>
      <c r="H445" t="s">
        <v>2154</v>
      </c>
      <c r="I445" t="s">
        <v>2155</v>
      </c>
      <c r="J445" t="s">
        <v>2154</v>
      </c>
      <c r="K445" t="s">
        <v>2156</v>
      </c>
      <c r="L445" t="s">
        <v>21</v>
      </c>
      <c r="M445">
        <v>1925</v>
      </c>
      <c r="N445" s="5">
        <f>ROUNDUP(Clean_Data[[#This Row],[Year_Num]]/100,0)</f>
        <v>20</v>
      </c>
      <c r="O445" s="5" t="str" cm="1">
        <f t="array" ref="O445">_xlfn.LET(_xlpm.y,Clean_Data[[#This Row],[Year_Num]],_xlfn.IFS(_xlpm.y&lt;500,"Ancient",_xlpm.y&lt;1500,"Medieval",_xlpm.y&lt;1800,"Early Modern",_xlpm.y&lt;1946,"Modern",TRUE,"Contemporary"))</f>
        <v>Modern</v>
      </c>
      <c r="P445" s="5" t="str">
        <f>_xlfn.XLOOKUP(Clean_Data[[#This Row],[Country]],country_region[Country],country_region[Country_Standard],"Not found")</f>
        <v>Saudi Arabia</v>
      </c>
      <c r="Q445" s="5" t="str">
        <f>_xlfn.XLOOKUP(Clean_Data[[#This Row],[Country]],country_region[Country],country_region[Region],"Not found")</f>
        <v>Middle East &amp; North Africa</v>
      </c>
      <c r="R445" s="5" t="str">
        <f>_xlfn.XLOOKUP(Clean_Data[[#This Row],[Type of Event]],event_type_category[Type of Event],event_type_category[Category],"Not found")</f>
        <v>Independence &amp; Nation-Building</v>
      </c>
    </row>
    <row r="446" spans="1:18">
      <c r="A446">
        <v>480</v>
      </c>
      <c r="B446" t="s">
        <v>2157</v>
      </c>
      <c r="E446" t="s">
        <v>1109</v>
      </c>
      <c r="F446" t="s">
        <v>2137</v>
      </c>
      <c r="G446" t="s">
        <v>1470</v>
      </c>
      <c r="H446" t="s">
        <v>2158</v>
      </c>
      <c r="I446" t="s">
        <v>2159</v>
      </c>
      <c r="J446" t="s">
        <v>2140</v>
      </c>
      <c r="K446" t="s">
        <v>2160</v>
      </c>
      <c r="L446" t="s">
        <v>36</v>
      </c>
      <c r="M446">
        <v>1929</v>
      </c>
      <c r="N446" s="5">
        <f>ROUNDUP(Clean_Data[[#This Row],[Year_Num]]/100,0)</f>
        <v>20</v>
      </c>
      <c r="O446" s="5" t="str" cm="1">
        <f t="array" ref="O446">_xlfn.LET(_xlpm.y,Clean_Data[[#This Row],[Year_Num]],_xlfn.IFS(_xlpm.y&lt;500,"Ancient",_xlpm.y&lt;1500,"Medieval",_xlpm.y&lt;1800,"Early Modern",_xlpm.y&lt;1946,"Modern",TRUE,"Contemporary"))</f>
        <v>Modern</v>
      </c>
      <c r="P446" s="5" t="str">
        <f>_xlfn.XLOOKUP(Clean_Data[[#This Row],[Country]],country_region[Country],country_region[Country_Standard],"Not found")</f>
        <v>Saudi Arabia</v>
      </c>
      <c r="Q446" s="5" t="str">
        <f>_xlfn.XLOOKUP(Clean_Data[[#This Row],[Country]],country_region[Country],country_region[Region],"Not found")</f>
        <v>Middle East &amp; North Africa</v>
      </c>
      <c r="R446" s="5" t="str">
        <f>_xlfn.XLOOKUP(Clean_Data[[#This Row],[Type of Event]],event_type_category[Type of Event],event_type_category[Category],"Not found")</f>
        <v>War &amp; Conflict</v>
      </c>
    </row>
    <row r="447" spans="1:18">
      <c r="A447">
        <v>481</v>
      </c>
      <c r="B447" t="s">
        <v>2161</v>
      </c>
      <c r="E447" t="s">
        <v>2104</v>
      </c>
      <c r="F447" t="s">
        <v>2137</v>
      </c>
      <c r="G447" t="s">
        <v>1400</v>
      </c>
      <c r="H447" t="s">
        <v>2162</v>
      </c>
      <c r="I447" t="s">
        <v>2163</v>
      </c>
      <c r="J447" t="s">
        <v>2164</v>
      </c>
      <c r="K447" t="s">
        <v>2165</v>
      </c>
      <c r="L447" t="s">
        <v>21</v>
      </c>
      <c r="M447">
        <v>1927</v>
      </c>
      <c r="N447" s="5">
        <f>ROUNDUP(Clean_Data[[#This Row],[Year_Num]]/100,0)</f>
        <v>20</v>
      </c>
      <c r="O447" s="5" t="str" cm="1">
        <f t="array" ref="O447">_xlfn.LET(_xlpm.y,Clean_Data[[#This Row],[Year_Num]],_xlfn.IFS(_xlpm.y&lt;500,"Ancient",_xlpm.y&lt;1500,"Medieval",_xlpm.y&lt;1800,"Early Modern",_xlpm.y&lt;1946,"Modern",TRUE,"Contemporary"))</f>
        <v>Modern</v>
      </c>
      <c r="P447" s="5" t="str">
        <f>_xlfn.XLOOKUP(Clean_Data[[#This Row],[Country]],country_region[Country],country_region[Country_Standard],"Not found")</f>
        <v>Saudi Arabia</v>
      </c>
      <c r="Q447" s="5" t="str">
        <f>_xlfn.XLOOKUP(Clean_Data[[#This Row],[Country]],country_region[Country],country_region[Region],"Not found")</f>
        <v>Middle East &amp; North Africa</v>
      </c>
      <c r="R447" s="5" t="str">
        <f>_xlfn.XLOOKUP(Clean_Data[[#This Row],[Type of Event]],event_type_category[Type of Event],event_type_category[Category],"Not found")</f>
        <v>Diplomacy &amp; International Relations</v>
      </c>
    </row>
    <row r="448" spans="1:18">
      <c r="A448">
        <v>482</v>
      </c>
      <c r="B448" t="s">
        <v>2166</v>
      </c>
      <c r="C448" t="s">
        <v>65</v>
      </c>
      <c r="D448" t="s">
        <v>267</v>
      </c>
      <c r="E448" t="s">
        <v>1077</v>
      </c>
      <c r="F448" t="s">
        <v>2137</v>
      </c>
      <c r="G448" t="s">
        <v>2167</v>
      </c>
      <c r="H448" t="s">
        <v>2168</v>
      </c>
      <c r="I448" t="s">
        <v>2169</v>
      </c>
      <c r="J448" t="s">
        <v>2137</v>
      </c>
      <c r="K448" t="s">
        <v>2170</v>
      </c>
      <c r="L448" t="s">
        <v>21</v>
      </c>
      <c r="M448">
        <v>1938</v>
      </c>
      <c r="N448" s="5">
        <f>ROUNDUP(Clean_Data[[#This Row],[Year_Num]]/100,0)</f>
        <v>20</v>
      </c>
      <c r="O448" s="5" t="str" cm="1">
        <f t="array" ref="O448">_xlfn.LET(_xlpm.y,Clean_Data[[#This Row],[Year_Num]],_xlfn.IFS(_xlpm.y&lt;500,"Ancient",_xlpm.y&lt;1500,"Medieval",_xlpm.y&lt;1800,"Early Modern",_xlpm.y&lt;1946,"Modern",TRUE,"Contemporary"))</f>
        <v>Modern</v>
      </c>
      <c r="P448" s="5" t="str">
        <f>_xlfn.XLOOKUP(Clean_Data[[#This Row],[Country]],country_region[Country],country_region[Country_Standard],"Not found")</f>
        <v>Saudi Arabia</v>
      </c>
      <c r="Q448" s="5" t="str">
        <f>_xlfn.XLOOKUP(Clean_Data[[#This Row],[Country]],country_region[Country],country_region[Region],"Not found")</f>
        <v>Middle East &amp; North Africa</v>
      </c>
      <c r="R448" s="5" t="str">
        <f>_xlfn.XLOOKUP(Clean_Data[[#This Row],[Type of Event]],event_type_category[Type of Event],event_type_category[Category],"Not found")</f>
        <v>Economy &amp; Infrastructure</v>
      </c>
    </row>
    <row r="449" spans="1:18">
      <c r="A449">
        <v>483</v>
      </c>
      <c r="B449" t="s">
        <v>2171</v>
      </c>
      <c r="E449" t="s">
        <v>2172</v>
      </c>
      <c r="F449" t="s">
        <v>2137</v>
      </c>
      <c r="G449" t="s">
        <v>2167</v>
      </c>
      <c r="H449" t="s">
        <v>2173</v>
      </c>
      <c r="I449" t="s">
        <v>2174</v>
      </c>
      <c r="J449" t="s">
        <v>2137</v>
      </c>
      <c r="K449" t="s">
        <v>2175</v>
      </c>
      <c r="L449" t="s">
        <v>21</v>
      </c>
      <c r="M449">
        <v>1933</v>
      </c>
      <c r="N449" s="5">
        <f>ROUNDUP(Clean_Data[[#This Row],[Year_Num]]/100,0)</f>
        <v>20</v>
      </c>
      <c r="O449" s="5" t="str" cm="1">
        <f t="array" ref="O449">_xlfn.LET(_xlpm.y,Clean_Data[[#This Row],[Year_Num]],_xlfn.IFS(_xlpm.y&lt;500,"Ancient",_xlpm.y&lt;1500,"Medieval",_xlpm.y&lt;1800,"Early Modern",_xlpm.y&lt;1946,"Modern",TRUE,"Contemporary"))</f>
        <v>Modern</v>
      </c>
      <c r="P449" s="5" t="str">
        <f>_xlfn.XLOOKUP(Clean_Data[[#This Row],[Country]],country_region[Country],country_region[Country_Standard],"Not found")</f>
        <v>Saudi Arabia</v>
      </c>
      <c r="Q449" s="5" t="str">
        <f>_xlfn.XLOOKUP(Clean_Data[[#This Row],[Country]],country_region[Country],country_region[Region],"Not found")</f>
        <v>Middle East &amp; North Africa</v>
      </c>
      <c r="R449" s="5" t="str">
        <f>_xlfn.XLOOKUP(Clean_Data[[#This Row],[Type of Event]],event_type_category[Type of Event],event_type_category[Category],"Not found")</f>
        <v>Economy &amp; Infrastructure</v>
      </c>
    </row>
    <row r="450" spans="1:18">
      <c r="A450">
        <v>484</v>
      </c>
      <c r="B450" t="s">
        <v>2176</v>
      </c>
      <c r="C450" t="s">
        <v>99</v>
      </c>
      <c r="D450" t="s">
        <v>286</v>
      </c>
      <c r="E450" t="s">
        <v>1501</v>
      </c>
      <c r="F450" t="s">
        <v>2137</v>
      </c>
      <c r="G450" t="s">
        <v>2177</v>
      </c>
      <c r="H450" t="s">
        <v>2137</v>
      </c>
      <c r="I450" t="s">
        <v>2178</v>
      </c>
      <c r="J450" t="s">
        <v>2140</v>
      </c>
      <c r="K450" t="s">
        <v>2156</v>
      </c>
      <c r="L450" t="s">
        <v>21</v>
      </c>
      <c r="M450">
        <v>1932</v>
      </c>
      <c r="N450" s="5">
        <f>ROUNDUP(Clean_Data[[#This Row],[Year_Num]]/100,0)</f>
        <v>20</v>
      </c>
      <c r="O450" s="5" t="str" cm="1">
        <f t="array" ref="O450">_xlfn.LET(_xlpm.y,Clean_Data[[#This Row],[Year_Num]],_xlfn.IFS(_xlpm.y&lt;500,"Ancient",_xlpm.y&lt;1500,"Medieval",_xlpm.y&lt;1800,"Early Modern",_xlpm.y&lt;1946,"Modern",TRUE,"Contemporary"))</f>
        <v>Modern</v>
      </c>
      <c r="P450" s="5" t="str">
        <f>_xlfn.XLOOKUP(Clean_Data[[#This Row],[Country]],country_region[Country],country_region[Country_Standard],"Not found")</f>
        <v>Saudi Arabia</v>
      </c>
      <c r="Q450" s="5" t="str">
        <f>_xlfn.XLOOKUP(Clean_Data[[#This Row],[Country]],country_region[Country],country_region[Region],"Not found")</f>
        <v>Middle East &amp; North Africa</v>
      </c>
      <c r="R450" s="5" t="str">
        <f>_xlfn.XLOOKUP(Clean_Data[[#This Row],[Type of Event]],event_type_category[Type of Event],event_type_category[Category],"Not found")</f>
        <v>Independence &amp; Nation-Building</v>
      </c>
    </row>
    <row r="451" spans="1:18">
      <c r="A451">
        <v>485</v>
      </c>
      <c r="B451" t="s">
        <v>4961</v>
      </c>
      <c r="E451" t="s">
        <v>811</v>
      </c>
      <c r="F451" t="s">
        <v>2137</v>
      </c>
      <c r="G451" t="s">
        <v>138</v>
      </c>
      <c r="H451" t="s">
        <v>2180</v>
      </c>
      <c r="I451" t="s">
        <v>4962</v>
      </c>
      <c r="J451" t="s">
        <v>2182</v>
      </c>
      <c r="K451" t="s">
        <v>2156</v>
      </c>
      <c r="L451" t="s">
        <v>36</v>
      </c>
      <c r="M451">
        <v>1934</v>
      </c>
      <c r="N451" s="5">
        <f>ROUNDUP(Clean_Data[[#This Row],[Year_Num]]/100,0)</f>
        <v>20</v>
      </c>
      <c r="O451" s="5" t="str" cm="1">
        <f t="array" ref="O451">_xlfn.LET(_xlpm.y,Clean_Data[[#This Row],[Year_Num]],_xlfn.IFS(_xlpm.y&lt;500,"Ancient",_xlpm.y&lt;1500,"Medieval",_xlpm.y&lt;1800,"Early Modern",_xlpm.y&lt;1946,"Modern",TRUE,"Contemporary"))</f>
        <v>Modern</v>
      </c>
      <c r="P451" s="5" t="str">
        <f>_xlfn.XLOOKUP(Clean_Data[[#This Row],[Country]],country_region[Country],country_region[Country_Standard],"Not found")</f>
        <v>Saudi Arabia</v>
      </c>
      <c r="Q451" s="5" t="str">
        <f>_xlfn.XLOOKUP(Clean_Data[[#This Row],[Country]],country_region[Country],country_region[Region],"Not found")</f>
        <v>Middle East &amp; North Africa</v>
      </c>
      <c r="R451" s="5" t="str">
        <f>_xlfn.XLOOKUP(Clean_Data[[#This Row],[Type of Event]],event_type_category[Type of Event],event_type_category[Category],"Not found")</f>
        <v>War &amp; Conflict</v>
      </c>
    </row>
    <row r="452" spans="1:18">
      <c r="A452">
        <v>486</v>
      </c>
      <c r="B452" t="s">
        <v>2183</v>
      </c>
      <c r="E452" t="s">
        <v>2184</v>
      </c>
      <c r="F452" t="s">
        <v>2137</v>
      </c>
      <c r="G452" t="s">
        <v>1683</v>
      </c>
      <c r="H452" t="s">
        <v>2185</v>
      </c>
      <c r="I452" t="s">
        <v>2186</v>
      </c>
      <c r="J452" t="s">
        <v>2187</v>
      </c>
      <c r="K452" t="s">
        <v>2156</v>
      </c>
      <c r="L452" t="s">
        <v>21</v>
      </c>
      <c r="M452">
        <v>1926</v>
      </c>
      <c r="N452" s="5">
        <f>ROUNDUP(Clean_Data[[#This Row],[Year_Num]]/100,0)</f>
        <v>20</v>
      </c>
      <c r="O452" s="5" t="str" cm="1">
        <f t="array" ref="O452">_xlfn.LET(_xlpm.y,Clean_Data[[#This Row],[Year_Num]],_xlfn.IFS(_xlpm.y&lt;500,"Ancient",_xlpm.y&lt;1500,"Medieval",_xlpm.y&lt;1800,"Early Modern",_xlpm.y&lt;1946,"Modern",TRUE,"Contemporary"))</f>
        <v>Modern</v>
      </c>
      <c r="P452" s="5" t="str">
        <f>_xlfn.XLOOKUP(Clean_Data[[#This Row],[Country]],country_region[Country],country_region[Country_Standard],"Not found")</f>
        <v>Saudi Arabia</v>
      </c>
      <c r="Q452" s="5" t="str">
        <f>_xlfn.XLOOKUP(Clean_Data[[#This Row],[Country]],country_region[Country],country_region[Region],"Not found")</f>
        <v>Middle East &amp; North Africa</v>
      </c>
      <c r="R452" s="5" t="str">
        <f>_xlfn.XLOOKUP(Clean_Data[[#This Row],[Type of Event]],event_type_category[Type of Event],event_type_category[Category],"Not found")</f>
        <v>Society &amp; Health</v>
      </c>
    </row>
    <row r="453" spans="1:18">
      <c r="A453">
        <v>487</v>
      </c>
      <c r="B453" t="s">
        <v>2188</v>
      </c>
      <c r="E453" t="s">
        <v>2104</v>
      </c>
      <c r="F453" t="s">
        <v>2137</v>
      </c>
      <c r="G453" t="s">
        <v>2189</v>
      </c>
      <c r="H453" t="s">
        <v>2137</v>
      </c>
      <c r="I453" t="s">
        <v>2190</v>
      </c>
      <c r="J453" t="s">
        <v>2187</v>
      </c>
      <c r="K453" t="s">
        <v>2156</v>
      </c>
      <c r="L453" t="s">
        <v>21</v>
      </c>
      <c r="M453">
        <v>1927</v>
      </c>
      <c r="N453" s="5">
        <f>ROUNDUP(Clean_Data[[#This Row],[Year_Num]]/100,0)</f>
        <v>20</v>
      </c>
      <c r="O453" s="5" t="str" cm="1">
        <f t="array" ref="O453">_xlfn.LET(_xlpm.y,Clean_Data[[#This Row],[Year_Num]],_xlfn.IFS(_xlpm.y&lt;500,"Ancient",_xlpm.y&lt;1500,"Medieval",_xlpm.y&lt;1800,"Early Modern",_xlpm.y&lt;1946,"Modern",TRUE,"Contemporary"))</f>
        <v>Modern</v>
      </c>
      <c r="P453" s="5" t="str">
        <f>_xlfn.XLOOKUP(Clean_Data[[#This Row],[Country]],country_region[Country],country_region[Country_Standard],"Not found")</f>
        <v>Saudi Arabia</v>
      </c>
      <c r="Q453" s="5" t="str">
        <f>_xlfn.XLOOKUP(Clean_Data[[#This Row],[Country]],country_region[Country],country_region[Region],"Not found")</f>
        <v>Middle East &amp; North Africa</v>
      </c>
      <c r="R453" s="5" t="str">
        <f>_xlfn.XLOOKUP(Clean_Data[[#This Row],[Type of Event]],event_type_category[Type of Event],event_type_category[Category],"Not found")</f>
        <v>Politics &amp; Law</v>
      </c>
    </row>
    <row r="454" spans="1:18">
      <c r="A454">
        <v>488</v>
      </c>
      <c r="B454" t="s">
        <v>2191</v>
      </c>
      <c r="E454" t="s">
        <v>1113</v>
      </c>
      <c r="F454" t="s">
        <v>2137</v>
      </c>
      <c r="G454" t="s">
        <v>213</v>
      </c>
      <c r="H454" t="s">
        <v>2137</v>
      </c>
      <c r="I454" t="s">
        <v>2192</v>
      </c>
      <c r="J454" t="s">
        <v>2187</v>
      </c>
      <c r="K454" t="s">
        <v>2156</v>
      </c>
      <c r="L454" t="s">
        <v>21</v>
      </c>
      <c r="M454">
        <v>1928</v>
      </c>
      <c r="N454" s="5">
        <f>ROUNDUP(Clean_Data[[#This Row],[Year_Num]]/100,0)</f>
        <v>20</v>
      </c>
      <c r="O454" s="5" t="str" cm="1">
        <f t="array" ref="O454">_xlfn.LET(_xlpm.y,Clean_Data[[#This Row],[Year_Num]],_xlfn.IFS(_xlpm.y&lt;500,"Ancient",_xlpm.y&lt;1500,"Medieval",_xlpm.y&lt;1800,"Early Modern",_xlpm.y&lt;1946,"Modern",TRUE,"Contemporary"))</f>
        <v>Modern</v>
      </c>
      <c r="P454" s="5" t="str">
        <f>_xlfn.XLOOKUP(Clean_Data[[#This Row],[Country]],country_region[Country],country_region[Country_Standard],"Not found")</f>
        <v>Saudi Arabia</v>
      </c>
      <c r="Q454" s="5" t="str">
        <f>_xlfn.XLOOKUP(Clean_Data[[#This Row],[Country]],country_region[Country],country_region[Region],"Not found")</f>
        <v>Middle East &amp; North Africa</v>
      </c>
      <c r="R454" s="5" t="str">
        <f>_xlfn.XLOOKUP(Clean_Data[[#This Row],[Type of Event]],event_type_category[Type of Event],event_type_category[Category],"Not found")</f>
        <v>Economy &amp; Infrastructure</v>
      </c>
    </row>
    <row r="455" spans="1:18">
      <c r="A455">
        <v>489</v>
      </c>
      <c r="B455" t="s">
        <v>2193</v>
      </c>
      <c r="E455" t="s">
        <v>1314</v>
      </c>
      <c r="F455" t="s">
        <v>2137</v>
      </c>
      <c r="G455" t="s">
        <v>2194</v>
      </c>
      <c r="H455" t="s">
        <v>2195</v>
      </c>
      <c r="I455" t="s">
        <v>2196</v>
      </c>
      <c r="J455" t="s">
        <v>2187</v>
      </c>
      <c r="K455" t="s">
        <v>2156</v>
      </c>
      <c r="L455" t="s">
        <v>21</v>
      </c>
      <c r="M455">
        <v>1912</v>
      </c>
      <c r="N455" s="5">
        <f>ROUNDUP(Clean_Data[[#This Row],[Year_Num]]/100,0)</f>
        <v>20</v>
      </c>
      <c r="O455" s="5" t="str" cm="1">
        <f t="array" ref="O455">_xlfn.LET(_xlpm.y,Clean_Data[[#This Row],[Year_Num]],_xlfn.IFS(_xlpm.y&lt;500,"Ancient",_xlpm.y&lt;1500,"Medieval",_xlpm.y&lt;1800,"Early Modern",_xlpm.y&lt;1946,"Modern",TRUE,"Contemporary"))</f>
        <v>Modern</v>
      </c>
      <c r="P455" s="5" t="str">
        <f>_xlfn.XLOOKUP(Clean_Data[[#This Row],[Country]],country_region[Country],country_region[Country_Standard],"Not found")</f>
        <v>Saudi Arabia</v>
      </c>
      <c r="Q455" s="5" t="str">
        <f>_xlfn.XLOOKUP(Clean_Data[[#This Row],[Country]],country_region[Country],country_region[Region],"Not found")</f>
        <v>Middle East &amp; North Africa</v>
      </c>
      <c r="R455" s="5" t="str">
        <f>_xlfn.XLOOKUP(Clean_Data[[#This Row],[Type of Event]],event_type_category[Type of Event],event_type_category[Category],"Not found")</f>
        <v>War &amp; Conflict</v>
      </c>
    </row>
    <row r="456" spans="1:18">
      <c r="A456">
        <v>490</v>
      </c>
      <c r="B456" t="s">
        <v>2197</v>
      </c>
      <c r="E456" t="s">
        <v>811</v>
      </c>
      <c r="F456" t="s">
        <v>2137</v>
      </c>
      <c r="G456" t="s">
        <v>1400</v>
      </c>
      <c r="H456" t="s">
        <v>2198</v>
      </c>
      <c r="I456" t="s">
        <v>4963</v>
      </c>
      <c r="J456" t="s">
        <v>2182</v>
      </c>
      <c r="K456" t="s">
        <v>2156</v>
      </c>
      <c r="L456" t="s">
        <v>21</v>
      </c>
      <c r="M456">
        <v>1934</v>
      </c>
      <c r="N456" s="5">
        <f>ROUNDUP(Clean_Data[[#This Row],[Year_Num]]/100,0)</f>
        <v>20</v>
      </c>
      <c r="O456" s="5" t="str" cm="1">
        <f t="array" ref="O456">_xlfn.LET(_xlpm.y,Clean_Data[[#This Row],[Year_Num]],_xlfn.IFS(_xlpm.y&lt;500,"Ancient",_xlpm.y&lt;1500,"Medieval",_xlpm.y&lt;1800,"Early Modern",_xlpm.y&lt;1946,"Modern",TRUE,"Contemporary"))</f>
        <v>Modern</v>
      </c>
      <c r="P456" s="5" t="str">
        <f>_xlfn.XLOOKUP(Clean_Data[[#This Row],[Country]],country_region[Country],country_region[Country_Standard],"Not found")</f>
        <v>Saudi Arabia</v>
      </c>
      <c r="Q456" s="5" t="str">
        <f>_xlfn.XLOOKUP(Clean_Data[[#This Row],[Country]],country_region[Country],country_region[Region],"Not found")</f>
        <v>Middle East &amp; North Africa</v>
      </c>
      <c r="R456" s="5" t="str">
        <f>_xlfn.XLOOKUP(Clean_Data[[#This Row],[Type of Event]],event_type_category[Type of Event],event_type_category[Category],"Not found")</f>
        <v>Diplomacy &amp; International Relations</v>
      </c>
    </row>
    <row r="457" spans="1:18">
      <c r="A457">
        <v>491</v>
      </c>
      <c r="B457" t="s">
        <v>4964</v>
      </c>
      <c r="E457" t="s">
        <v>656</v>
      </c>
      <c r="F457" t="s">
        <v>2137</v>
      </c>
      <c r="G457" t="s">
        <v>138</v>
      </c>
      <c r="H457" t="s">
        <v>2201</v>
      </c>
      <c r="I457" t="s">
        <v>2202</v>
      </c>
      <c r="J457" t="s">
        <v>2201</v>
      </c>
      <c r="K457" t="s">
        <v>2156</v>
      </c>
      <c r="L457" t="s">
        <v>36</v>
      </c>
      <c r="M457">
        <v>1948</v>
      </c>
      <c r="N457" s="5">
        <f>ROUNDUP(Clean_Data[[#This Row],[Year_Num]]/100,0)</f>
        <v>20</v>
      </c>
      <c r="O457" s="5" t="str" cm="1">
        <f t="array" ref="O457">_xlfn.LET(_xlpm.y,Clean_Data[[#This Row],[Year_Num]],_xlfn.IFS(_xlpm.y&lt;500,"Ancient",_xlpm.y&lt;1500,"Medieval",_xlpm.y&lt;1800,"Early Modern",_xlpm.y&lt;1946,"Modern",TRUE,"Contemporary"))</f>
        <v>Contemporary</v>
      </c>
      <c r="P457" s="5" t="str">
        <f>_xlfn.XLOOKUP(Clean_Data[[#This Row],[Country]],country_region[Country],country_region[Country_Standard],"Not found")</f>
        <v>Saudi Arabia</v>
      </c>
      <c r="Q457" s="5" t="str">
        <f>_xlfn.XLOOKUP(Clean_Data[[#This Row],[Country]],country_region[Country],country_region[Region],"Not found")</f>
        <v>Middle East &amp; North Africa</v>
      </c>
      <c r="R457" s="5" t="str">
        <f>_xlfn.XLOOKUP(Clean_Data[[#This Row],[Type of Event]],event_type_category[Type of Event],event_type_category[Category],"Not found")</f>
        <v>War &amp; Conflict</v>
      </c>
    </row>
    <row r="458" spans="1:18">
      <c r="A458">
        <v>492</v>
      </c>
      <c r="B458" t="s">
        <v>4965</v>
      </c>
      <c r="E458" t="s">
        <v>58</v>
      </c>
      <c r="F458" t="s">
        <v>2137</v>
      </c>
      <c r="G458" t="s">
        <v>2167</v>
      </c>
      <c r="H458" t="s">
        <v>2204</v>
      </c>
      <c r="I458" t="s">
        <v>2205</v>
      </c>
      <c r="J458" t="s">
        <v>2137</v>
      </c>
      <c r="K458" t="s">
        <v>2170</v>
      </c>
      <c r="L458" t="s">
        <v>21</v>
      </c>
      <c r="M458">
        <v>1947</v>
      </c>
      <c r="N458" s="5">
        <f>ROUNDUP(Clean_Data[[#This Row],[Year_Num]]/100,0)</f>
        <v>20</v>
      </c>
      <c r="O458" s="5" t="str" cm="1">
        <f t="array" ref="O458">_xlfn.LET(_xlpm.y,Clean_Data[[#This Row],[Year_Num]],_xlfn.IFS(_xlpm.y&lt;500,"Ancient",_xlpm.y&lt;1500,"Medieval",_xlpm.y&lt;1800,"Early Modern",_xlpm.y&lt;1946,"Modern",TRUE,"Contemporary"))</f>
        <v>Contemporary</v>
      </c>
      <c r="P458" s="5" t="str">
        <f>_xlfn.XLOOKUP(Clean_Data[[#This Row],[Country]],country_region[Country],country_region[Country_Standard],"Not found")</f>
        <v>Saudi Arabia</v>
      </c>
      <c r="Q458" s="5" t="str">
        <f>_xlfn.XLOOKUP(Clean_Data[[#This Row],[Country]],country_region[Country],country_region[Region],"Not found")</f>
        <v>Middle East &amp; North Africa</v>
      </c>
      <c r="R458" s="5" t="str">
        <f>_xlfn.XLOOKUP(Clean_Data[[#This Row],[Type of Event]],event_type_category[Type of Event],event_type_category[Category],"Not found")</f>
        <v>Economy &amp; Infrastructure</v>
      </c>
    </row>
    <row r="459" spans="1:18">
      <c r="A459">
        <v>493</v>
      </c>
      <c r="B459" t="s">
        <v>2206</v>
      </c>
      <c r="E459" t="s">
        <v>682</v>
      </c>
      <c r="F459" t="s">
        <v>2137</v>
      </c>
      <c r="G459" t="s">
        <v>342</v>
      </c>
      <c r="H459" t="s">
        <v>2207</v>
      </c>
      <c r="I459" t="s">
        <v>2208</v>
      </c>
      <c r="J459" t="s">
        <v>2209</v>
      </c>
      <c r="K459" t="s">
        <v>2156</v>
      </c>
      <c r="L459" t="s">
        <v>21</v>
      </c>
      <c r="M459">
        <v>1945</v>
      </c>
      <c r="N459" s="5">
        <f>ROUNDUP(Clean_Data[[#This Row],[Year_Num]]/100,0)</f>
        <v>20</v>
      </c>
      <c r="O459" s="5" t="str" cm="1">
        <f t="array" ref="O459">_xlfn.LET(_xlpm.y,Clean_Data[[#This Row],[Year_Num]],_xlfn.IFS(_xlpm.y&lt;500,"Ancient",_xlpm.y&lt;1500,"Medieval",_xlpm.y&lt;1800,"Early Modern",_xlpm.y&lt;1946,"Modern",TRUE,"Contemporary"))</f>
        <v>Modern</v>
      </c>
      <c r="P459" s="5" t="str">
        <f>_xlfn.XLOOKUP(Clean_Data[[#This Row],[Country]],country_region[Country],country_region[Country_Standard],"Not found")</f>
        <v>Saudi Arabia</v>
      </c>
      <c r="Q459" s="5" t="str">
        <f>_xlfn.XLOOKUP(Clean_Data[[#This Row],[Country]],country_region[Country],country_region[Region],"Not found")</f>
        <v>Middle East &amp; North Africa</v>
      </c>
      <c r="R459" s="5" t="str">
        <f>_xlfn.XLOOKUP(Clean_Data[[#This Row],[Type of Event]],event_type_category[Type of Event],event_type_category[Category],"Not found")</f>
        <v>Diplomacy &amp; International Relations</v>
      </c>
    </row>
    <row r="460" spans="1:18">
      <c r="A460">
        <v>494</v>
      </c>
      <c r="B460" t="s">
        <v>2210</v>
      </c>
      <c r="E460" t="s">
        <v>947</v>
      </c>
      <c r="F460" t="s">
        <v>2137</v>
      </c>
      <c r="G460" t="s">
        <v>2211</v>
      </c>
      <c r="H460" t="s">
        <v>2162</v>
      </c>
      <c r="I460" t="s">
        <v>2212</v>
      </c>
      <c r="J460" t="s">
        <v>2187</v>
      </c>
      <c r="K460" t="s">
        <v>2156</v>
      </c>
      <c r="L460" t="s">
        <v>21</v>
      </c>
      <c r="M460">
        <v>1949</v>
      </c>
      <c r="N460" s="5">
        <f>ROUNDUP(Clean_Data[[#This Row],[Year_Num]]/100,0)</f>
        <v>20</v>
      </c>
      <c r="O460" s="5" t="str" cm="1">
        <f t="array" ref="O460">_xlfn.LET(_xlpm.y,Clean_Data[[#This Row],[Year_Num]],_xlfn.IFS(_xlpm.y&lt;500,"Ancient",_xlpm.y&lt;1500,"Medieval",_xlpm.y&lt;1800,"Early Modern",_xlpm.y&lt;1946,"Modern",TRUE,"Contemporary"))</f>
        <v>Contemporary</v>
      </c>
      <c r="P460" s="5" t="str">
        <f>_xlfn.XLOOKUP(Clean_Data[[#This Row],[Country]],country_region[Country],country_region[Country_Standard],"Not found")</f>
        <v>Saudi Arabia</v>
      </c>
      <c r="Q460" s="5" t="str">
        <f>_xlfn.XLOOKUP(Clean_Data[[#This Row],[Country]],country_region[Country],country_region[Region],"Not found")</f>
        <v>Middle East &amp; North Africa</v>
      </c>
      <c r="R460" s="5" t="str">
        <f>_xlfn.XLOOKUP(Clean_Data[[#This Row],[Type of Event]],event_type_category[Type of Event],event_type_category[Category],"Not found")</f>
        <v>Society &amp; Health</v>
      </c>
    </row>
    <row r="461" spans="1:18">
      <c r="A461">
        <v>495</v>
      </c>
      <c r="B461" t="s">
        <v>2213</v>
      </c>
      <c r="E461" t="s">
        <v>58</v>
      </c>
      <c r="F461" t="s">
        <v>2137</v>
      </c>
      <c r="G461" t="s">
        <v>2214</v>
      </c>
      <c r="H461" t="s">
        <v>478</v>
      </c>
      <c r="I461" t="s">
        <v>2215</v>
      </c>
      <c r="J461" t="s">
        <v>2216</v>
      </c>
      <c r="K461" t="s">
        <v>2156</v>
      </c>
      <c r="L461" t="s">
        <v>21</v>
      </c>
      <c r="M461">
        <v>1947</v>
      </c>
      <c r="N461" s="5">
        <f>ROUNDUP(Clean_Data[[#This Row],[Year_Num]]/100,0)</f>
        <v>20</v>
      </c>
      <c r="O461" s="5" t="str" cm="1">
        <f t="array" ref="O461">_xlfn.LET(_xlpm.y,Clean_Data[[#This Row],[Year_Num]],_xlfn.IFS(_xlpm.y&lt;500,"Ancient",_xlpm.y&lt;1500,"Medieval",_xlpm.y&lt;1800,"Early Modern",_xlpm.y&lt;1946,"Modern",TRUE,"Contemporary"))</f>
        <v>Contemporary</v>
      </c>
      <c r="P461" s="5" t="str">
        <f>_xlfn.XLOOKUP(Clean_Data[[#This Row],[Country]],country_region[Country],country_region[Country_Standard],"Not found")</f>
        <v>Saudi Arabia</v>
      </c>
      <c r="Q461" s="5" t="str">
        <f>_xlfn.XLOOKUP(Clean_Data[[#This Row],[Country]],country_region[Country],country_region[Region],"Not found")</f>
        <v>Middle East &amp; North Africa</v>
      </c>
      <c r="R461" s="5" t="str">
        <f>_xlfn.XLOOKUP(Clean_Data[[#This Row],[Type of Event]],event_type_category[Type of Event],event_type_category[Category],"Not found")</f>
        <v>Diplomacy &amp; International Relations</v>
      </c>
    </row>
    <row r="462" spans="1:18">
      <c r="A462">
        <v>496</v>
      </c>
      <c r="B462" t="s">
        <v>2217</v>
      </c>
      <c r="C462" t="s">
        <v>218</v>
      </c>
      <c r="D462" t="s">
        <v>158</v>
      </c>
      <c r="E462" t="s">
        <v>682</v>
      </c>
      <c r="F462" t="s">
        <v>2137</v>
      </c>
      <c r="G462" t="s">
        <v>489</v>
      </c>
      <c r="I462" t="s">
        <v>2218</v>
      </c>
      <c r="J462" t="s">
        <v>2187</v>
      </c>
      <c r="L462" t="s">
        <v>21</v>
      </c>
      <c r="M462">
        <v>1945</v>
      </c>
      <c r="N462" s="5">
        <f>ROUNDUP(Clean_Data[[#This Row],[Year_Num]]/100,0)</f>
        <v>20</v>
      </c>
      <c r="O462" s="5" t="str" cm="1">
        <f t="array" ref="O462">_xlfn.LET(_xlpm.y,Clean_Data[[#This Row],[Year_Num]],_xlfn.IFS(_xlpm.y&lt;500,"Ancient",_xlpm.y&lt;1500,"Medieval",_xlpm.y&lt;1800,"Early Modern",_xlpm.y&lt;1946,"Modern",TRUE,"Contemporary"))</f>
        <v>Modern</v>
      </c>
      <c r="P462" s="5" t="str">
        <f>_xlfn.XLOOKUP(Clean_Data[[#This Row],[Country]],country_region[Country],country_region[Country_Standard],"Not found")</f>
        <v>Saudi Arabia</v>
      </c>
      <c r="Q462" s="5" t="str">
        <f>_xlfn.XLOOKUP(Clean_Data[[#This Row],[Country]],country_region[Country],country_region[Region],"Not found")</f>
        <v>Middle East &amp; North Africa</v>
      </c>
      <c r="R462" s="5" t="str">
        <f>_xlfn.XLOOKUP(Clean_Data[[#This Row],[Type of Event]],event_type_category[Type of Event],event_type_category[Category],"Not found")</f>
        <v>Diplomacy &amp; International Relations</v>
      </c>
    </row>
    <row r="463" spans="1:18">
      <c r="A463">
        <v>497</v>
      </c>
      <c r="B463" t="s">
        <v>2219</v>
      </c>
      <c r="E463" t="s">
        <v>1391</v>
      </c>
      <c r="F463" t="s">
        <v>2137</v>
      </c>
      <c r="G463" t="s">
        <v>2167</v>
      </c>
      <c r="I463" t="s">
        <v>2220</v>
      </c>
      <c r="J463" t="s">
        <v>2187</v>
      </c>
      <c r="L463" t="s">
        <v>21</v>
      </c>
      <c r="M463">
        <v>1970</v>
      </c>
      <c r="N463" s="5">
        <f>ROUNDUP(Clean_Data[[#This Row],[Year_Num]]/100,0)</f>
        <v>20</v>
      </c>
      <c r="O463" s="5" t="str" cm="1">
        <f t="array" ref="O463">_xlfn.LET(_xlpm.y,Clean_Data[[#This Row],[Year_Num]],_xlfn.IFS(_xlpm.y&lt;500,"Ancient",_xlpm.y&lt;1500,"Medieval",_xlpm.y&lt;1800,"Early Modern",_xlpm.y&lt;1946,"Modern",TRUE,"Contemporary"))</f>
        <v>Contemporary</v>
      </c>
      <c r="P463" s="5" t="str">
        <f>_xlfn.XLOOKUP(Clean_Data[[#This Row],[Country]],country_region[Country],country_region[Country_Standard],"Not found")</f>
        <v>Saudi Arabia</v>
      </c>
      <c r="Q463" s="5" t="str">
        <f>_xlfn.XLOOKUP(Clean_Data[[#This Row],[Country]],country_region[Country],country_region[Region],"Not found")</f>
        <v>Middle East &amp; North Africa</v>
      </c>
      <c r="R463" s="5" t="str">
        <f>_xlfn.XLOOKUP(Clean_Data[[#This Row],[Type of Event]],event_type_category[Type of Event],event_type_category[Category],"Not found")</f>
        <v>Economy &amp; Infrastructure</v>
      </c>
    </row>
    <row r="464" spans="1:18">
      <c r="A464">
        <v>499</v>
      </c>
      <c r="B464" t="s">
        <v>4966</v>
      </c>
      <c r="C464" t="s">
        <v>91</v>
      </c>
      <c r="D464" t="s">
        <v>83</v>
      </c>
      <c r="E464" t="s">
        <v>883</v>
      </c>
      <c r="F464" t="s">
        <v>2137</v>
      </c>
      <c r="G464" t="s">
        <v>2222</v>
      </c>
      <c r="H464" t="s">
        <v>2185</v>
      </c>
      <c r="I464" t="s">
        <v>4967</v>
      </c>
      <c r="J464" t="s">
        <v>2224</v>
      </c>
      <c r="K464" t="s">
        <v>4968</v>
      </c>
      <c r="L464" t="s">
        <v>54</v>
      </c>
      <c r="M464">
        <v>1979</v>
      </c>
      <c r="N464" s="5">
        <f>ROUNDUP(Clean_Data[[#This Row],[Year_Num]]/100,0)</f>
        <v>20</v>
      </c>
      <c r="O464" s="5" t="str" cm="1">
        <f t="array" ref="O464">_xlfn.LET(_xlpm.y,Clean_Data[[#This Row],[Year_Num]],_xlfn.IFS(_xlpm.y&lt;500,"Ancient",_xlpm.y&lt;1500,"Medieval",_xlpm.y&lt;1800,"Early Modern",_xlpm.y&lt;1946,"Modern",TRUE,"Contemporary"))</f>
        <v>Contemporary</v>
      </c>
      <c r="P464" s="5" t="str">
        <f>_xlfn.XLOOKUP(Clean_Data[[#This Row],[Country]],country_region[Country],country_region[Country_Standard],"Not found")</f>
        <v>Saudi Arabia</v>
      </c>
      <c r="Q464" s="5" t="str">
        <f>_xlfn.XLOOKUP(Clean_Data[[#This Row],[Country]],country_region[Country],country_region[Region],"Not found")</f>
        <v>Middle East &amp; North Africa</v>
      </c>
      <c r="R464" s="5" t="str">
        <f>_xlfn.XLOOKUP(Clean_Data[[#This Row],[Type of Event]],event_type_category[Type of Event],event_type_category[Category],"Not found")</f>
        <v>War &amp; Conflict</v>
      </c>
    </row>
    <row r="465" spans="1:18">
      <c r="A465">
        <v>501</v>
      </c>
      <c r="B465" t="s">
        <v>4969</v>
      </c>
      <c r="C465" t="s">
        <v>325</v>
      </c>
      <c r="D465" t="s">
        <v>286</v>
      </c>
      <c r="E465" t="s">
        <v>455</v>
      </c>
      <c r="F465" t="s">
        <v>2137</v>
      </c>
      <c r="G465" t="s">
        <v>2227</v>
      </c>
      <c r="H465" t="s">
        <v>2228</v>
      </c>
      <c r="I465" t="s">
        <v>2229</v>
      </c>
      <c r="J465" t="s">
        <v>2230</v>
      </c>
      <c r="K465" t="s">
        <v>2231</v>
      </c>
      <c r="L465" t="s">
        <v>36</v>
      </c>
      <c r="M465">
        <v>1980</v>
      </c>
      <c r="N465" s="5">
        <f>ROUNDUP(Clean_Data[[#This Row],[Year_Num]]/100,0)</f>
        <v>20</v>
      </c>
      <c r="O465" s="5" t="str" cm="1">
        <f t="array" ref="O465">_xlfn.LET(_xlpm.y,Clean_Data[[#This Row],[Year_Num]],_xlfn.IFS(_xlpm.y&lt;500,"Ancient",_xlpm.y&lt;1500,"Medieval",_xlpm.y&lt;1800,"Early Modern",_xlpm.y&lt;1946,"Modern",TRUE,"Contemporary"))</f>
        <v>Contemporary</v>
      </c>
      <c r="P465" s="5" t="str">
        <f>_xlfn.XLOOKUP(Clean_Data[[#This Row],[Country]],country_region[Country],country_region[Country_Standard],"Not found")</f>
        <v>Saudi Arabia</v>
      </c>
      <c r="Q465" s="5" t="str">
        <f>_xlfn.XLOOKUP(Clean_Data[[#This Row],[Country]],country_region[Country],country_region[Region],"Not found")</f>
        <v>Middle East &amp; North Africa</v>
      </c>
      <c r="R465" s="5" t="str">
        <f>_xlfn.XLOOKUP(Clean_Data[[#This Row],[Type of Event]],event_type_category[Type of Event],event_type_category[Category],"Not found")</f>
        <v>War &amp; Conflict</v>
      </c>
    </row>
    <row r="466" spans="1:18">
      <c r="A466">
        <v>502</v>
      </c>
      <c r="B466" t="s">
        <v>2232</v>
      </c>
      <c r="C466" t="s">
        <v>331</v>
      </c>
      <c r="D466" t="s">
        <v>57</v>
      </c>
      <c r="E466" t="s">
        <v>627</v>
      </c>
      <c r="F466" t="s">
        <v>2137</v>
      </c>
      <c r="G466" t="s">
        <v>138</v>
      </c>
      <c r="H466" t="s">
        <v>2233</v>
      </c>
      <c r="I466" t="s">
        <v>2234</v>
      </c>
      <c r="J466" t="s">
        <v>2230</v>
      </c>
      <c r="K466" t="s">
        <v>2235</v>
      </c>
      <c r="L466" t="s">
        <v>36</v>
      </c>
      <c r="M466">
        <v>1990</v>
      </c>
      <c r="N466" s="5">
        <f>ROUNDUP(Clean_Data[[#This Row],[Year_Num]]/100,0)</f>
        <v>20</v>
      </c>
      <c r="O466" s="5" t="str" cm="1">
        <f t="array" ref="O466">_xlfn.LET(_xlpm.y,Clean_Data[[#This Row],[Year_Num]],_xlfn.IFS(_xlpm.y&lt;500,"Ancient",_xlpm.y&lt;1500,"Medieval",_xlpm.y&lt;1800,"Early Modern",_xlpm.y&lt;1946,"Modern",TRUE,"Contemporary"))</f>
        <v>Contemporary</v>
      </c>
      <c r="P466" s="5" t="str">
        <f>_xlfn.XLOOKUP(Clean_Data[[#This Row],[Country]],country_region[Country],country_region[Country_Standard],"Not found")</f>
        <v>Saudi Arabia</v>
      </c>
      <c r="Q466" s="5" t="str">
        <f>_xlfn.XLOOKUP(Clean_Data[[#This Row],[Country]],country_region[Country],country_region[Region],"Not found")</f>
        <v>Middle East &amp; North Africa</v>
      </c>
      <c r="R466" s="5" t="str">
        <f>_xlfn.XLOOKUP(Clean_Data[[#This Row],[Type of Event]],event_type_category[Type of Event],event_type_category[Category],"Not found")</f>
        <v>War &amp; Conflict</v>
      </c>
    </row>
    <row r="467" spans="1:18">
      <c r="A467">
        <v>504</v>
      </c>
      <c r="B467" t="s">
        <v>2236</v>
      </c>
      <c r="C467" t="s">
        <v>46</v>
      </c>
      <c r="D467" t="s">
        <v>267</v>
      </c>
      <c r="E467" t="s">
        <v>893</v>
      </c>
      <c r="F467" t="s">
        <v>2137</v>
      </c>
      <c r="G467" t="s">
        <v>1803</v>
      </c>
      <c r="I467" t="s">
        <v>2237</v>
      </c>
      <c r="J467" t="s">
        <v>2187</v>
      </c>
      <c r="K467" t="s">
        <v>2238</v>
      </c>
      <c r="L467" t="s">
        <v>21</v>
      </c>
      <c r="M467">
        <v>1992</v>
      </c>
      <c r="N467" s="5">
        <f>ROUNDUP(Clean_Data[[#This Row],[Year_Num]]/100,0)</f>
        <v>20</v>
      </c>
      <c r="O467" s="5" t="str" cm="1">
        <f t="array" ref="O467">_xlfn.LET(_xlpm.y,Clean_Data[[#This Row],[Year_Num]],_xlfn.IFS(_xlpm.y&lt;500,"Ancient",_xlpm.y&lt;1500,"Medieval",_xlpm.y&lt;1800,"Early Modern",_xlpm.y&lt;1946,"Modern",TRUE,"Contemporary"))</f>
        <v>Contemporary</v>
      </c>
      <c r="P467" s="5" t="str">
        <f>_xlfn.XLOOKUP(Clean_Data[[#This Row],[Country]],country_region[Country],country_region[Country_Standard],"Not found")</f>
        <v>Saudi Arabia</v>
      </c>
      <c r="Q467" s="5" t="str">
        <f>_xlfn.XLOOKUP(Clean_Data[[#This Row],[Country]],country_region[Country],country_region[Region],"Not found")</f>
        <v>Middle East &amp; North Africa</v>
      </c>
      <c r="R467" s="5" t="str">
        <f>_xlfn.XLOOKUP(Clean_Data[[#This Row],[Type of Event]],event_type_category[Type of Event],event_type_category[Category],"Not found")</f>
        <v>Politics &amp; Law</v>
      </c>
    </row>
    <row r="468" spans="1:18">
      <c r="A468">
        <v>505</v>
      </c>
      <c r="B468" t="s">
        <v>2239</v>
      </c>
      <c r="C468" t="s">
        <v>74</v>
      </c>
      <c r="D468" t="s">
        <v>66</v>
      </c>
      <c r="E468" t="s">
        <v>144</v>
      </c>
      <c r="F468" t="s">
        <v>2137</v>
      </c>
      <c r="G468" t="s">
        <v>2240</v>
      </c>
      <c r="I468" t="s">
        <v>2241</v>
      </c>
      <c r="J468" t="s">
        <v>2242</v>
      </c>
      <c r="K468" t="s">
        <v>2231</v>
      </c>
      <c r="L468" t="s">
        <v>21</v>
      </c>
      <c r="M468">
        <v>2005</v>
      </c>
      <c r="N468" s="5">
        <f>ROUNDUP(Clean_Data[[#This Row],[Year_Num]]/100,0)</f>
        <v>21</v>
      </c>
      <c r="O468" s="5" t="str" cm="1">
        <f t="array" ref="O468">_xlfn.LET(_xlpm.y,Clean_Data[[#This Row],[Year_Num]],_xlfn.IFS(_xlpm.y&lt;500,"Ancient",_xlpm.y&lt;1500,"Medieval",_xlpm.y&lt;1800,"Early Modern",_xlpm.y&lt;1946,"Modern",TRUE,"Contemporary"))</f>
        <v>Contemporary</v>
      </c>
      <c r="P468" s="5" t="str">
        <f>_xlfn.XLOOKUP(Clean_Data[[#This Row],[Country]],country_region[Country],country_region[Country_Standard],"Not found")</f>
        <v>Saudi Arabia</v>
      </c>
      <c r="Q468" s="5" t="str">
        <f>_xlfn.XLOOKUP(Clean_Data[[#This Row],[Country]],country_region[Country],country_region[Region],"Not found")</f>
        <v>Middle East &amp; North Africa</v>
      </c>
      <c r="R468" s="5" t="str">
        <f>_xlfn.XLOOKUP(Clean_Data[[#This Row],[Type of Event]],event_type_category[Type of Event],event_type_category[Category],"Not found")</f>
        <v>Economy &amp; Infrastructure</v>
      </c>
    </row>
    <row r="469" spans="1:18">
      <c r="A469">
        <v>507</v>
      </c>
      <c r="B469" t="s">
        <v>2243</v>
      </c>
      <c r="C469" t="s">
        <v>353</v>
      </c>
      <c r="D469" t="s">
        <v>47</v>
      </c>
      <c r="E469" t="s">
        <v>2244</v>
      </c>
      <c r="F469" t="s">
        <v>2137</v>
      </c>
      <c r="G469" t="s">
        <v>85</v>
      </c>
      <c r="H469" t="s">
        <v>2195</v>
      </c>
      <c r="I469" t="s">
        <v>4970</v>
      </c>
      <c r="J469" t="s">
        <v>2246</v>
      </c>
      <c r="K469" t="s">
        <v>4971</v>
      </c>
      <c r="L469" t="s">
        <v>54</v>
      </c>
      <c r="M469">
        <v>2003</v>
      </c>
      <c r="N469" s="5">
        <f>ROUNDUP(Clean_Data[[#This Row],[Year_Num]]/100,0)</f>
        <v>21</v>
      </c>
      <c r="O469" s="5" t="str" cm="1">
        <f t="array" ref="O469">_xlfn.LET(_xlpm.y,Clean_Data[[#This Row],[Year_Num]],_xlfn.IFS(_xlpm.y&lt;500,"Ancient",_xlpm.y&lt;1500,"Medieval",_xlpm.y&lt;1800,"Early Modern",_xlpm.y&lt;1946,"Modern",TRUE,"Contemporary"))</f>
        <v>Contemporary</v>
      </c>
      <c r="P469" s="5" t="str">
        <f>_xlfn.XLOOKUP(Clean_Data[[#This Row],[Country]],country_region[Country],country_region[Country_Standard],"Not found")</f>
        <v>Saudi Arabia</v>
      </c>
      <c r="Q469" s="5" t="str">
        <f>_xlfn.XLOOKUP(Clean_Data[[#This Row],[Country]],country_region[Country],country_region[Region],"Not found")</f>
        <v>Middle East &amp; North Africa</v>
      </c>
      <c r="R469" s="5" t="str">
        <f>_xlfn.XLOOKUP(Clean_Data[[#This Row],[Type of Event]],event_type_category[Type of Event],event_type_category[Category],"Not found")</f>
        <v>War &amp; Conflict</v>
      </c>
    </row>
    <row r="470" spans="1:18">
      <c r="A470">
        <v>508</v>
      </c>
      <c r="B470" t="s">
        <v>2248</v>
      </c>
      <c r="C470" t="s">
        <v>46</v>
      </c>
      <c r="D470" t="s">
        <v>57</v>
      </c>
      <c r="E470" t="s">
        <v>144</v>
      </c>
      <c r="F470" t="s">
        <v>2137</v>
      </c>
      <c r="G470" t="s">
        <v>1967</v>
      </c>
      <c r="I470" t="s">
        <v>2249</v>
      </c>
      <c r="J470" t="s">
        <v>2187</v>
      </c>
      <c r="K470" t="s">
        <v>2250</v>
      </c>
      <c r="L470" t="s">
        <v>21</v>
      </c>
      <c r="M470">
        <v>2005</v>
      </c>
      <c r="N470" s="5">
        <f>ROUNDUP(Clean_Data[[#This Row],[Year_Num]]/100,0)</f>
        <v>21</v>
      </c>
      <c r="O470" s="5" t="str" cm="1">
        <f t="array" ref="O470">_xlfn.LET(_xlpm.y,Clean_Data[[#This Row],[Year_Num]],_xlfn.IFS(_xlpm.y&lt;500,"Ancient",_xlpm.y&lt;1500,"Medieval",_xlpm.y&lt;1800,"Early Modern",_xlpm.y&lt;1946,"Modern",TRUE,"Contemporary"))</f>
        <v>Contemporary</v>
      </c>
      <c r="P470" s="5" t="str">
        <f>_xlfn.XLOOKUP(Clean_Data[[#This Row],[Country]],country_region[Country],country_region[Country_Standard],"Not found")</f>
        <v>Saudi Arabia</v>
      </c>
      <c r="Q470" s="5" t="str">
        <f>_xlfn.XLOOKUP(Clean_Data[[#This Row],[Country]],country_region[Country],country_region[Region],"Not found")</f>
        <v>Middle East &amp; North Africa</v>
      </c>
      <c r="R470" s="5" t="str">
        <f>_xlfn.XLOOKUP(Clean_Data[[#This Row],[Type of Event]],event_type_category[Type of Event],event_type_category[Category],"Not found")</f>
        <v>Politics &amp; Law</v>
      </c>
    </row>
    <row r="471" spans="1:18">
      <c r="A471">
        <v>509</v>
      </c>
      <c r="B471" t="s">
        <v>2251</v>
      </c>
      <c r="C471" t="s">
        <v>200</v>
      </c>
      <c r="D471" t="s">
        <v>39</v>
      </c>
      <c r="E471" t="s">
        <v>299</v>
      </c>
      <c r="F471" t="s">
        <v>2137</v>
      </c>
      <c r="G471" t="s">
        <v>2252</v>
      </c>
      <c r="I471" t="s">
        <v>2253</v>
      </c>
      <c r="J471" t="s">
        <v>2187</v>
      </c>
      <c r="K471" t="s">
        <v>2254</v>
      </c>
      <c r="L471" t="s">
        <v>21</v>
      </c>
      <c r="M471">
        <v>2016</v>
      </c>
      <c r="N471" s="5">
        <f>ROUNDUP(Clean_Data[[#This Row],[Year_Num]]/100,0)</f>
        <v>21</v>
      </c>
      <c r="O471" s="5" t="str" cm="1">
        <f t="array" ref="O471">_xlfn.LET(_xlpm.y,Clean_Data[[#This Row],[Year_Num]],_xlfn.IFS(_xlpm.y&lt;500,"Ancient",_xlpm.y&lt;1500,"Medieval",_xlpm.y&lt;1800,"Early Modern",_xlpm.y&lt;1946,"Modern",TRUE,"Contemporary"))</f>
        <v>Contemporary</v>
      </c>
      <c r="P471" s="5" t="str">
        <f>_xlfn.XLOOKUP(Clean_Data[[#This Row],[Country]],country_region[Country],country_region[Country_Standard],"Not found")</f>
        <v>Saudi Arabia</v>
      </c>
      <c r="Q471" s="5" t="str">
        <f>_xlfn.XLOOKUP(Clean_Data[[#This Row],[Country]],country_region[Country],country_region[Region],"Not found")</f>
        <v>Middle East &amp; North Africa</v>
      </c>
      <c r="R471" s="5" t="str">
        <f>_xlfn.XLOOKUP(Clean_Data[[#This Row],[Type of Event]],event_type_category[Type of Event],event_type_category[Category],"Not found")</f>
        <v>Economy &amp; Infrastructure</v>
      </c>
    </row>
    <row r="472" spans="1:18">
      <c r="A472">
        <v>510</v>
      </c>
      <c r="B472" t="s">
        <v>2255</v>
      </c>
      <c r="C472" t="s">
        <v>218</v>
      </c>
      <c r="D472" t="s">
        <v>100</v>
      </c>
      <c r="E472" t="s">
        <v>174</v>
      </c>
      <c r="F472" t="s">
        <v>2137</v>
      </c>
      <c r="G472" t="s">
        <v>1683</v>
      </c>
      <c r="I472" t="s">
        <v>2256</v>
      </c>
      <c r="J472" t="s">
        <v>2257</v>
      </c>
      <c r="K472" t="s">
        <v>2254</v>
      </c>
      <c r="L472" t="s">
        <v>21</v>
      </c>
      <c r="M472">
        <v>2018</v>
      </c>
      <c r="N472" s="5">
        <f>ROUNDUP(Clean_Data[[#This Row],[Year_Num]]/100,0)</f>
        <v>21</v>
      </c>
      <c r="O472" s="5" t="str" cm="1">
        <f t="array" ref="O472">_xlfn.LET(_xlpm.y,Clean_Data[[#This Row],[Year_Num]],_xlfn.IFS(_xlpm.y&lt;500,"Ancient",_xlpm.y&lt;1500,"Medieval",_xlpm.y&lt;1800,"Early Modern",_xlpm.y&lt;1946,"Modern",TRUE,"Contemporary"))</f>
        <v>Contemporary</v>
      </c>
      <c r="P472" s="5" t="str">
        <f>_xlfn.XLOOKUP(Clean_Data[[#This Row],[Country]],country_region[Country],country_region[Country_Standard],"Not found")</f>
        <v>Saudi Arabia</v>
      </c>
      <c r="Q472" s="5" t="str">
        <f>_xlfn.XLOOKUP(Clean_Data[[#This Row],[Country]],country_region[Country],country_region[Region],"Not found")</f>
        <v>Middle East &amp; North Africa</v>
      </c>
      <c r="R472" s="5" t="str">
        <f>_xlfn.XLOOKUP(Clean_Data[[#This Row],[Type of Event]],event_type_category[Type of Event],event_type_category[Category],"Not found")</f>
        <v>Society &amp; Health</v>
      </c>
    </row>
    <row r="473" spans="1:18">
      <c r="A473">
        <v>511</v>
      </c>
      <c r="B473" t="s">
        <v>4972</v>
      </c>
      <c r="C473" t="s">
        <v>230</v>
      </c>
      <c r="D473" t="s">
        <v>83</v>
      </c>
      <c r="E473" t="s">
        <v>348</v>
      </c>
      <c r="F473" t="s">
        <v>2137</v>
      </c>
      <c r="G473" t="s">
        <v>2259</v>
      </c>
      <c r="H473" t="s">
        <v>2195</v>
      </c>
      <c r="I473" t="s">
        <v>4973</v>
      </c>
      <c r="J473" t="s">
        <v>2261</v>
      </c>
      <c r="K473" t="s">
        <v>2254</v>
      </c>
      <c r="L473" t="s">
        <v>36</v>
      </c>
      <c r="M473">
        <v>2017</v>
      </c>
      <c r="N473" s="5">
        <f>ROUNDUP(Clean_Data[[#This Row],[Year_Num]]/100,0)</f>
        <v>21</v>
      </c>
      <c r="O473" s="5" t="str" cm="1">
        <f t="array" ref="O473">_xlfn.LET(_xlpm.y,Clean_Data[[#This Row],[Year_Num]],_xlfn.IFS(_xlpm.y&lt;500,"Ancient",_xlpm.y&lt;1500,"Medieval",_xlpm.y&lt;1800,"Early Modern",_xlpm.y&lt;1946,"Modern",TRUE,"Contemporary"))</f>
        <v>Contemporary</v>
      </c>
      <c r="P473" s="5" t="str">
        <f>_xlfn.XLOOKUP(Clean_Data[[#This Row],[Country]],country_region[Country],country_region[Country_Standard],"Not found")</f>
        <v>Saudi Arabia</v>
      </c>
      <c r="Q473" s="5" t="str">
        <f>_xlfn.XLOOKUP(Clean_Data[[#This Row],[Country]],country_region[Country],country_region[Region],"Not found")</f>
        <v>Middle East &amp; North Africa</v>
      </c>
      <c r="R473" s="5" t="str">
        <f>_xlfn.XLOOKUP(Clean_Data[[#This Row],[Type of Event]],event_type_category[Type of Event],event_type_category[Category],"Not found")</f>
        <v>Politics &amp; Law</v>
      </c>
    </row>
    <row r="474" spans="1:18">
      <c r="A474">
        <v>512</v>
      </c>
      <c r="B474" t="s">
        <v>2262</v>
      </c>
      <c r="C474" t="s">
        <v>82</v>
      </c>
      <c r="D474" t="s">
        <v>267</v>
      </c>
      <c r="E474" t="s">
        <v>341</v>
      </c>
      <c r="F474" t="s">
        <v>2137</v>
      </c>
      <c r="G474" t="s">
        <v>1165</v>
      </c>
      <c r="H474" t="s">
        <v>2263</v>
      </c>
      <c r="I474" t="s">
        <v>2264</v>
      </c>
      <c r="J474" t="s">
        <v>2265</v>
      </c>
      <c r="K474" t="s">
        <v>2231</v>
      </c>
      <c r="L474" t="s">
        <v>54</v>
      </c>
      <c r="M474">
        <v>2015</v>
      </c>
      <c r="N474" s="5">
        <f>ROUNDUP(Clean_Data[[#This Row],[Year_Num]]/100,0)</f>
        <v>21</v>
      </c>
      <c r="O474" s="5" t="str" cm="1">
        <f t="array" ref="O474">_xlfn.LET(_xlpm.y,Clean_Data[[#This Row],[Year_Num]],_xlfn.IFS(_xlpm.y&lt;500,"Ancient",_xlpm.y&lt;1500,"Medieval",_xlpm.y&lt;1800,"Early Modern",_xlpm.y&lt;1946,"Modern",TRUE,"Contemporary"))</f>
        <v>Contemporary</v>
      </c>
      <c r="P474" s="5" t="str">
        <f>_xlfn.XLOOKUP(Clean_Data[[#This Row],[Country]],country_region[Country],country_region[Country_Standard],"Not found")</f>
        <v>Saudi Arabia</v>
      </c>
      <c r="Q474" s="5" t="str">
        <f>_xlfn.XLOOKUP(Clean_Data[[#This Row],[Country]],country_region[Country],country_region[Region],"Not found")</f>
        <v>Middle East &amp; North Africa</v>
      </c>
      <c r="R474" s="5" t="str">
        <f>_xlfn.XLOOKUP(Clean_Data[[#This Row],[Type of Event]],event_type_category[Type of Event],event_type_category[Category],"Not found")</f>
        <v>War &amp; Conflict</v>
      </c>
    </row>
    <row r="475" spans="1:18">
      <c r="A475">
        <v>513</v>
      </c>
      <c r="B475" t="s">
        <v>2266</v>
      </c>
      <c r="C475" t="s">
        <v>331</v>
      </c>
      <c r="D475" t="s">
        <v>158</v>
      </c>
      <c r="E475" t="s">
        <v>174</v>
      </c>
      <c r="F475" t="s">
        <v>2137</v>
      </c>
      <c r="G475" t="s">
        <v>2267</v>
      </c>
      <c r="H475" t="s">
        <v>2268</v>
      </c>
      <c r="I475" t="s">
        <v>2269</v>
      </c>
      <c r="J475" t="s">
        <v>79</v>
      </c>
      <c r="K475" t="s">
        <v>2231</v>
      </c>
      <c r="L475" t="s">
        <v>54</v>
      </c>
      <c r="M475">
        <v>2018</v>
      </c>
      <c r="N475" s="5">
        <f>ROUNDUP(Clean_Data[[#This Row],[Year_Num]]/100,0)</f>
        <v>21</v>
      </c>
      <c r="O475" s="5" t="str" cm="1">
        <f t="array" ref="O475">_xlfn.LET(_xlpm.y,Clean_Data[[#This Row],[Year_Num]],_xlfn.IFS(_xlpm.y&lt;500,"Ancient",_xlpm.y&lt;1500,"Medieval",_xlpm.y&lt;1800,"Early Modern",_xlpm.y&lt;1946,"Modern",TRUE,"Contemporary"))</f>
        <v>Contemporary</v>
      </c>
      <c r="P475" s="5" t="str">
        <f>_xlfn.XLOOKUP(Clean_Data[[#This Row],[Country]],country_region[Country],country_region[Country_Standard],"Not found")</f>
        <v>Saudi Arabia</v>
      </c>
      <c r="Q475" s="5" t="str">
        <f>_xlfn.XLOOKUP(Clean_Data[[#This Row],[Country]],country_region[Country],country_region[Region],"Not found")</f>
        <v>Middle East &amp; North Africa</v>
      </c>
      <c r="R475" s="5" t="str">
        <f>_xlfn.XLOOKUP(Clean_Data[[#This Row],[Type of Event]],event_type_category[Type of Event],event_type_category[Category],"Not found")</f>
        <v>Diplomacy &amp; International Relations</v>
      </c>
    </row>
    <row r="476" spans="1:18">
      <c r="A476">
        <v>514</v>
      </c>
      <c r="B476" t="s">
        <v>4974</v>
      </c>
      <c r="C476" t="s">
        <v>230</v>
      </c>
      <c r="D476" t="s">
        <v>83</v>
      </c>
      <c r="E476" t="s">
        <v>348</v>
      </c>
      <c r="F476" t="s">
        <v>2137</v>
      </c>
      <c r="G476" t="s">
        <v>4975</v>
      </c>
      <c r="H476" t="s">
        <v>2195</v>
      </c>
      <c r="I476" t="s">
        <v>4976</v>
      </c>
      <c r="J476" t="s">
        <v>2261</v>
      </c>
      <c r="K476" t="s">
        <v>2254</v>
      </c>
      <c r="L476" t="s">
        <v>36</v>
      </c>
      <c r="M476">
        <v>2017</v>
      </c>
      <c r="N476" s="5">
        <f>ROUNDUP(Clean_Data[[#This Row],[Year_Num]]/100,0)</f>
        <v>21</v>
      </c>
      <c r="O476" s="5" t="str" cm="1">
        <f t="array" ref="O476">_xlfn.LET(_xlpm.y,Clean_Data[[#This Row],[Year_Num]],_xlfn.IFS(_xlpm.y&lt;500,"Ancient",_xlpm.y&lt;1500,"Medieval",_xlpm.y&lt;1800,"Early Modern",_xlpm.y&lt;1946,"Modern",TRUE,"Contemporary"))</f>
        <v>Contemporary</v>
      </c>
      <c r="P476" s="5" t="str">
        <f>_xlfn.XLOOKUP(Clean_Data[[#This Row],[Country]],country_region[Country],country_region[Country_Standard],"Not found")</f>
        <v>Saudi Arabia</v>
      </c>
      <c r="Q476" s="5" t="str">
        <f>_xlfn.XLOOKUP(Clean_Data[[#This Row],[Country]],country_region[Country],country_region[Region],"Not found")</f>
        <v>Middle East &amp; North Africa</v>
      </c>
      <c r="R476" s="5" t="str">
        <f>_xlfn.XLOOKUP(Clean_Data[[#This Row],[Type of Event]],event_type_category[Type of Event],event_type_category[Category],"Not found")</f>
        <v>Politics &amp; Law</v>
      </c>
    </row>
    <row r="477" spans="1:18">
      <c r="A477">
        <v>515</v>
      </c>
      <c r="B477" t="s">
        <v>2273</v>
      </c>
      <c r="C477" t="s">
        <v>38</v>
      </c>
      <c r="D477" t="s">
        <v>83</v>
      </c>
      <c r="E477" t="s">
        <v>166</v>
      </c>
      <c r="F477" t="s">
        <v>2137</v>
      </c>
      <c r="G477" t="s">
        <v>2032</v>
      </c>
      <c r="H477" t="s">
        <v>2195</v>
      </c>
      <c r="I477" t="s">
        <v>2274</v>
      </c>
      <c r="J477" t="s">
        <v>2275</v>
      </c>
      <c r="K477" t="s">
        <v>2231</v>
      </c>
      <c r="L477" t="s">
        <v>36</v>
      </c>
      <c r="M477">
        <v>2020</v>
      </c>
      <c r="N477" s="5">
        <f>ROUNDUP(Clean_Data[[#This Row],[Year_Num]]/100,0)</f>
        <v>21</v>
      </c>
      <c r="O477" s="5" t="str" cm="1">
        <f t="array" ref="O477">_xlfn.LET(_xlpm.y,Clean_Data[[#This Row],[Year_Num]],_xlfn.IFS(_xlpm.y&lt;500,"Ancient",_xlpm.y&lt;1500,"Medieval",_xlpm.y&lt;1800,"Early Modern",_xlpm.y&lt;1946,"Modern",TRUE,"Contemporary"))</f>
        <v>Contemporary</v>
      </c>
      <c r="P477" s="5" t="str">
        <f>_xlfn.XLOOKUP(Clean_Data[[#This Row],[Country]],country_region[Country],country_region[Country_Standard],"Not found")</f>
        <v>Saudi Arabia</v>
      </c>
      <c r="Q477" s="5" t="str">
        <f>_xlfn.XLOOKUP(Clean_Data[[#This Row],[Country]],country_region[Country],country_region[Region],"Not found")</f>
        <v>Middle East &amp; North Africa</v>
      </c>
      <c r="R477" s="5" t="str">
        <f>_xlfn.XLOOKUP(Clean_Data[[#This Row],[Type of Event]],event_type_category[Type of Event],event_type_category[Category],"Not found")</f>
        <v>Diplomacy &amp; International Relations</v>
      </c>
    </row>
    <row r="478" spans="1:18">
      <c r="A478">
        <v>516</v>
      </c>
      <c r="B478" t="s">
        <v>2276</v>
      </c>
      <c r="C478" t="s">
        <v>633</v>
      </c>
      <c r="D478" t="s">
        <v>260</v>
      </c>
      <c r="E478" t="s">
        <v>2277</v>
      </c>
      <c r="F478" t="s">
        <v>2278</v>
      </c>
      <c r="G478" t="s">
        <v>1022</v>
      </c>
      <c r="H478" t="s">
        <v>2278</v>
      </c>
      <c r="I478" t="s">
        <v>2279</v>
      </c>
      <c r="J478" t="s">
        <v>2280</v>
      </c>
      <c r="K478" t="s">
        <v>2281</v>
      </c>
      <c r="L478" t="s">
        <v>21</v>
      </c>
      <c r="M478">
        <v>1819</v>
      </c>
      <c r="N478" s="5">
        <f>ROUNDUP(Clean_Data[[#This Row],[Year_Num]]/100,0)</f>
        <v>19</v>
      </c>
      <c r="O478" s="5" t="str" cm="1">
        <f t="array" ref="O478">_xlfn.LET(_xlpm.y,Clean_Data[[#This Row],[Year_Num]],_xlfn.IFS(_xlpm.y&lt;500,"Ancient",_xlpm.y&lt;1500,"Medieval",_xlpm.y&lt;1800,"Early Modern",_xlpm.y&lt;1946,"Modern",TRUE,"Contemporary"))</f>
        <v>Modern</v>
      </c>
      <c r="P478" s="5" t="str">
        <f>_xlfn.XLOOKUP(Clean_Data[[#This Row],[Country]],country_region[Country],country_region[Country_Standard],"Not found")</f>
        <v>Singapore</v>
      </c>
      <c r="Q478" s="5" t="str">
        <f>_xlfn.XLOOKUP(Clean_Data[[#This Row],[Country]],country_region[Country],country_region[Region],"Not found")</f>
        <v>Southeast Asia</v>
      </c>
      <c r="R478" s="5" t="str">
        <f>_xlfn.XLOOKUP(Clean_Data[[#This Row],[Type of Event]],event_type_category[Type of Event],event_type_category[Category],"Not found")</f>
        <v>Independence &amp; Nation-Building</v>
      </c>
    </row>
    <row r="479" spans="1:18">
      <c r="A479">
        <v>517</v>
      </c>
      <c r="B479" t="s">
        <v>2282</v>
      </c>
      <c r="C479" t="s">
        <v>321</v>
      </c>
      <c r="D479" t="s">
        <v>173</v>
      </c>
      <c r="E479" t="s">
        <v>2148</v>
      </c>
      <c r="F479" t="s">
        <v>2278</v>
      </c>
      <c r="G479" t="s">
        <v>1400</v>
      </c>
      <c r="H479" t="s">
        <v>2278</v>
      </c>
      <c r="I479" t="s">
        <v>2283</v>
      </c>
      <c r="J479" t="s">
        <v>2280</v>
      </c>
      <c r="K479" t="s">
        <v>2284</v>
      </c>
      <c r="L479" t="s">
        <v>21</v>
      </c>
      <c r="M479">
        <v>1824</v>
      </c>
      <c r="N479" s="5">
        <f>ROUNDUP(Clean_Data[[#This Row],[Year_Num]]/100,0)</f>
        <v>19</v>
      </c>
      <c r="O479" s="5" t="str" cm="1">
        <f t="array" ref="O479">_xlfn.LET(_xlpm.y,Clean_Data[[#This Row],[Year_Num]],_xlfn.IFS(_xlpm.y&lt;500,"Ancient",_xlpm.y&lt;1500,"Medieval",_xlpm.y&lt;1800,"Early Modern",_xlpm.y&lt;1946,"Modern",TRUE,"Contemporary"))</f>
        <v>Modern</v>
      </c>
      <c r="P479" s="5" t="str">
        <f>_xlfn.XLOOKUP(Clean_Data[[#This Row],[Country]],country_region[Country],country_region[Country_Standard],"Not found")</f>
        <v>Singapore</v>
      </c>
      <c r="Q479" s="5" t="str">
        <f>_xlfn.XLOOKUP(Clean_Data[[#This Row],[Country]],country_region[Country],country_region[Region],"Not found")</f>
        <v>Southeast Asia</v>
      </c>
      <c r="R479" s="5" t="str">
        <f>_xlfn.XLOOKUP(Clean_Data[[#This Row],[Type of Event]],event_type_category[Type of Event],event_type_category[Category],"Not found")</f>
        <v>Diplomacy &amp; International Relations</v>
      </c>
    </row>
    <row r="480" spans="1:18">
      <c r="A480">
        <v>518</v>
      </c>
      <c r="B480" t="s">
        <v>2285</v>
      </c>
      <c r="E480" t="s">
        <v>2286</v>
      </c>
      <c r="F480" t="s">
        <v>2278</v>
      </c>
      <c r="G480" t="s">
        <v>2287</v>
      </c>
      <c r="H480" t="s">
        <v>2288</v>
      </c>
      <c r="I480" t="s">
        <v>2289</v>
      </c>
      <c r="J480" t="s">
        <v>2280</v>
      </c>
      <c r="K480" t="s">
        <v>2290</v>
      </c>
      <c r="L480" t="s">
        <v>21</v>
      </c>
      <c r="M480">
        <v>1826</v>
      </c>
      <c r="N480" s="5">
        <f>ROUNDUP(Clean_Data[[#This Row],[Year_Num]]/100,0)</f>
        <v>19</v>
      </c>
      <c r="O480" s="5" t="str" cm="1">
        <f t="array" ref="O480">_xlfn.LET(_xlpm.y,Clean_Data[[#This Row],[Year_Num]],_xlfn.IFS(_xlpm.y&lt;500,"Ancient",_xlpm.y&lt;1500,"Medieval",_xlpm.y&lt;1800,"Early Modern",_xlpm.y&lt;1946,"Modern",TRUE,"Contemporary"))</f>
        <v>Modern</v>
      </c>
      <c r="P480" s="5" t="str">
        <f>_xlfn.XLOOKUP(Clean_Data[[#This Row],[Country]],country_region[Country],country_region[Country_Standard],"Not found")</f>
        <v>Singapore</v>
      </c>
      <c r="Q480" s="5" t="str">
        <f>_xlfn.XLOOKUP(Clean_Data[[#This Row],[Country]],country_region[Country],country_region[Region],"Not found")</f>
        <v>Southeast Asia</v>
      </c>
      <c r="R480" s="5" t="str">
        <f>_xlfn.XLOOKUP(Clean_Data[[#This Row],[Type of Event]],event_type_category[Type of Event],event_type_category[Category],"Not found")</f>
        <v>Politics &amp; Law</v>
      </c>
    </row>
    <row r="481" spans="1:18">
      <c r="A481">
        <v>519</v>
      </c>
      <c r="B481" t="s">
        <v>2291</v>
      </c>
      <c r="C481" t="s">
        <v>56</v>
      </c>
      <c r="D481" t="s">
        <v>173</v>
      </c>
      <c r="E481" t="s">
        <v>411</v>
      </c>
      <c r="F481" t="s">
        <v>2278</v>
      </c>
      <c r="G481" t="s">
        <v>1896</v>
      </c>
      <c r="H481" t="s">
        <v>2278</v>
      </c>
      <c r="I481" t="s">
        <v>2292</v>
      </c>
      <c r="J481" t="s">
        <v>2293</v>
      </c>
      <c r="K481" t="s">
        <v>2294</v>
      </c>
      <c r="L481" t="s">
        <v>54</v>
      </c>
      <c r="M481">
        <v>1942</v>
      </c>
      <c r="N481" s="5">
        <f>ROUNDUP(Clean_Data[[#This Row],[Year_Num]]/100,0)</f>
        <v>20</v>
      </c>
      <c r="O481" s="5" t="str" cm="1">
        <f t="array" ref="O481">_xlfn.LET(_xlpm.y,Clean_Data[[#This Row],[Year_Num]],_xlfn.IFS(_xlpm.y&lt;500,"Ancient",_xlpm.y&lt;1500,"Medieval",_xlpm.y&lt;1800,"Early Modern",_xlpm.y&lt;1946,"Modern",TRUE,"Contemporary"))</f>
        <v>Modern</v>
      </c>
      <c r="P481" s="5" t="str">
        <f>_xlfn.XLOOKUP(Clean_Data[[#This Row],[Country]],country_region[Country],country_region[Country_Standard],"Not found")</f>
        <v>Singapore</v>
      </c>
      <c r="Q481" s="5" t="str">
        <f>_xlfn.XLOOKUP(Clean_Data[[#This Row],[Country]],country_region[Country],country_region[Region],"Not found")</f>
        <v>Southeast Asia</v>
      </c>
      <c r="R481" s="5" t="str">
        <f>_xlfn.XLOOKUP(Clean_Data[[#This Row],[Type of Event]],event_type_category[Type of Event],event_type_category[Category],"Not found")</f>
        <v>War &amp; Conflict</v>
      </c>
    </row>
    <row r="482" spans="1:18">
      <c r="A482">
        <v>520</v>
      </c>
      <c r="B482" t="s">
        <v>2295</v>
      </c>
      <c r="C482" t="s">
        <v>298</v>
      </c>
      <c r="D482" t="s">
        <v>173</v>
      </c>
      <c r="E482" t="s">
        <v>411</v>
      </c>
      <c r="F482" t="s">
        <v>2278</v>
      </c>
      <c r="G482" t="s">
        <v>138</v>
      </c>
      <c r="H482" t="s">
        <v>2278</v>
      </c>
      <c r="I482" t="s">
        <v>2296</v>
      </c>
      <c r="J482" t="s">
        <v>2297</v>
      </c>
      <c r="K482" t="s">
        <v>2294</v>
      </c>
      <c r="L482" t="s">
        <v>54</v>
      </c>
      <c r="M482">
        <v>1942</v>
      </c>
      <c r="N482" s="5">
        <f>ROUNDUP(Clean_Data[[#This Row],[Year_Num]]/100,0)</f>
        <v>20</v>
      </c>
      <c r="O482" s="5" t="str" cm="1">
        <f t="array" ref="O482">_xlfn.LET(_xlpm.y,Clean_Data[[#This Row],[Year_Num]],_xlfn.IFS(_xlpm.y&lt;500,"Ancient",_xlpm.y&lt;1500,"Medieval",_xlpm.y&lt;1800,"Early Modern",_xlpm.y&lt;1946,"Modern",TRUE,"Contemporary"))</f>
        <v>Modern</v>
      </c>
      <c r="P482" s="5" t="str">
        <f>_xlfn.XLOOKUP(Clean_Data[[#This Row],[Country]],country_region[Country],country_region[Country_Standard],"Not found")</f>
        <v>Singapore</v>
      </c>
      <c r="Q482" s="5" t="str">
        <f>_xlfn.XLOOKUP(Clean_Data[[#This Row],[Country]],country_region[Country],country_region[Region],"Not found")</f>
        <v>Southeast Asia</v>
      </c>
      <c r="R482" s="5" t="str">
        <f>_xlfn.XLOOKUP(Clean_Data[[#This Row],[Type of Event]],event_type_category[Type of Event],event_type_category[Category],"Not found")</f>
        <v>War &amp; Conflict</v>
      </c>
    </row>
    <row r="483" spans="1:18">
      <c r="A483">
        <v>521</v>
      </c>
      <c r="B483" t="s">
        <v>2298</v>
      </c>
      <c r="C483" t="s">
        <v>195</v>
      </c>
      <c r="D483" t="s">
        <v>173</v>
      </c>
      <c r="E483" t="s">
        <v>411</v>
      </c>
      <c r="F483" t="s">
        <v>2278</v>
      </c>
      <c r="G483" t="s">
        <v>376</v>
      </c>
      <c r="H483" t="s">
        <v>2278</v>
      </c>
      <c r="I483" t="s">
        <v>4977</v>
      </c>
      <c r="J483" t="s">
        <v>2300</v>
      </c>
      <c r="K483" t="s">
        <v>2301</v>
      </c>
      <c r="L483" t="s">
        <v>54</v>
      </c>
      <c r="M483">
        <v>1942</v>
      </c>
      <c r="N483" s="5">
        <f>ROUNDUP(Clean_Data[[#This Row],[Year_Num]]/100,0)</f>
        <v>20</v>
      </c>
      <c r="O483" s="5" t="str" cm="1">
        <f t="array" ref="O483">_xlfn.LET(_xlpm.y,Clean_Data[[#This Row],[Year_Num]],_xlfn.IFS(_xlpm.y&lt;500,"Ancient",_xlpm.y&lt;1500,"Medieval",_xlpm.y&lt;1800,"Early Modern",_xlpm.y&lt;1946,"Modern",TRUE,"Contemporary"))</f>
        <v>Modern</v>
      </c>
      <c r="P483" s="5" t="str">
        <f>_xlfn.XLOOKUP(Clean_Data[[#This Row],[Country]],country_region[Country],country_region[Country_Standard],"Not found")</f>
        <v>Singapore</v>
      </c>
      <c r="Q483" s="5" t="str">
        <f>_xlfn.XLOOKUP(Clean_Data[[#This Row],[Country]],country_region[Country],country_region[Region],"Not found")</f>
        <v>Southeast Asia</v>
      </c>
      <c r="R483" s="5" t="str">
        <f>_xlfn.XLOOKUP(Clean_Data[[#This Row],[Type of Event]],event_type_category[Type of Event],event_type_category[Category],"Not found")</f>
        <v>War &amp; Conflict</v>
      </c>
    </row>
    <row r="484" spans="1:18">
      <c r="A484">
        <v>522</v>
      </c>
      <c r="B484" t="s">
        <v>2302</v>
      </c>
      <c r="C484" t="s">
        <v>353</v>
      </c>
      <c r="D484" t="s">
        <v>286</v>
      </c>
      <c r="E484" t="s">
        <v>682</v>
      </c>
      <c r="F484" t="s">
        <v>2278</v>
      </c>
      <c r="G484" t="s">
        <v>2303</v>
      </c>
      <c r="H484" t="s">
        <v>2278</v>
      </c>
      <c r="I484" t="s">
        <v>2304</v>
      </c>
      <c r="J484" t="s">
        <v>2293</v>
      </c>
      <c r="K484" t="s">
        <v>2305</v>
      </c>
      <c r="L484" t="s">
        <v>36</v>
      </c>
      <c r="M484">
        <v>1945</v>
      </c>
      <c r="N484" s="5">
        <f>ROUNDUP(Clean_Data[[#This Row],[Year_Num]]/100,0)</f>
        <v>20</v>
      </c>
      <c r="O484" s="5" t="str" cm="1">
        <f t="array" ref="O484">_xlfn.LET(_xlpm.y,Clean_Data[[#This Row],[Year_Num]],_xlfn.IFS(_xlpm.y&lt;500,"Ancient",_xlpm.y&lt;1500,"Medieval",_xlpm.y&lt;1800,"Early Modern",_xlpm.y&lt;1946,"Modern",TRUE,"Contemporary"))</f>
        <v>Modern</v>
      </c>
      <c r="P484" s="5" t="str">
        <f>_xlfn.XLOOKUP(Clean_Data[[#This Row],[Country]],country_region[Country],country_region[Country_Standard],"Not found")</f>
        <v>Singapore</v>
      </c>
      <c r="Q484" s="5" t="str">
        <f>_xlfn.XLOOKUP(Clean_Data[[#This Row],[Country]],country_region[Country],country_region[Region],"Not found")</f>
        <v>Southeast Asia</v>
      </c>
      <c r="R484" s="5" t="str">
        <f>_xlfn.XLOOKUP(Clean_Data[[#This Row],[Type of Event]],event_type_category[Type of Event],event_type_category[Category],"Not found")</f>
        <v>War &amp; Conflict</v>
      </c>
    </row>
    <row r="485" spans="1:18">
      <c r="A485">
        <v>523</v>
      </c>
      <c r="B485" t="s">
        <v>4978</v>
      </c>
      <c r="E485" t="s">
        <v>682</v>
      </c>
      <c r="F485" t="s">
        <v>2278</v>
      </c>
      <c r="G485" t="s">
        <v>2307</v>
      </c>
      <c r="H485" t="s">
        <v>2278</v>
      </c>
      <c r="I485" t="s">
        <v>2308</v>
      </c>
      <c r="J485" t="s">
        <v>2293</v>
      </c>
      <c r="K485" t="s">
        <v>2309</v>
      </c>
      <c r="L485" t="s">
        <v>21</v>
      </c>
      <c r="M485">
        <v>1945</v>
      </c>
      <c r="N485" s="5">
        <f>ROUNDUP(Clean_Data[[#This Row],[Year_Num]]/100,0)</f>
        <v>20</v>
      </c>
      <c r="O485" s="5" t="str" cm="1">
        <f t="array" ref="O485">_xlfn.LET(_xlpm.y,Clean_Data[[#This Row],[Year_Num]],_xlfn.IFS(_xlpm.y&lt;500,"Ancient",_xlpm.y&lt;1500,"Medieval",_xlpm.y&lt;1800,"Early Modern",_xlpm.y&lt;1946,"Modern",TRUE,"Contemporary"))</f>
        <v>Modern</v>
      </c>
      <c r="P485" s="5" t="str">
        <f>_xlfn.XLOOKUP(Clean_Data[[#This Row],[Country]],country_region[Country],country_region[Country_Standard],"Not found")</f>
        <v>Singapore</v>
      </c>
      <c r="Q485" s="5" t="str">
        <f>_xlfn.XLOOKUP(Clean_Data[[#This Row],[Country]],country_region[Country],country_region[Region],"Not found")</f>
        <v>Southeast Asia</v>
      </c>
      <c r="R485" s="5" t="str">
        <f>_xlfn.XLOOKUP(Clean_Data[[#This Row],[Type of Event]],event_type_category[Type of Event],event_type_category[Category],"Not found")</f>
        <v>Economy &amp; Infrastructure</v>
      </c>
    </row>
    <row r="486" spans="1:18">
      <c r="A486">
        <v>524</v>
      </c>
      <c r="B486" t="s">
        <v>2310</v>
      </c>
      <c r="E486" t="s">
        <v>947</v>
      </c>
      <c r="F486" t="s">
        <v>2278</v>
      </c>
      <c r="G486" t="s">
        <v>2211</v>
      </c>
      <c r="H486" t="s">
        <v>2278</v>
      </c>
      <c r="I486" t="s">
        <v>2311</v>
      </c>
      <c r="J486" t="s">
        <v>2312</v>
      </c>
      <c r="K486" t="s">
        <v>2309</v>
      </c>
      <c r="L486" t="s">
        <v>21</v>
      </c>
      <c r="M486">
        <v>1949</v>
      </c>
      <c r="N486" s="5">
        <f>ROUNDUP(Clean_Data[[#This Row],[Year_Num]]/100,0)</f>
        <v>20</v>
      </c>
      <c r="O486" s="5" t="str" cm="1">
        <f t="array" ref="O486">_xlfn.LET(_xlpm.y,Clean_Data[[#This Row],[Year_Num]],_xlfn.IFS(_xlpm.y&lt;500,"Ancient",_xlpm.y&lt;1500,"Medieval",_xlpm.y&lt;1800,"Early Modern",_xlpm.y&lt;1946,"Modern",TRUE,"Contemporary"))</f>
        <v>Contemporary</v>
      </c>
      <c r="P486" s="5" t="str">
        <f>_xlfn.XLOOKUP(Clean_Data[[#This Row],[Country]],country_region[Country],country_region[Country_Standard],"Not found")</f>
        <v>Singapore</v>
      </c>
      <c r="Q486" s="5" t="str">
        <f>_xlfn.XLOOKUP(Clean_Data[[#This Row],[Country]],country_region[Country],country_region[Region],"Not found")</f>
        <v>Southeast Asia</v>
      </c>
      <c r="R486" s="5" t="str">
        <f>_xlfn.XLOOKUP(Clean_Data[[#This Row],[Type of Event]],event_type_category[Type of Event],event_type_category[Category],"Not found")</f>
        <v>Society &amp; Health</v>
      </c>
    </row>
    <row r="487" spans="1:18">
      <c r="A487">
        <v>525</v>
      </c>
      <c r="B487" t="s">
        <v>2313</v>
      </c>
      <c r="E487" t="s">
        <v>438</v>
      </c>
      <c r="F487" t="s">
        <v>2278</v>
      </c>
      <c r="G487" t="s">
        <v>1768</v>
      </c>
      <c r="H487" t="s">
        <v>2278</v>
      </c>
      <c r="I487" t="s">
        <v>2314</v>
      </c>
      <c r="J487" t="s">
        <v>2293</v>
      </c>
      <c r="L487" t="s">
        <v>54</v>
      </c>
      <c r="M487">
        <v>1950</v>
      </c>
      <c r="N487" s="5">
        <f>ROUNDUP(Clean_Data[[#This Row],[Year_Num]]/100,0)</f>
        <v>20</v>
      </c>
      <c r="O487" s="5" t="str" cm="1">
        <f t="array" ref="O487">_xlfn.LET(_xlpm.y,Clean_Data[[#This Row],[Year_Num]],_xlfn.IFS(_xlpm.y&lt;500,"Ancient",_xlpm.y&lt;1500,"Medieval",_xlpm.y&lt;1800,"Early Modern",_xlpm.y&lt;1946,"Modern",TRUE,"Contemporary"))</f>
        <v>Contemporary</v>
      </c>
      <c r="P487" s="5" t="str">
        <f>_xlfn.XLOOKUP(Clean_Data[[#This Row],[Country]],country_region[Country],country_region[Country_Standard],"Not found")</f>
        <v>Singapore</v>
      </c>
      <c r="Q487" s="5" t="str">
        <f>_xlfn.XLOOKUP(Clean_Data[[#This Row],[Country]],country_region[Country],country_region[Region],"Not found")</f>
        <v>Southeast Asia</v>
      </c>
      <c r="R487" s="5" t="str">
        <f>_xlfn.XLOOKUP(Clean_Data[[#This Row],[Type of Event]],event_type_category[Type of Event],event_type_category[Category],"Not found")</f>
        <v>Society &amp; Health</v>
      </c>
    </row>
    <row r="488" spans="1:18">
      <c r="A488">
        <v>526</v>
      </c>
      <c r="B488" t="s">
        <v>4979</v>
      </c>
      <c r="C488" t="s">
        <v>65</v>
      </c>
      <c r="D488" t="s">
        <v>100</v>
      </c>
      <c r="E488" t="s">
        <v>2316</v>
      </c>
      <c r="F488" t="s">
        <v>2278</v>
      </c>
      <c r="G488" t="s">
        <v>1655</v>
      </c>
      <c r="H488" t="s">
        <v>2278</v>
      </c>
      <c r="I488" t="s">
        <v>4980</v>
      </c>
      <c r="J488" t="s">
        <v>2293</v>
      </c>
      <c r="K488" t="s">
        <v>2318</v>
      </c>
      <c r="L488" t="s">
        <v>21</v>
      </c>
      <c r="M488">
        <v>1959</v>
      </c>
      <c r="N488" s="5">
        <f>ROUNDUP(Clean_Data[[#This Row],[Year_Num]]/100,0)</f>
        <v>20</v>
      </c>
      <c r="O488" s="5" t="str" cm="1">
        <f t="array" ref="O488">_xlfn.LET(_xlpm.y,Clean_Data[[#This Row],[Year_Num]],_xlfn.IFS(_xlpm.y&lt;500,"Ancient",_xlpm.y&lt;1500,"Medieval",_xlpm.y&lt;1800,"Early Modern",_xlpm.y&lt;1946,"Modern",TRUE,"Contemporary"))</f>
        <v>Contemporary</v>
      </c>
      <c r="P488" s="5" t="str">
        <f>_xlfn.XLOOKUP(Clean_Data[[#This Row],[Country]],country_region[Country],country_region[Country_Standard],"Not found")</f>
        <v>Singapore</v>
      </c>
      <c r="Q488" s="5" t="str">
        <f>_xlfn.XLOOKUP(Clean_Data[[#This Row],[Country]],country_region[Country],country_region[Region],"Not found")</f>
        <v>Southeast Asia</v>
      </c>
      <c r="R488" s="5" t="str">
        <f>_xlfn.XLOOKUP(Clean_Data[[#This Row],[Type of Event]],event_type_category[Type of Event],event_type_category[Category],"Not found")</f>
        <v>Politics &amp; Law</v>
      </c>
    </row>
    <row r="489" spans="1:18">
      <c r="A489">
        <v>527</v>
      </c>
      <c r="B489" t="s">
        <v>2319</v>
      </c>
      <c r="C489" t="s">
        <v>150</v>
      </c>
      <c r="D489" t="s">
        <v>286</v>
      </c>
      <c r="E489" t="s">
        <v>2320</v>
      </c>
      <c r="F489" t="s">
        <v>2278</v>
      </c>
      <c r="G489" t="s">
        <v>2321</v>
      </c>
      <c r="H489" t="s">
        <v>2322</v>
      </c>
      <c r="I489" t="s">
        <v>2323</v>
      </c>
      <c r="J489" t="s">
        <v>2293</v>
      </c>
      <c r="K489" t="s">
        <v>2324</v>
      </c>
      <c r="L489" t="s">
        <v>36</v>
      </c>
      <c r="M489">
        <v>1963</v>
      </c>
      <c r="N489" s="5">
        <f>ROUNDUP(Clean_Data[[#This Row],[Year_Num]]/100,0)</f>
        <v>20</v>
      </c>
      <c r="O489" s="5" t="str" cm="1">
        <f t="array" ref="O489">_xlfn.LET(_xlpm.y,Clean_Data[[#This Row],[Year_Num]],_xlfn.IFS(_xlpm.y&lt;500,"Ancient",_xlpm.y&lt;1500,"Medieval",_xlpm.y&lt;1800,"Early Modern",_xlpm.y&lt;1946,"Modern",TRUE,"Contemporary"))</f>
        <v>Contemporary</v>
      </c>
      <c r="P489" s="5" t="str">
        <f>_xlfn.XLOOKUP(Clean_Data[[#This Row],[Country]],country_region[Country],country_region[Country_Standard],"Not found")</f>
        <v>Singapore</v>
      </c>
      <c r="Q489" s="5" t="str">
        <f>_xlfn.XLOOKUP(Clean_Data[[#This Row],[Country]],country_region[Country],country_region[Region],"Not found")</f>
        <v>Southeast Asia</v>
      </c>
      <c r="R489" s="5" t="str">
        <f>_xlfn.XLOOKUP(Clean_Data[[#This Row],[Type of Event]],event_type_category[Type of Event],event_type_category[Category],"Not found")</f>
        <v>Independence &amp; Nation-Building</v>
      </c>
    </row>
    <row r="490" spans="1:18">
      <c r="A490">
        <v>528</v>
      </c>
      <c r="B490" t="s">
        <v>2325</v>
      </c>
      <c r="C490" t="s">
        <v>240</v>
      </c>
      <c r="D490" t="s">
        <v>57</v>
      </c>
      <c r="E490" t="s">
        <v>2326</v>
      </c>
      <c r="F490" t="s">
        <v>2278</v>
      </c>
      <c r="G490" t="s">
        <v>2327</v>
      </c>
      <c r="H490" t="s">
        <v>2278</v>
      </c>
      <c r="I490" t="s">
        <v>2328</v>
      </c>
      <c r="J490" t="s">
        <v>2293</v>
      </c>
      <c r="K490" t="s">
        <v>2318</v>
      </c>
      <c r="L490" t="s">
        <v>21</v>
      </c>
      <c r="M490">
        <v>1965</v>
      </c>
      <c r="N490" s="5">
        <f>ROUNDUP(Clean_Data[[#This Row],[Year_Num]]/100,0)</f>
        <v>20</v>
      </c>
      <c r="O490" s="5" t="str" cm="1">
        <f t="array" ref="O490">_xlfn.LET(_xlpm.y,Clean_Data[[#This Row],[Year_Num]],_xlfn.IFS(_xlpm.y&lt;500,"Ancient",_xlpm.y&lt;1500,"Medieval",_xlpm.y&lt;1800,"Early Modern",_xlpm.y&lt;1946,"Modern",TRUE,"Contemporary"))</f>
        <v>Contemporary</v>
      </c>
      <c r="P490" s="5" t="str">
        <f>_xlfn.XLOOKUP(Clean_Data[[#This Row],[Country]],country_region[Country],country_region[Country_Standard],"Not found")</f>
        <v>Singapore</v>
      </c>
      <c r="Q490" s="5" t="str">
        <f>_xlfn.XLOOKUP(Clean_Data[[#This Row],[Country]],country_region[Country],country_region[Region],"Not found")</f>
        <v>Southeast Asia</v>
      </c>
      <c r="R490" s="5" t="str">
        <f>_xlfn.XLOOKUP(Clean_Data[[#This Row],[Type of Event]],event_type_category[Type of Event],event_type_category[Category],"Not found")</f>
        <v>Independence &amp; Nation-Building</v>
      </c>
    </row>
    <row r="491" spans="1:18">
      <c r="A491">
        <v>529</v>
      </c>
      <c r="B491" t="s">
        <v>2329</v>
      </c>
      <c r="C491" t="s">
        <v>1129</v>
      </c>
      <c r="D491" t="s">
        <v>267</v>
      </c>
      <c r="E491" t="s">
        <v>737</v>
      </c>
      <c r="F491" t="s">
        <v>2278</v>
      </c>
      <c r="G491" t="s">
        <v>1741</v>
      </c>
      <c r="H491" t="s">
        <v>2278</v>
      </c>
      <c r="I491" t="s">
        <v>2330</v>
      </c>
      <c r="J491" t="s">
        <v>2331</v>
      </c>
      <c r="K491" t="s">
        <v>2332</v>
      </c>
      <c r="L491" t="s">
        <v>21</v>
      </c>
      <c r="M491">
        <v>1967</v>
      </c>
      <c r="N491" s="5">
        <f>ROUNDUP(Clean_Data[[#This Row],[Year_Num]]/100,0)</f>
        <v>20</v>
      </c>
      <c r="O491" s="5" t="str" cm="1">
        <f t="array" ref="O491">_xlfn.LET(_xlpm.y,Clean_Data[[#This Row],[Year_Num]],_xlfn.IFS(_xlpm.y&lt;500,"Ancient",_xlpm.y&lt;1500,"Medieval",_xlpm.y&lt;1800,"Early Modern",_xlpm.y&lt;1946,"Modern",TRUE,"Contemporary"))</f>
        <v>Contemporary</v>
      </c>
      <c r="P491" s="5" t="str">
        <f>_xlfn.XLOOKUP(Clean_Data[[#This Row],[Country]],country_region[Country],country_region[Country_Standard],"Not found")</f>
        <v>Singapore</v>
      </c>
      <c r="Q491" s="5" t="str">
        <f>_xlfn.XLOOKUP(Clean_Data[[#This Row],[Country]],country_region[Country],country_region[Region],"Not found")</f>
        <v>Southeast Asia</v>
      </c>
      <c r="R491" s="5" t="str">
        <f>_xlfn.XLOOKUP(Clean_Data[[#This Row],[Type of Event]],event_type_category[Type of Event],event_type_category[Category],"Not found")</f>
        <v>Politics &amp; Law</v>
      </c>
    </row>
    <row r="492" spans="1:18">
      <c r="A492">
        <v>530</v>
      </c>
      <c r="B492" t="s">
        <v>2167</v>
      </c>
      <c r="E492" t="s">
        <v>1391</v>
      </c>
      <c r="F492" t="s">
        <v>2278</v>
      </c>
      <c r="G492" t="s">
        <v>213</v>
      </c>
      <c r="H492" t="s">
        <v>2278</v>
      </c>
      <c r="I492" t="s">
        <v>2333</v>
      </c>
      <c r="J492" t="s">
        <v>2334</v>
      </c>
      <c r="K492" t="s">
        <v>2332</v>
      </c>
      <c r="L492" t="s">
        <v>21</v>
      </c>
      <c r="M492">
        <v>1970</v>
      </c>
      <c r="N492" s="5">
        <f>ROUNDUP(Clean_Data[[#This Row],[Year_Num]]/100,0)</f>
        <v>20</v>
      </c>
      <c r="O492" s="5" t="str" cm="1">
        <f t="array" ref="O492">_xlfn.LET(_xlpm.y,Clean_Data[[#This Row],[Year_Num]],_xlfn.IFS(_xlpm.y&lt;500,"Ancient",_xlpm.y&lt;1500,"Medieval",_xlpm.y&lt;1800,"Early Modern",_xlpm.y&lt;1946,"Modern",TRUE,"Contemporary"))</f>
        <v>Contemporary</v>
      </c>
      <c r="P492" s="5" t="str">
        <f>_xlfn.XLOOKUP(Clean_Data[[#This Row],[Country]],country_region[Country],country_region[Country_Standard],"Not found")</f>
        <v>Singapore</v>
      </c>
      <c r="Q492" s="5" t="str">
        <f>_xlfn.XLOOKUP(Clean_Data[[#This Row],[Country]],country_region[Country],country_region[Region],"Not found")</f>
        <v>Southeast Asia</v>
      </c>
      <c r="R492" s="5" t="str">
        <f>_xlfn.XLOOKUP(Clean_Data[[#This Row],[Type of Event]],event_type_category[Type of Event],event_type_category[Category],"Not found")</f>
        <v>Economy &amp; Infrastructure</v>
      </c>
    </row>
    <row r="493" spans="1:18">
      <c r="A493">
        <v>531</v>
      </c>
      <c r="B493" t="s">
        <v>2335</v>
      </c>
      <c r="E493" t="s">
        <v>883</v>
      </c>
      <c r="F493" t="s">
        <v>2278</v>
      </c>
      <c r="G493" t="s">
        <v>2336</v>
      </c>
      <c r="H493" t="s">
        <v>2278</v>
      </c>
      <c r="I493" t="s">
        <v>2337</v>
      </c>
      <c r="J493" t="s">
        <v>2300</v>
      </c>
      <c r="K493" t="s">
        <v>2332</v>
      </c>
      <c r="L493" t="s">
        <v>21</v>
      </c>
      <c r="M493">
        <v>1979</v>
      </c>
      <c r="N493" s="5">
        <f>ROUNDUP(Clean_Data[[#This Row],[Year_Num]]/100,0)</f>
        <v>20</v>
      </c>
      <c r="O493" s="5" t="str" cm="1">
        <f t="array" ref="O493">_xlfn.LET(_xlpm.y,Clean_Data[[#This Row],[Year_Num]],_xlfn.IFS(_xlpm.y&lt;500,"Ancient",_xlpm.y&lt;1500,"Medieval",_xlpm.y&lt;1800,"Early Modern",_xlpm.y&lt;1946,"Modern",TRUE,"Contemporary"))</f>
        <v>Contemporary</v>
      </c>
      <c r="P493" s="5" t="str">
        <f>_xlfn.XLOOKUP(Clean_Data[[#This Row],[Country]],country_region[Country],country_region[Country_Standard],"Not found")</f>
        <v>Singapore</v>
      </c>
      <c r="Q493" s="5" t="str">
        <f>_xlfn.XLOOKUP(Clean_Data[[#This Row],[Country]],country_region[Country],country_region[Region],"Not found")</f>
        <v>Southeast Asia</v>
      </c>
      <c r="R493" s="5" t="str">
        <f>_xlfn.XLOOKUP(Clean_Data[[#This Row],[Type of Event]],event_type_category[Type of Event],event_type_category[Category],"Not found")</f>
        <v>Culture, Religion &amp; Sport</v>
      </c>
    </row>
    <row r="494" spans="1:18">
      <c r="A494">
        <v>532</v>
      </c>
      <c r="B494" t="s">
        <v>2338</v>
      </c>
      <c r="C494" t="s">
        <v>246</v>
      </c>
      <c r="D494" t="s">
        <v>83</v>
      </c>
      <c r="E494" t="s">
        <v>212</v>
      </c>
      <c r="F494" t="s">
        <v>2278</v>
      </c>
      <c r="G494" t="s">
        <v>2339</v>
      </c>
      <c r="H494" t="s">
        <v>2278</v>
      </c>
      <c r="I494" t="s">
        <v>2340</v>
      </c>
      <c r="J494" t="s">
        <v>2293</v>
      </c>
      <c r="K494" t="s">
        <v>2332</v>
      </c>
      <c r="L494" t="s">
        <v>21</v>
      </c>
      <c r="M494">
        <v>1991</v>
      </c>
      <c r="N494" s="5">
        <f>ROUNDUP(Clean_Data[[#This Row],[Year_Num]]/100,0)</f>
        <v>20</v>
      </c>
      <c r="O494" s="5" t="str" cm="1">
        <f t="array" ref="O494">_xlfn.LET(_xlpm.y,Clean_Data[[#This Row],[Year_Num]],_xlfn.IFS(_xlpm.y&lt;500,"Ancient",_xlpm.y&lt;1500,"Medieval",_xlpm.y&lt;1800,"Early Modern",_xlpm.y&lt;1946,"Modern",TRUE,"Contemporary"))</f>
        <v>Contemporary</v>
      </c>
      <c r="P494" s="5" t="str">
        <f>_xlfn.XLOOKUP(Clean_Data[[#This Row],[Country]],country_region[Country],country_region[Country_Standard],"Not found")</f>
        <v>Singapore</v>
      </c>
      <c r="Q494" s="5" t="str">
        <f>_xlfn.XLOOKUP(Clean_Data[[#This Row],[Country]],country_region[Country],country_region[Region],"Not found")</f>
        <v>Southeast Asia</v>
      </c>
      <c r="R494" s="5" t="str">
        <f>_xlfn.XLOOKUP(Clean_Data[[#This Row],[Type of Event]],event_type_category[Type of Event],event_type_category[Category],"Not found")</f>
        <v>Politics &amp; Law</v>
      </c>
    </row>
    <row r="495" spans="1:18">
      <c r="A495">
        <v>533</v>
      </c>
      <c r="B495" t="s">
        <v>4981</v>
      </c>
      <c r="C495" t="s">
        <v>1129</v>
      </c>
      <c r="D495" t="s">
        <v>267</v>
      </c>
      <c r="E495" t="s">
        <v>2148</v>
      </c>
      <c r="F495" t="s">
        <v>2278</v>
      </c>
      <c r="G495" t="s">
        <v>1400</v>
      </c>
      <c r="H495" t="s">
        <v>402</v>
      </c>
      <c r="I495" t="s">
        <v>2342</v>
      </c>
      <c r="J495" t="s">
        <v>2343</v>
      </c>
      <c r="K495" t="s">
        <v>2344</v>
      </c>
      <c r="L495" t="s">
        <v>21</v>
      </c>
      <c r="M495">
        <v>1824</v>
      </c>
      <c r="N495" s="5">
        <f>ROUNDUP(Clean_Data[[#This Row],[Year_Num]]/100,0)</f>
        <v>19</v>
      </c>
      <c r="O495" s="5" t="str" cm="1">
        <f t="array" ref="O495">_xlfn.LET(_xlpm.y,Clean_Data[[#This Row],[Year_Num]],_xlfn.IFS(_xlpm.y&lt;500,"Ancient",_xlpm.y&lt;1500,"Medieval",_xlpm.y&lt;1800,"Early Modern",_xlpm.y&lt;1946,"Modern",TRUE,"Contemporary"))</f>
        <v>Modern</v>
      </c>
      <c r="P495" s="5" t="str">
        <f>_xlfn.XLOOKUP(Clean_Data[[#This Row],[Country]],country_region[Country],country_region[Country_Standard],"Not found")</f>
        <v>Singapore</v>
      </c>
      <c r="Q495" s="5" t="str">
        <f>_xlfn.XLOOKUP(Clean_Data[[#This Row],[Country]],country_region[Country],country_region[Region],"Not found")</f>
        <v>Southeast Asia</v>
      </c>
      <c r="R495" s="5" t="str">
        <f>_xlfn.XLOOKUP(Clean_Data[[#This Row],[Type of Event]],event_type_category[Type of Event],event_type_category[Category],"Not found")</f>
        <v>Diplomacy &amp; International Relations</v>
      </c>
    </row>
    <row r="496" spans="1:18">
      <c r="A496">
        <v>534</v>
      </c>
      <c r="B496" t="s">
        <v>2345</v>
      </c>
      <c r="C496" t="s">
        <v>56</v>
      </c>
      <c r="D496" t="s">
        <v>173</v>
      </c>
      <c r="E496" t="s">
        <v>411</v>
      </c>
      <c r="F496" t="s">
        <v>2278</v>
      </c>
      <c r="G496" t="s">
        <v>2346</v>
      </c>
      <c r="H496" t="s">
        <v>2278</v>
      </c>
      <c r="I496" t="s">
        <v>2347</v>
      </c>
      <c r="J496" t="s">
        <v>2348</v>
      </c>
      <c r="K496" t="s">
        <v>2294</v>
      </c>
      <c r="L496" t="s">
        <v>54</v>
      </c>
      <c r="M496">
        <v>1942</v>
      </c>
      <c r="N496" s="5">
        <f>ROUNDUP(Clean_Data[[#This Row],[Year_Num]]/100,0)</f>
        <v>20</v>
      </c>
      <c r="O496" s="5" t="str" cm="1">
        <f t="array" ref="O496">_xlfn.LET(_xlpm.y,Clean_Data[[#This Row],[Year_Num]],_xlfn.IFS(_xlpm.y&lt;500,"Ancient",_xlpm.y&lt;1500,"Medieval",_xlpm.y&lt;1800,"Early Modern",_xlpm.y&lt;1946,"Modern",TRUE,"Contemporary"))</f>
        <v>Modern</v>
      </c>
      <c r="P496" s="5" t="str">
        <f>_xlfn.XLOOKUP(Clean_Data[[#This Row],[Country]],country_region[Country],country_region[Country_Standard],"Not found")</f>
        <v>Singapore</v>
      </c>
      <c r="Q496" s="5" t="str">
        <f>_xlfn.XLOOKUP(Clean_Data[[#This Row],[Country]],country_region[Country],country_region[Region],"Not found")</f>
        <v>Southeast Asia</v>
      </c>
      <c r="R496" s="5" t="str">
        <f>_xlfn.XLOOKUP(Clean_Data[[#This Row],[Type of Event]],event_type_category[Type of Event],event_type_category[Category],"Not found")</f>
        <v>War &amp; Conflict</v>
      </c>
    </row>
    <row r="497" spans="1:18">
      <c r="A497">
        <v>535</v>
      </c>
      <c r="B497" t="s">
        <v>2349</v>
      </c>
      <c r="C497" t="s">
        <v>38</v>
      </c>
      <c r="D497" t="s">
        <v>286</v>
      </c>
      <c r="E497" t="s">
        <v>2326</v>
      </c>
      <c r="F497" t="s">
        <v>2278</v>
      </c>
      <c r="G497" t="s">
        <v>489</v>
      </c>
      <c r="I497" t="s">
        <v>2350</v>
      </c>
      <c r="J497" t="s">
        <v>2293</v>
      </c>
      <c r="L497" t="s">
        <v>21</v>
      </c>
      <c r="M497">
        <v>1965</v>
      </c>
      <c r="N497" s="5">
        <f>ROUNDUP(Clean_Data[[#This Row],[Year_Num]]/100,0)</f>
        <v>20</v>
      </c>
      <c r="O497" s="5" t="str" cm="1">
        <f t="array" ref="O497">_xlfn.LET(_xlpm.y,Clean_Data[[#This Row],[Year_Num]],_xlfn.IFS(_xlpm.y&lt;500,"Ancient",_xlpm.y&lt;1500,"Medieval",_xlpm.y&lt;1800,"Early Modern",_xlpm.y&lt;1946,"Modern",TRUE,"Contemporary"))</f>
        <v>Contemporary</v>
      </c>
      <c r="P497" s="5" t="str">
        <f>_xlfn.XLOOKUP(Clean_Data[[#This Row],[Country]],country_region[Country],country_region[Country_Standard],"Not found")</f>
        <v>Singapore</v>
      </c>
      <c r="Q497" s="5" t="str">
        <f>_xlfn.XLOOKUP(Clean_Data[[#This Row],[Country]],country_region[Country],country_region[Region],"Not found")</f>
        <v>Southeast Asia</v>
      </c>
      <c r="R497" s="5" t="str">
        <f>_xlfn.XLOOKUP(Clean_Data[[#This Row],[Type of Event]],event_type_category[Type of Event],event_type_category[Category],"Not found")</f>
        <v>Diplomacy &amp; International Relations</v>
      </c>
    </row>
    <row r="498" spans="1:18">
      <c r="A498">
        <v>536</v>
      </c>
      <c r="B498" t="s">
        <v>2351</v>
      </c>
      <c r="C498" t="s">
        <v>251</v>
      </c>
      <c r="D498" t="s">
        <v>260</v>
      </c>
      <c r="E498" t="s">
        <v>196</v>
      </c>
      <c r="F498" t="s">
        <v>2278</v>
      </c>
      <c r="G498" t="s">
        <v>85</v>
      </c>
      <c r="H498" t="s">
        <v>2278</v>
      </c>
      <c r="I498" t="s">
        <v>2352</v>
      </c>
      <c r="J498" t="s">
        <v>2293</v>
      </c>
      <c r="K498" t="s">
        <v>2353</v>
      </c>
      <c r="L498" t="s">
        <v>54</v>
      </c>
      <c r="M498">
        <v>1974</v>
      </c>
      <c r="N498" s="5">
        <f>ROUNDUP(Clean_Data[[#This Row],[Year_Num]]/100,0)</f>
        <v>20</v>
      </c>
      <c r="O498" s="5" t="str" cm="1">
        <f t="array" ref="O498">_xlfn.LET(_xlpm.y,Clean_Data[[#This Row],[Year_Num]],_xlfn.IFS(_xlpm.y&lt;500,"Ancient",_xlpm.y&lt;1500,"Medieval",_xlpm.y&lt;1800,"Early Modern",_xlpm.y&lt;1946,"Modern",TRUE,"Contemporary"))</f>
        <v>Contemporary</v>
      </c>
      <c r="P498" s="5" t="str">
        <f>_xlfn.XLOOKUP(Clean_Data[[#This Row],[Country]],country_region[Country],country_region[Country_Standard],"Not found")</f>
        <v>Singapore</v>
      </c>
      <c r="Q498" s="5" t="str">
        <f>_xlfn.XLOOKUP(Clean_Data[[#This Row],[Country]],country_region[Country],country_region[Region],"Not found")</f>
        <v>Southeast Asia</v>
      </c>
      <c r="R498" s="5" t="str">
        <f>_xlfn.XLOOKUP(Clean_Data[[#This Row],[Type of Event]],event_type_category[Type of Event],event_type_category[Category],"Not found")</f>
        <v>War &amp; Conflict</v>
      </c>
    </row>
    <row r="499" spans="1:18">
      <c r="A499">
        <v>537</v>
      </c>
      <c r="B499" t="s">
        <v>2354</v>
      </c>
      <c r="C499" t="s">
        <v>633</v>
      </c>
      <c r="D499" t="s">
        <v>260</v>
      </c>
      <c r="E499" t="s">
        <v>272</v>
      </c>
      <c r="F499" t="s">
        <v>2278</v>
      </c>
      <c r="G499" t="s">
        <v>2355</v>
      </c>
      <c r="H499" t="s">
        <v>2356</v>
      </c>
      <c r="I499" t="s">
        <v>2357</v>
      </c>
      <c r="J499" t="s">
        <v>2358</v>
      </c>
      <c r="L499" t="s">
        <v>54</v>
      </c>
      <c r="M499">
        <v>1983</v>
      </c>
      <c r="N499" s="5">
        <f>ROUNDUP(Clean_Data[[#This Row],[Year_Num]]/100,0)</f>
        <v>20</v>
      </c>
      <c r="O499" s="5" t="str" cm="1">
        <f t="array" ref="O499">_xlfn.LET(_xlpm.y,Clean_Data[[#This Row],[Year_Num]],_xlfn.IFS(_xlpm.y&lt;500,"Ancient",_xlpm.y&lt;1500,"Medieval",_xlpm.y&lt;1800,"Early Modern",_xlpm.y&lt;1946,"Modern",TRUE,"Contemporary"))</f>
        <v>Contemporary</v>
      </c>
      <c r="P499" s="5" t="str">
        <f>_xlfn.XLOOKUP(Clean_Data[[#This Row],[Country]],country_region[Country],country_region[Country_Standard],"Not found")</f>
        <v>Singapore</v>
      </c>
      <c r="Q499" s="5" t="str">
        <f>_xlfn.XLOOKUP(Clean_Data[[#This Row],[Country]],country_region[Country],country_region[Region],"Not found")</f>
        <v>Southeast Asia</v>
      </c>
      <c r="R499" s="5" t="str">
        <f>_xlfn.XLOOKUP(Clean_Data[[#This Row],[Type of Event]],event_type_category[Type of Event],event_type_category[Category],"Not found")</f>
        <v>Disasters &amp; Accidents</v>
      </c>
    </row>
    <row r="500" spans="1:18">
      <c r="A500">
        <v>538</v>
      </c>
      <c r="B500" t="s">
        <v>2359</v>
      </c>
      <c r="C500" t="s">
        <v>56</v>
      </c>
      <c r="D500" t="s">
        <v>267</v>
      </c>
      <c r="E500" t="s">
        <v>613</v>
      </c>
      <c r="F500" t="s">
        <v>2278</v>
      </c>
      <c r="G500" t="s">
        <v>2360</v>
      </c>
      <c r="H500" t="s">
        <v>2278</v>
      </c>
      <c r="I500" t="s">
        <v>2361</v>
      </c>
      <c r="J500" t="s">
        <v>2362</v>
      </c>
      <c r="L500" t="s">
        <v>54</v>
      </c>
      <c r="M500">
        <v>1986</v>
      </c>
      <c r="N500" s="5">
        <f>ROUNDUP(Clean_Data[[#This Row],[Year_Num]]/100,0)</f>
        <v>20</v>
      </c>
      <c r="O500" s="5" t="str" cm="1">
        <f t="array" ref="O500">_xlfn.LET(_xlpm.y,Clean_Data[[#This Row],[Year_Num]],_xlfn.IFS(_xlpm.y&lt;500,"Ancient",_xlpm.y&lt;1500,"Medieval",_xlpm.y&lt;1800,"Early Modern",_xlpm.y&lt;1946,"Modern",TRUE,"Contemporary"))</f>
        <v>Contemporary</v>
      </c>
      <c r="P500" s="5" t="str">
        <f>_xlfn.XLOOKUP(Clean_Data[[#This Row],[Country]],country_region[Country],country_region[Country_Standard],"Not found")</f>
        <v>Singapore</v>
      </c>
      <c r="Q500" s="5" t="str">
        <f>_xlfn.XLOOKUP(Clean_Data[[#This Row],[Country]],country_region[Country],country_region[Region],"Not found")</f>
        <v>Southeast Asia</v>
      </c>
      <c r="R500" s="5" t="str">
        <f>_xlfn.XLOOKUP(Clean_Data[[#This Row],[Type of Event]],event_type_category[Type of Event],event_type_category[Category],"Not found")</f>
        <v>Disasters &amp; Accidents</v>
      </c>
    </row>
    <row r="501" spans="1:18">
      <c r="A501">
        <v>539</v>
      </c>
      <c r="B501" t="s">
        <v>2363</v>
      </c>
      <c r="C501" t="s">
        <v>115</v>
      </c>
      <c r="D501" t="s">
        <v>211</v>
      </c>
      <c r="E501" t="s">
        <v>613</v>
      </c>
      <c r="F501" t="s">
        <v>2278</v>
      </c>
      <c r="G501" t="s">
        <v>2364</v>
      </c>
      <c r="H501" t="s">
        <v>2278</v>
      </c>
      <c r="I501" t="s">
        <v>4982</v>
      </c>
      <c r="J501" t="s">
        <v>2366</v>
      </c>
      <c r="K501" t="s">
        <v>2367</v>
      </c>
      <c r="L501" t="s">
        <v>36</v>
      </c>
      <c r="M501">
        <v>1986</v>
      </c>
      <c r="N501" s="5">
        <f>ROUNDUP(Clean_Data[[#This Row],[Year_Num]]/100,0)</f>
        <v>20</v>
      </c>
      <c r="O501" s="5" t="str" cm="1">
        <f t="array" ref="O501">_xlfn.LET(_xlpm.y,Clean_Data[[#This Row],[Year_Num]],_xlfn.IFS(_xlpm.y&lt;500,"Ancient",_xlpm.y&lt;1500,"Medieval",_xlpm.y&lt;1800,"Early Modern",_xlpm.y&lt;1946,"Modern",TRUE,"Contemporary"))</f>
        <v>Contemporary</v>
      </c>
      <c r="P501" s="5" t="str">
        <f>_xlfn.XLOOKUP(Clean_Data[[#This Row],[Country]],country_region[Country],country_region[Country_Standard],"Not found")</f>
        <v>Singapore</v>
      </c>
      <c r="Q501" s="5" t="str">
        <f>_xlfn.XLOOKUP(Clean_Data[[#This Row],[Country]],country_region[Country],country_region[Region],"Not found")</f>
        <v>Southeast Asia</v>
      </c>
      <c r="R501" s="5" t="str">
        <f>_xlfn.XLOOKUP(Clean_Data[[#This Row],[Type of Event]],event_type_category[Type of Event],event_type_category[Category],"Not found")</f>
        <v>Politics &amp; Law</v>
      </c>
    </row>
    <row r="502" spans="1:18">
      <c r="A502">
        <v>540</v>
      </c>
      <c r="B502" t="s">
        <v>4983</v>
      </c>
      <c r="E502" t="s">
        <v>1476</v>
      </c>
      <c r="F502" t="s">
        <v>2369</v>
      </c>
      <c r="G502" t="s">
        <v>2167</v>
      </c>
      <c r="H502" t="s">
        <v>2369</v>
      </c>
      <c r="I502" t="s">
        <v>2370</v>
      </c>
      <c r="J502" t="s">
        <v>2371</v>
      </c>
      <c r="K502" t="s">
        <v>2372</v>
      </c>
      <c r="L502" t="s">
        <v>36</v>
      </c>
      <c r="M502">
        <v>1901</v>
      </c>
      <c r="N502" s="5">
        <f>ROUNDUP(Clean_Data[[#This Row],[Year_Num]]/100,0)</f>
        <v>20</v>
      </c>
      <c r="O502" s="5" t="str" cm="1">
        <f t="array" ref="O502">_xlfn.LET(_xlpm.y,Clean_Data[[#This Row],[Year_Num]],_xlfn.IFS(_xlpm.y&lt;500,"Ancient",_xlpm.y&lt;1500,"Medieval",_xlpm.y&lt;1800,"Early Modern",_xlpm.y&lt;1946,"Modern",TRUE,"Contemporary"))</f>
        <v>Modern</v>
      </c>
      <c r="P502" s="5" t="str">
        <f>_xlfn.XLOOKUP(Clean_Data[[#This Row],[Country]],country_region[Country],country_region[Country_Standard],"Not found")</f>
        <v>Iran</v>
      </c>
      <c r="Q502" s="5" t="str">
        <f>_xlfn.XLOOKUP(Clean_Data[[#This Row],[Country]],country_region[Country],country_region[Region],"Not found")</f>
        <v>Middle East &amp; North Africa</v>
      </c>
      <c r="R502" s="5" t="str">
        <f>_xlfn.XLOOKUP(Clean_Data[[#This Row],[Type of Event]],event_type_category[Type of Event],event_type_category[Category],"Not found")</f>
        <v>Economy &amp; Infrastructure</v>
      </c>
    </row>
    <row r="503" spans="1:18">
      <c r="A503">
        <v>541</v>
      </c>
      <c r="B503" t="s">
        <v>2373</v>
      </c>
      <c r="E503" t="s">
        <v>381</v>
      </c>
      <c r="F503" t="s">
        <v>2374</v>
      </c>
      <c r="G503" t="s">
        <v>2375</v>
      </c>
      <c r="H503" t="s">
        <v>2376</v>
      </c>
      <c r="I503" t="s">
        <v>4984</v>
      </c>
      <c r="J503" t="s">
        <v>2378</v>
      </c>
      <c r="K503" t="s">
        <v>2379</v>
      </c>
      <c r="L503" t="s">
        <v>54</v>
      </c>
      <c r="M503">
        <v>1920</v>
      </c>
      <c r="N503" s="5">
        <f>ROUNDUP(Clean_Data[[#This Row],[Year_Num]]/100,0)</f>
        <v>20</v>
      </c>
      <c r="O503" s="5" t="str" cm="1">
        <f t="array" ref="O503">_xlfn.LET(_xlpm.y,Clean_Data[[#This Row],[Year_Num]],_xlfn.IFS(_xlpm.y&lt;500,"Ancient",_xlpm.y&lt;1500,"Medieval",_xlpm.y&lt;1800,"Early Modern",_xlpm.y&lt;1946,"Modern",TRUE,"Contemporary"))</f>
        <v>Modern</v>
      </c>
      <c r="P503" s="5" t="str">
        <f>_xlfn.XLOOKUP(Clean_Data[[#This Row],[Country]],country_region[Country],country_region[Country_Standard],"Not found")</f>
        <v>Iraq</v>
      </c>
      <c r="Q503" s="5" t="str">
        <f>_xlfn.XLOOKUP(Clean_Data[[#This Row],[Country]],country_region[Country],country_region[Region],"Not found")</f>
        <v>Middle East &amp; North Africa</v>
      </c>
      <c r="R503" s="5" t="str">
        <f>_xlfn.XLOOKUP(Clean_Data[[#This Row],[Type of Event]],event_type_category[Type of Event],event_type_category[Category],"Not found")</f>
        <v>Independence &amp; Nation-Building</v>
      </c>
    </row>
    <row r="504" spans="1:18">
      <c r="A504">
        <v>542</v>
      </c>
      <c r="B504" t="s">
        <v>2380</v>
      </c>
      <c r="E504" t="s">
        <v>1066</v>
      </c>
      <c r="F504" t="s">
        <v>2381</v>
      </c>
      <c r="G504" t="s">
        <v>500</v>
      </c>
      <c r="H504" t="s">
        <v>2382</v>
      </c>
      <c r="I504" t="s">
        <v>2383</v>
      </c>
      <c r="J504" t="s">
        <v>2384</v>
      </c>
      <c r="K504" t="s">
        <v>2385</v>
      </c>
      <c r="L504" t="s">
        <v>36</v>
      </c>
      <c r="M504">
        <v>1917</v>
      </c>
      <c r="N504" s="5">
        <f>ROUNDUP(Clean_Data[[#This Row],[Year_Num]]/100,0)</f>
        <v>20</v>
      </c>
      <c r="O504" s="5" t="str" cm="1">
        <f t="array" ref="O504">_xlfn.LET(_xlpm.y,Clean_Data[[#This Row],[Year_Num]],_xlfn.IFS(_xlpm.y&lt;500,"Ancient",_xlpm.y&lt;1500,"Medieval",_xlpm.y&lt;1800,"Early Modern",_xlpm.y&lt;1946,"Modern",TRUE,"Contemporary"))</f>
        <v>Modern</v>
      </c>
      <c r="P504" s="5" t="str">
        <f>_xlfn.XLOOKUP(Clean_Data[[#This Row],[Country]],country_region[Country],country_region[Country_Standard],"Not found")</f>
        <v>Kazakhstan</v>
      </c>
      <c r="Q504" s="5" t="str">
        <f>_xlfn.XLOOKUP(Clean_Data[[#This Row],[Country]],country_region[Country],country_region[Region],"Not found")</f>
        <v>Central Asia</v>
      </c>
      <c r="R504" s="5" t="str">
        <f>_xlfn.XLOOKUP(Clean_Data[[#This Row],[Type of Event]],event_type_category[Type of Event],event_type_category[Category],"Not found")</f>
        <v>Politics &amp; Law</v>
      </c>
    </row>
    <row r="505" spans="1:18">
      <c r="A505">
        <v>543</v>
      </c>
      <c r="B505" t="s">
        <v>2386</v>
      </c>
      <c r="E505" t="s">
        <v>381</v>
      </c>
      <c r="F505" t="s">
        <v>2387</v>
      </c>
      <c r="G505" t="s">
        <v>1712</v>
      </c>
      <c r="H505" t="s">
        <v>2387</v>
      </c>
      <c r="I505" t="s">
        <v>2388</v>
      </c>
      <c r="J505" t="s">
        <v>2389</v>
      </c>
      <c r="K505" t="s">
        <v>2390</v>
      </c>
      <c r="L505" t="s">
        <v>54</v>
      </c>
      <c r="M505">
        <v>1920</v>
      </c>
      <c r="N505" s="5">
        <f>ROUNDUP(Clean_Data[[#This Row],[Year_Num]]/100,0)</f>
        <v>20</v>
      </c>
      <c r="O505" s="5" t="str" cm="1">
        <f t="array" ref="O505">_xlfn.LET(_xlpm.y,Clean_Data[[#This Row],[Year_Num]],_xlfn.IFS(_xlpm.y&lt;500,"Ancient",_xlpm.y&lt;1500,"Medieval",_xlpm.y&lt;1800,"Early Modern",_xlpm.y&lt;1946,"Modern",TRUE,"Contemporary"))</f>
        <v>Modern</v>
      </c>
      <c r="P505" s="5" t="str">
        <f>_xlfn.XLOOKUP(Clean_Data[[#This Row],[Country]],country_region[Country],country_region[Country_Standard],"Not found")</f>
        <v>Uzbekistan</v>
      </c>
      <c r="Q505" s="5" t="str">
        <f>_xlfn.XLOOKUP(Clean_Data[[#This Row],[Country]],country_region[Country],country_region[Region],"Not found")</f>
        <v>Central Asia</v>
      </c>
      <c r="R505" s="5" t="str">
        <f>_xlfn.XLOOKUP(Clean_Data[[#This Row],[Type of Event]],event_type_category[Type of Event],event_type_category[Category],"Not found")</f>
        <v>Politics &amp; Law</v>
      </c>
    </row>
    <row r="506" spans="1:18">
      <c r="A506">
        <v>544</v>
      </c>
      <c r="B506" t="s">
        <v>2391</v>
      </c>
      <c r="E506" t="s">
        <v>1353</v>
      </c>
      <c r="F506" t="s">
        <v>2392</v>
      </c>
      <c r="G506" t="s">
        <v>1400</v>
      </c>
      <c r="H506" t="s">
        <v>2393</v>
      </c>
      <c r="I506" t="s">
        <v>2394</v>
      </c>
      <c r="J506" t="s">
        <v>2395</v>
      </c>
      <c r="K506" t="s">
        <v>2396</v>
      </c>
      <c r="L506" t="s">
        <v>36</v>
      </c>
      <c r="M506">
        <v>1910</v>
      </c>
      <c r="N506" s="5">
        <f>ROUNDUP(Clean_Data[[#This Row],[Year_Num]]/100,0)</f>
        <v>20</v>
      </c>
      <c r="O506" s="5" t="str" cm="1">
        <f t="array" ref="O506">_xlfn.LET(_xlpm.y,Clean_Data[[#This Row],[Year_Num]],_xlfn.IFS(_xlpm.y&lt;500,"Ancient",_xlpm.y&lt;1500,"Medieval",_xlpm.y&lt;1800,"Early Modern",_xlpm.y&lt;1946,"Modern",TRUE,"Contemporary"))</f>
        <v>Modern</v>
      </c>
      <c r="P506" s="5" t="str">
        <f>_xlfn.XLOOKUP(Clean_Data[[#This Row],[Country]],country_region[Country],country_region[Country_Standard],"Not found")</f>
        <v>Bhutan</v>
      </c>
      <c r="Q506" s="5" t="str">
        <f>_xlfn.XLOOKUP(Clean_Data[[#This Row],[Country]],country_region[Country],country_region[Region],"Not found")</f>
        <v>South Asia</v>
      </c>
      <c r="R506" s="5" t="str">
        <f>_xlfn.XLOOKUP(Clean_Data[[#This Row],[Type of Event]],event_type_category[Type of Event],event_type_category[Category],"Not found")</f>
        <v>Diplomacy &amp; International Relations</v>
      </c>
    </row>
    <row r="507" spans="1:18">
      <c r="A507">
        <v>545</v>
      </c>
      <c r="B507" t="s">
        <v>2397</v>
      </c>
      <c r="E507" t="s">
        <v>2398</v>
      </c>
      <c r="F507" t="s">
        <v>2399</v>
      </c>
      <c r="G507" t="s">
        <v>2400</v>
      </c>
      <c r="H507" t="s">
        <v>2399</v>
      </c>
      <c r="I507" t="s">
        <v>2401</v>
      </c>
      <c r="J507" t="s">
        <v>2402</v>
      </c>
      <c r="K507" t="s">
        <v>4985</v>
      </c>
      <c r="L507" t="s">
        <v>21</v>
      </c>
      <c r="M507">
        <v>1153</v>
      </c>
      <c r="N507" s="5">
        <f>ROUNDUP(Clean_Data[[#This Row],[Year_Num]]/100,0)</f>
        <v>12</v>
      </c>
      <c r="O507" s="5" t="str" cm="1">
        <f t="array" ref="O507">_xlfn.LET(_xlpm.y,Clean_Data[[#This Row],[Year_Num]],_xlfn.IFS(_xlpm.y&lt;500,"Ancient",_xlpm.y&lt;1500,"Medieval",_xlpm.y&lt;1800,"Early Modern",_xlpm.y&lt;1946,"Modern",TRUE,"Contemporary"))</f>
        <v>Medieval</v>
      </c>
      <c r="P507" s="5" t="str">
        <f>_xlfn.XLOOKUP(Clean_Data[[#This Row],[Country]],country_region[Country],country_region[Country_Standard],"Not found")</f>
        <v>Maldives</v>
      </c>
      <c r="Q507" s="5" t="str">
        <f>_xlfn.XLOOKUP(Clean_Data[[#This Row],[Country]],country_region[Country],country_region[Region],"Not found")</f>
        <v>South Asia</v>
      </c>
      <c r="R507" s="5" t="str">
        <f>_xlfn.XLOOKUP(Clean_Data[[#This Row],[Type of Event]],event_type_category[Type of Event],event_type_category[Category],"Not found")</f>
        <v>Culture, Religion &amp; Sport</v>
      </c>
    </row>
    <row r="508" spans="1:18">
      <c r="A508">
        <v>546</v>
      </c>
      <c r="B508" t="s">
        <v>2404</v>
      </c>
      <c r="E508" t="s">
        <v>411</v>
      </c>
      <c r="F508" t="s">
        <v>2288</v>
      </c>
      <c r="G508" t="s">
        <v>1896</v>
      </c>
      <c r="H508" t="s">
        <v>2288</v>
      </c>
      <c r="I508" t="s">
        <v>2405</v>
      </c>
      <c r="J508" t="s">
        <v>2406</v>
      </c>
      <c r="K508" t="s">
        <v>2294</v>
      </c>
      <c r="L508" t="s">
        <v>54</v>
      </c>
      <c r="M508">
        <v>1942</v>
      </c>
      <c r="N508" s="5">
        <f>ROUNDUP(Clean_Data[[#This Row],[Year_Num]]/100,0)</f>
        <v>20</v>
      </c>
      <c r="O508" s="5" t="str" cm="1">
        <f t="array" ref="O508">_xlfn.LET(_xlpm.y,Clean_Data[[#This Row],[Year_Num]],_xlfn.IFS(_xlpm.y&lt;500,"Ancient",_xlpm.y&lt;1500,"Medieval",_xlpm.y&lt;1800,"Early Modern",_xlpm.y&lt;1946,"Modern",TRUE,"Contemporary"))</f>
        <v>Modern</v>
      </c>
      <c r="P508" s="5" t="str">
        <f>_xlfn.XLOOKUP(Clean_Data[[#This Row],[Country]],country_region[Country],country_region[Country_Standard],"Not found")</f>
        <v>Malaysia</v>
      </c>
      <c r="Q508" s="5" t="str">
        <f>_xlfn.XLOOKUP(Clean_Data[[#This Row],[Country]],country_region[Country],country_region[Region],"Not found")</f>
        <v>Southeast Asia</v>
      </c>
      <c r="R508" s="5" t="str">
        <f>_xlfn.XLOOKUP(Clean_Data[[#This Row],[Type of Event]],event_type_category[Type of Event],event_type_category[Category],"Not found")</f>
        <v>War &amp; Conflict</v>
      </c>
    </row>
    <row r="509" spans="1:18">
      <c r="A509">
        <v>547</v>
      </c>
      <c r="B509" t="s">
        <v>2407</v>
      </c>
      <c r="E509" t="s">
        <v>2408</v>
      </c>
      <c r="F509" t="s">
        <v>2409</v>
      </c>
      <c r="G509" t="s">
        <v>2339</v>
      </c>
      <c r="H509" t="s">
        <v>2369</v>
      </c>
      <c r="I509" t="s">
        <v>2410</v>
      </c>
      <c r="J509" t="s">
        <v>2411</v>
      </c>
      <c r="K509" t="s">
        <v>2412</v>
      </c>
      <c r="L509" t="s">
        <v>21</v>
      </c>
      <c r="M509">
        <v>1906</v>
      </c>
      <c r="N509" s="5">
        <f>ROUNDUP(Clean_Data[[#This Row],[Year_Num]]/100,0)</f>
        <v>20</v>
      </c>
      <c r="O509" s="5" t="str" cm="1">
        <f t="array" ref="O509">_xlfn.LET(_xlpm.y,Clean_Data[[#This Row],[Year_Num]],_xlfn.IFS(_xlpm.y&lt;500,"Ancient",_xlpm.y&lt;1500,"Medieval",_xlpm.y&lt;1800,"Early Modern",_xlpm.y&lt;1946,"Modern",TRUE,"Contemporary"))</f>
        <v>Modern</v>
      </c>
      <c r="P509" s="5" t="str">
        <f>_xlfn.XLOOKUP(Clean_Data[[#This Row],[Country]],country_region[Country],country_region[Country_Standard],"Not found")</f>
        <v>Iran</v>
      </c>
      <c r="Q509" s="5" t="str">
        <f>_xlfn.XLOOKUP(Clean_Data[[#This Row],[Country]],country_region[Country],country_region[Region],"Not found")</f>
        <v>Middle East &amp; North Africa</v>
      </c>
      <c r="R509" s="5" t="str">
        <f>_xlfn.XLOOKUP(Clean_Data[[#This Row],[Type of Event]],event_type_category[Type of Event],event_type_category[Category],"Not found")</f>
        <v>Politics &amp; Law</v>
      </c>
    </row>
    <row r="510" spans="1:18">
      <c r="A510">
        <v>548</v>
      </c>
      <c r="B510" t="s">
        <v>2413</v>
      </c>
      <c r="E510" t="s">
        <v>1501</v>
      </c>
      <c r="F510" t="s">
        <v>2374</v>
      </c>
      <c r="G510" t="s">
        <v>1022</v>
      </c>
      <c r="H510" t="s">
        <v>2374</v>
      </c>
      <c r="I510" t="s">
        <v>2414</v>
      </c>
      <c r="J510" t="s">
        <v>2415</v>
      </c>
      <c r="K510" t="s">
        <v>2416</v>
      </c>
      <c r="L510" t="s">
        <v>21</v>
      </c>
      <c r="M510">
        <v>1932</v>
      </c>
      <c r="N510" s="5">
        <f>ROUNDUP(Clean_Data[[#This Row],[Year_Num]]/100,0)</f>
        <v>20</v>
      </c>
      <c r="O510" s="5" t="str" cm="1">
        <f t="array" ref="O510">_xlfn.LET(_xlpm.y,Clean_Data[[#This Row],[Year_Num]],_xlfn.IFS(_xlpm.y&lt;500,"Ancient",_xlpm.y&lt;1500,"Medieval",_xlpm.y&lt;1800,"Early Modern",_xlpm.y&lt;1946,"Modern",TRUE,"Contemporary"))</f>
        <v>Modern</v>
      </c>
      <c r="P510" s="5" t="str">
        <f>_xlfn.XLOOKUP(Clean_Data[[#This Row],[Country]],country_region[Country],country_region[Country_Standard],"Not found")</f>
        <v>Iraq</v>
      </c>
      <c r="Q510" s="5" t="str">
        <f>_xlfn.XLOOKUP(Clean_Data[[#This Row],[Country]],country_region[Country],country_region[Region],"Not found")</f>
        <v>Middle East &amp; North Africa</v>
      </c>
      <c r="R510" s="5" t="str">
        <f>_xlfn.XLOOKUP(Clean_Data[[#This Row],[Type of Event]],event_type_category[Type of Event],event_type_category[Category],"Not found")</f>
        <v>Independence &amp; Nation-Building</v>
      </c>
    </row>
    <row r="511" spans="1:18">
      <c r="A511">
        <v>549</v>
      </c>
      <c r="B511" t="s">
        <v>2417</v>
      </c>
      <c r="E511" t="s">
        <v>394</v>
      </c>
      <c r="F511" t="s">
        <v>2382</v>
      </c>
      <c r="G511" t="s">
        <v>213</v>
      </c>
      <c r="H511" t="s">
        <v>2382</v>
      </c>
      <c r="I511" t="s">
        <v>2418</v>
      </c>
      <c r="J511" t="s">
        <v>2419</v>
      </c>
      <c r="K511" t="s">
        <v>2420</v>
      </c>
      <c r="L511" t="s">
        <v>54</v>
      </c>
      <c r="M511">
        <v>1930</v>
      </c>
      <c r="N511" s="5">
        <f>ROUNDUP(Clean_Data[[#This Row],[Year_Num]]/100,0)</f>
        <v>20</v>
      </c>
      <c r="O511" s="5" t="str" cm="1">
        <f t="array" ref="O511">_xlfn.LET(_xlpm.y,Clean_Data[[#This Row],[Year_Num]],_xlfn.IFS(_xlpm.y&lt;500,"Ancient",_xlpm.y&lt;1500,"Medieval",_xlpm.y&lt;1800,"Early Modern",_xlpm.y&lt;1946,"Modern",TRUE,"Contemporary"))</f>
        <v>Modern</v>
      </c>
      <c r="P511" s="5" t="str">
        <f>_xlfn.XLOOKUP(Clean_Data[[#This Row],[Country]],country_region[Country],country_region[Country_Standard],"Not found")</f>
        <v>Kazakhstan</v>
      </c>
      <c r="Q511" s="5" t="str">
        <f>_xlfn.XLOOKUP(Clean_Data[[#This Row],[Country]],country_region[Country],country_region[Region],"Not found")</f>
        <v>Central Asia</v>
      </c>
      <c r="R511" s="5" t="str">
        <f>_xlfn.XLOOKUP(Clean_Data[[#This Row],[Type of Event]],event_type_category[Type of Event],event_type_category[Category],"Not found")</f>
        <v>Economy &amp; Infrastructure</v>
      </c>
    </row>
    <row r="512" spans="1:18">
      <c r="A512">
        <v>550</v>
      </c>
      <c r="B512" t="s">
        <v>2421</v>
      </c>
      <c r="E512" t="s">
        <v>2422</v>
      </c>
      <c r="F512" t="s">
        <v>2423</v>
      </c>
      <c r="G512" t="s">
        <v>2424</v>
      </c>
      <c r="H512" t="s">
        <v>2423</v>
      </c>
      <c r="I512" t="s">
        <v>2425</v>
      </c>
      <c r="J512" t="s">
        <v>2389</v>
      </c>
      <c r="K512" t="s">
        <v>2420</v>
      </c>
      <c r="L512" t="s">
        <v>36</v>
      </c>
      <c r="M512">
        <v>1924</v>
      </c>
      <c r="N512" s="5">
        <f>ROUNDUP(Clean_Data[[#This Row],[Year_Num]]/100,0)</f>
        <v>20</v>
      </c>
      <c r="O512" s="5" t="str" cm="1">
        <f t="array" ref="O512">_xlfn.LET(_xlpm.y,Clean_Data[[#This Row],[Year_Num]],_xlfn.IFS(_xlpm.y&lt;500,"Ancient",_xlpm.y&lt;1500,"Medieval",_xlpm.y&lt;1800,"Early Modern",_xlpm.y&lt;1946,"Modern",TRUE,"Contemporary"))</f>
        <v>Modern</v>
      </c>
      <c r="P512" s="5" t="str">
        <f>_xlfn.XLOOKUP(Clean_Data[[#This Row],[Country]],country_region[Country],country_region[Country_Standard],"Not found")</f>
        <v>Uzbekistan</v>
      </c>
      <c r="Q512" s="5" t="str">
        <f>_xlfn.XLOOKUP(Clean_Data[[#This Row],[Country]],country_region[Country],country_region[Region],"Not found")</f>
        <v>Central Asia</v>
      </c>
      <c r="R512" s="5" t="str">
        <f>_xlfn.XLOOKUP(Clean_Data[[#This Row],[Type of Event]],event_type_category[Type of Event],event_type_category[Category],"Not found")</f>
        <v>Politics &amp; Law</v>
      </c>
    </row>
    <row r="513" spans="1:18">
      <c r="A513">
        <v>551</v>
      </c>
      <c r="B513" t="s">
        <v>2426</v>
      </c>
      <c r="E513" t="s">
        <v>2427</v>
      </c>
      <c r="F513" t="s">
        <v>2428</v>
      </c>
      <c r="G513" t="s">
        <v>2429</v>
      </c>
      <c r="H513" t="s">
        <v>2428</v>
      </c>
      <c r="I513" t="s">
        <v>2430</v>
      </c>
      <c r="J513" t="s">
        <v>2395</v>
      </c>
      <c r="K513" t="s">
        <v>2431</v>
      </c>
      <c r="L513" t="s">
        <v>21</v>
      </c>
      <c r="M513">
        <v>1629</v>
      </c>
      <c r="N513" s="5">
        <f>ROUNDUP(Clean_Data[[#This Row],[Year_Num]]/100,0)</f>
        <v>17</v>
      </c>
      <c r="O513" s="5" t="str" cm="1">
        <f t="array" ref="O513">_xlfn.LET(_xlpm.y,Clean_Data[[#This Row],[Year_Num]],_xlfn.IFS(_xlpm.y&lt;500,"Ancient",_xlpm.y&lt;1500,"Medieval",_xlpm.y&lt;1800,"Early Modern",_xlpm.y&lt;1946,"Modern",TRUE,"Contemporary"))</f>
        <v>Early Modern</v>
      </c>
      <c r="P513" s="5" t="str">
        <f>_xlfn.XLOOKUP(Clean_Data[[#This Row],[Country]],country_region[Country],country_region[Country_Standard],"Not found")</f>
        <v>Bhutan</v>
      </c>
      <c r="Q513" s="5" t="str">
        <f>_xlfn.XLOOKUP(Clean_Data[[#This Row],[Country]],country_region[Country],country_region[Region],"Not found")</f>
        <v>South Asia</v>
      </c>
      <c r="R513" s="5" t="str">
        <f>_xlfn.XLOOKUP(Clean_Data[[#This Row],[Type of Event]],event_type_category[Type of Event],event_type_category[Category],"Not found")</f>
        <v>Culture, Religion &amp; Sport</v>
      </c>
    </row>
    <row r="514" spans="1:18">
      <c r="A514">
        <v>552</v>
      </c>
      <c r="B514" t="s">
        <v>2432</v>
      </c>
      <c r="E514" t="s">
        <v>2433</v>
      </c>
      <c r="F514" t="s">
        <v>2399</v>
      </c>
      <c r="G514" t="s">
        <v>2434</v>
      </c>
      <c r="H514" t="s">
        <v>2399</v>
      </c>
      <c r="I514" t="s">
        <v>4986</v>
      </c>
      <c r="J514" t="s">
        <v>2436</v>
      </c>
      <c r="K514" t="s">
        <v>2437</v>
      </c>
      <c r="L514" t="s">
        <v>36</v>
      </c>
      <c r="M514">
        <v>1887</v>
      </c>
      <c r="N514" s="5">
        <f>ROUNDUP(Clean_Data[[#This Row],[Year_Num]]/100,0)</f>
        <v>19</v>
      </c>
      <c r="O514" s="5" t="str" cm="1">
        <f t="array" ref="O514">_xlfn.LET(_xlpm.y,Clean_Data[[#This Row],[Year_Num]],_xlfn.IFS(_xlpm.y&lt;500,"Ancient",_xlpm.y&lt;1500,"Medieval",_xlpm.y&lt;1800,"Early Modern",_xlpm.y&lt;1946,"Modern",TRUE,"Contemporary"))</f>
        <v>Modern</v>
      </c>
      <c r="P514" s="5" t="str">
        <f>_xlfn.XLOOKUP(Clean_Data[[#This Row],[Country]],country_region[Country],country_region[Country_Standard],"Not found")</f>
        <v>Maldives</v>
      </c>
      <c r="Q514" s="5" t="str">
        <f>_xlfn.XLOOKUP(Clean_Data[[#This Row],[Country]],country_region[Country],country_region[Region],"Not found")</f>
        <v>South Asia</v>
      </c>
      <c r="R514" s="5" t="str">
        <f>_xlfn.XLOOKUP(Clean_Data[[#This Row],[Type of Event]],event_type_category[Type of Event],event_type_category[Category],"Not found")</f>
        <v>Independence &amp; Nation-Building</v>
      </c>
    </row>
    <row r="515" spans="1:18">
      <c r="A515">
        <v>553</v>
      </c>
      <c r="B515" t="s">
        <v>2438</v>
      </c>
      <c r="E515" t="s">
        <v>2126</v>
      </c>
      <c r="F515" t="s">
        <v>2322</v>
      </c>
      <c r="G515" t="s">
        <v>500</v>
      </c>
      <c r="H515" t="s">
        <v>2322</v>
      </c>
      <c r="I515" t="s">
        <v>2439</v>
      </c>
      <c r="J515" t="s">
        <v>2406</v>
      </c>
      <c r="K515" t="s">
        <v>2440</v>
      </c>
      <c r="L515" t="s">
        <v>21</v>
      </c>
      <c r="M515">
        <v>1946</v>
      </c>
      <c r="N515" s="5">
        <f>ROUNDUP(Clean_Data[[#This Row],[Year_Num]]/100,0)</f>
        <v>20</v>
      </c>
      <c r="O515" s="5" t="str" cm="1">
        <f t="array" ref="O515">_xlfn.LET(_xlpm.y,Clean_Data[[#This Row],[Year_Num]],_xlfn.IFS(_xlpm.y&lt;500,"Ancient",_xlpm.y&lt;1500,"Medieval",_xlpm.y&lt;1800,"Early Modern",_xlpm.y&lt;1946,"Modern",TRUE,"Contemporary"))</f>
        <v>Contemporary</v>
      </c>
      <c r="P515" s="5" t="str">
        <f>_xlfn.XLOOKUP(Clean_Data[[#This Row],[Country]],country_region[Country],country_region[Country_Standard],"Not found")</f>
        <v>Malaysia</v>
      </c>
      <c r="Q515" s="5" t="str">
        <f>_xlfn.XLOOKUP(Clean_Data[[#This Row],[Country]],country_region[Country],country_region[Region],"Not found")</f>
        <v>Southeast Asia</v>
      </c>
      <c r="R515" s="5" t="str">
        <f>_xlfn.XLOOKUP(Clean_Data[[#This Row],[Type of Event]],event_type_category[Type of Event],event_type_category[Category],"Not found")</f>
        <v>Politics &amp; Law</v>
      </c>
    </row>
    <row r="516" spans="1:18">
      <c r="A516">
        <v>555</v>
      </c>
      <c r="B516" t="s">
        <v>2441</v>
      </c>
      <c r="E516" t="s">
        <v>4987</v>
      </c>
      <c r="F516" t="s">
        <v>2443</v>
      </c>
      <c r="G516" t="s">
        <v>2444</v>
      </c>
      <c r="H516" t="s">
        <v>2443</v>
      </c>
      <c r="I516" t="s">
        <v>2445</v>
      </c>
      <c r="J516" t="s">
        <v>2446</v>
      </c>
      <c r="K516" t="s">
        <v>2447</v>
      </c>
      <c r="L516" t="s">
        <v>21</v>
      </c>
      <c r="M516">
        <v>-1754</v>
      </c>
      <c r="N516" s="5">
        <f>ROUNDUP(Clean_Data[[#This Row],[Year_Num]]/100,0)</f>
        <v>-18</v>
      </c>
      <c r="O516" s="5" t="str" cm="1">
        <f t="array" ref="O516">_xlfn.LET(_xlpm.y,Clean_Data[[#This Row],[Year_Num]],_xlfn.IFS(_xlpm.y&lt;500,"Ancient",_xlpm.y&lt;1500,"Medieval",_xlpm.y&lt;1800,"Early Modern",_xlpm.y&lt;1946,"Modern",TRUE,"Contemporary"))</f>
        <v>Ancient</v>
      </c>
      <c r="P516" s="5" t="str">
        <f>_xlfn.XLOOKUP(Clean_Data[[#This Row],[Country]],country_region[Country],country_region[Country_Standard],"Not found")</f>
        <v>Iraq</v>
      </c>
      <c r="Q516" s="5" t="str">
        <f>_xlfn.XLOOKUP(Clean_Data[[#This Row],[Country]],country_region[Country],country_region[Region],"Not found")</f>
        <v>Middle East &amp; North Africa</v>
      </c>
      <c r="R516" s="5" t="str">
        <f>_xlfn.XLOOKUP(Clean_Data[[#This Row],[Type of Event]],event_type_category[Type of Event],event_type_category[Category],"Not found")</f>
        <v>Politics &amp; Law</v>
      </c>
    </row>
    <row r="517" spans="1:18">
      <c r="A517">
        <v>556</v>
      </c>
      <c r="B517" t="s">
        <v>2448</v>
      </c>
      <c r="E517" t="s">
        <v>2449</v>
      </c>
      <c r="F517" t="s">
        <v>2382</v>
      </c>
      <c r="G517" t="s">
        <v>2450</v>
      </c>
      <c r="H517" t="s">
        <v>2382</v>
      </c>
      <c r="I517" t="s">
        <v>2451</v>
      </c>
      <c r="J517" t="s">
        <v>2452</v>
      </c>
      <c r="K517" t="s">
        <v>1033</v>
      </c>
      <c r="L517" t="s">
        <v>36</v>
      </c>
      <c r="M517">
        <v>1200</v>
      </c>
      <c r="N517" s="5">
        <f>ROUNDUP(Clean_Data[[#This Row],[Year_Num]]/100,0)</f>
        <v>12</v>
      </c>
      <c r="O517" s="5" t="str" cm="1">
        <f t="array" ref="O517">_xlfn.LET(_xlpm.y,Clean_Data[[#This Row],[Year_Num]],_xlfn.IFS(_xlpm.y&lt;500,"Ancient",_xlpm.y&lt;1500,"Medieval",_xlpm.y&lt;1800,"Early Modern",_xlpm.y&lt;1946,"Modern",TRUE,"Contemporary"))</f>
        <v>Medieval</v>
      </c>
      <c r="P517" s="5" t="str">
        <f>_xlfn.XLOOKUP(Clean_Data[[#This Row],[Country]],country_region[Country],country_region[Country_Standard],"Not found")</f>
        <v>Kazakhstan</v>
      </c>
      <c r="Q517" s="5" t="str">
        <f>_xlfn.XLOOKUP(Clean_Data[[#This Row],[Country]],country_region[Country],country_region[Region],"Not found")</f>
        <v>Central Asia</v>
      </c>
      <c r="R517" s="5" t="str">
        <f>_xlfn.XLOOKUP(Clean_Data[[#This Row],[Type of Event]],event_type_category[Type of Event],event_type_category[Category],"Not found")</f>
        <v>Independence &amp; Nation-Building</v>
      </c>
    </row>
    <row r="518" spans="1:18">
      <c r="A518">
        <v>558</v>
      </c>
      <c r="B518" t="s">
        <v>2453</v>
      </c>
      <c r="E518" t="s">
        <v>2454</v>
      </c>
      <c r="F518" t="s">
        <v>2392</v>
      </c>
      <c r="G518" t="s">
        <v>2455</v>
      </c>
      <c r="H518" t="s">
        <v>2392</v>
      </c>
      <c r="I518" t="s">
        <v>2456</v>
      </c>
      <c r="J518" t="s">
        <v>2395</v>
      </c>
      <c r="K518" t="s">
        <v>2457</v>
      </c>
      <c r="L518" t="s">
        <v>21</v>
      </c>
      <c r="M518">
        <v>746</v>
      </c>
      <c r="N518" s="5">
        <f>ROUNDUP(Clean_Data[[#This Row],[Year_Num]]/100,0)</f>
        <v>8</v>
      </c>
      <c r="O518" s="5" t="str" cm="1">
        <f t="array" ref="O518">_xlfn.LET(_xlpm.y,Clean_Data[[#This Row],[Year_Num]],_xlfn.IFS(_xlpm.y&lt;500,"Ancient",_xlpm.y&lt;1500,"Medieval",_xlpm.y&lt;1800,"Early Modern",_xlpm.y&lt;1946,"Modern",TRUE,"Contemporary"))</f>
        <v>Medieval</v>
      </c>
      <c r="P518" s="5" t="str">
        <f>_xlfn.XLOOKUP(Clean_Data[[#This Row],[Country]],country_region[Country],country_region[Country_Standard],"Not found")</f>
        <v>Bhutan</v>
      </c>
      <c r="Q518" s="5" t="str">
        <f>_xlfn.XLOOKUP(Clean_Data[[#This Row],[Country]],country_region[Country],country_region[Region],"Not found")</f>
        <v>South Asia</v>
      </c>
      <c r="R518" s="5" t="str">
        <f>_xlfn.XLOOKUP(Clean_Data[[#This Row],[Type of Event]],event_type_category[Type of Event],event_type_category[Category],"Not found")</f>
        <v>Culture, Religion &amp; Sport</v>
      </c>
    </row>
    <row r="519" spans="1:18">
      <c r="A519">
        <v>559</v>
      </c>
      <c r="B519" t="s">
        <v>2458</v>
      </c>
      <c r="E519" t="s">
        <v>2398</v>
      </c>
      <c r="F519" t="s">
        <v>2399</v>
      </c>
      <c r="G519" t="s">
        <v>2400</v>
      </c>
      <c r="H519" t="s">
        <v>2399</v>
      </c>
      <c r="I519" t="s">
        <v>2459</v>
      </c>
      <c r="J519" t="s">
        <v>2436</v>
      </c>
      <c r="K519" t="s">
        <v>4985</v>
      </c>
      <c r="L519" t="s">
        <v>21</v>
      </c>
      <c r="M519">
        <v>1153</v>
      </c>
      <c r="N519" s="5">
        <f>ROUNDUP(Clean_Data[[#This Row],[Year_Num]]/100,0)</f>
        <v>12</v>
      </c>
      <c r="O519" s="5" t="str" cm="1">
        <f t="array" ref="O519">_xlfn.LET(_xlpm.y,Clean_Data[[#This Row],[Year_Num]],_xlfn.IFS(_xlpm.y&lt;500,"Ancient",_xlpm.y&lt;1500,"Medieval",_xlpm.y&lt;1800,"Early Modern",_xlpm.y&lt;1946,"Modern",TRUE,"Contemporary"))</f>
        <v>Medieval</v>
      </c>
      <c r="P519" s="5" t="str">
        <f>_xlfn.XLOOKUP(Clean_Data[[#This Row],[Country]],country_region[Country],country_region[Country_Standard],"Not found")</f>
        <v>Maldives</v>
      </c>
      <c r="Q519" s="5" t="str">
        <f>_xlfn.XLOOKUP(Clean_Data[[#This Row],[Country]],country_region[Country],country_region[Region],"Not found")</f>
        <v>South Asia</v>
      </c>
      <c r="R519" s="5" t="str">
        <f>_xlfn.XLOOKUP(Clean_Data[[#This Row],[Type of Event]],event_type_category[Type of Event],event_type_category[Category],"Not found")</f>
        <v>Culture, Religion &amp; Sport</v>
      </c>
    </row>
    <row r="520" spans="1:18">
      <c r="A520">
        <v>560</v>
      </c>
      <c r="B520" t="s">
        <v>2460</v>
      </c>
      <c r="E520" t="s">
        <v>2461</v>
      </c>
      <c r="F520" t="s">
        <v>2462</v>
      </c>
      <c r="G520" t="s">
        <v>2463</v>
      </c>
      <c r="H520" t="s">
        <v>2462</v>
      </c>
      <c r="I520" t="s">
        <v>2464</v>
      </c>
      <c r="J520" t="s">
        <v>2406</v>
      </c>
      <c r="K520" t="s">
        <v>2465</v>
      </c>
      <c r="L520" t="s">
        <v>21</v>
      </c>
      <c r="M520">
        <v>1402</v>
      </c>
      <c r="N520" s="5">
        <f>ROUNDUP(Clean_Data[[#This Row],[Year_Num]]/100,0)</f>
        <v>15</v>
      </c>
      <c r="O520" s="5" t="str" cm="1">
        <f t="array" ref="O520">_xlfn.LET(_xlpm.y,Clean_Data[[#This Row],[Year_Num]],_xlfn.IFS(_xlpm.y&lt;500,"Ancient",_xlpm.y&lt;1500,"Medieval",_xlpm.y&lt;1800,"Early Modern",_xlpm.y&lt;1946,"Modern",TRUE,"Contemporary"))</f>
        <v>Medieval</v>
      </c>
      <c r="P520" s="5" t="str">
        <f>_xlfn.XLOOKUP(Clean_Data[[#This Row],[Country]],country_region[Country],country_region[Country_Standard],"Not found")</f>
        <v>Malaysia</v>
      </c>
      <c r="Q520" s="5" t="str">
        <f>_xlfn.XLOOKUP(Clean_Data[[#This Row],[Country]],country_region[Country],country_region[Region],"Not found")</f>
        <v>Southeast Asia</v>
      </c>
      <c r="R520" s="5" t="str">
        <f>_xlfn.XLOOKUP(Clean_Data[[#This Row],[Type of Event]],event_type_category[Type of Event],event_type_category[Category],"Not found")</f>
        <v>Independence &amp; Nation-Building</v>
      </c>
    </row>
    <row r="521" spans="1:18">
      <c r="A521">
        <v>561</v>
      </c>
      <c r="B521" t="s">
        <v>2466</v>
      </c>
      <c r="E521" t="s">
        <v>2467</v>
      </c>
      <c r="F521" t="s">
        <v>2468</v>
      </c>
      <c r="G521" t="s">
        <v>2469</v>
      </c>
      <c r="H521" t="s">
        <v>2468</v>
      </c>
      <c r="I521" t="s">
        <v>2470</v>
      </c>
      <c r="J521" t="s">
        <v>2471</v>
      </c>
      <c r="K521" t="s">
        <v>2472</v>
      </c>
      <c r="L521" t="s">
        <v>36</v>
      </c>
      <c r="M521">
        <v>651</v>
      </c>
      <c r="N521" s="5">
        <f>ROUNDUP(Clean_Data[[#This Row],[Year_Num]]/100,0)</f>
        <v>7</v>
      </c>
      <c r="O521" s="5" t="str" cm="1">
        <f t="array" ref="O521">_xlfn.LET(_xlpm.y,Clean_Data[[#This Row],[Year_Num]],_xlfn.IFS(_xlpm.y&lt;500,"Ancient",_xlpm.y&lt;1500,"Medieval",_xlpm.y&lt;1800,"Early Modern",_xlpm.y&lt;1946,"Modern",TRUE,"Contemporary"))</f>
        <v>Medieval</v>
      </c>
      <c r="P521" s="5" t="str">
        <f>_xlfn.XLOOKUP(Clean_Data[[#This Row],[Country]],country_region[Country],country_region[Country_Standard],"Not found")</f>
        <v>Iran</v>
      </c>
      <c r="Q521" s="5" t="str">
        <f>_xlfn.XLOOKUP(Clean_Data[[#This Row],[Country]],country_region[Country],country_region[Region],"Not found")</f>
        <v>Middle East &amp; North Africa</v>
      </c>
      <c r="R521" s="5" t="str">
        <f>_xlfn.XLOOKUP(Clean_Data[[#This Row],[Type of Event]],event_type_category[Type of Event],event_type_category[Category],"Not found")</f>
        <v>War &amp; Conflict</v>
      </c>
    </row>
    <row r="522" spans="1:18">
      <c r="A522">
        <v>562</v>
      </c>
      <c r="B522" t="s">
        <v>2473</v>
      </c>
      <c r="E522" t="s">
        <v>2474</v>
      </c>
      <c r="F522" t="s">
        <v>2374</v>
      </c>
      <c r="G522" t="s">
        <v>2475</v>
      </c>
      <c r="H522" t="s">
        <v>2476</v>
      </c>
      <c r="I522" t="s">
        <v>2477</v>
      </c>
      <c r="J522" t="s">
        <v>2378</v>
      </c>
      <c r="K522" t="s">
        <v>4988</v>
      </c>
      <c r="L522" t="s">
        <v>21</v>
      </c>
      <c r="M522">
        <v>762</v>
      </c>
      <c r="N522" s="5">
        <f>ROUNDUP(Clean_Data[[#This Row],[Year_Num]]/100,0)</f>
        <v>8</v>
      </c>
      <c r="O522" s="5" t="str" cm="1">
        <f t="array" ref="O522">_xlfn.LET(_xlpm.y,Clean_Data[[#This Row],[Year_Num]],_xlfn.IFS(_xlpm.y&lt;500,"Ancient",_xlpm.y&lt;1500,"Medieval",_xlpm.y&lt;1800,"Early Modern",_xlpm.y&lt;1946,"Modern",TRUE,"Contemporary"))</f>
        <v>Medieval</v>
      </c>
      <c r="P522" s="5" t="str">
        <f>_xlfn.XLOOKUP(Clean_Data[[#This Row],[Country]],country_region[Country],country_region[Country_Standard],"Not found")</f>
        <v>Iraq</v>
      </c>
      <c r="Q522" s="5" t="str">
        <f>_xlfn.XLOOKUP(Clean_Data[[#This Row],[Country]],country_region[Country],country_region[Region],"Not found")</f>
        <v>Middle East &amp; North Africa</v>
      </c>
      <c r="R522" s="5" t="str">
        <f>_xlfn.XLOOKUP(Clean_Data[[#This Row],[Type of Event]],event_type_category[Type of Event],event_type_category[Category],"Not found")</f>
        <v>Independence &amp; Nation-Building</v>
      </c>
    </row>
    <row r="523" spans="1:18">
      <c r="A523">
        <v>563</v>
      </c>
      <c r="B523" t="s">
        <v>2479</v>
      </c>
      <c r="E523" t="s">
        <v>2480</v>
      </c>
      <c r="F523" t="s">
        <v>2382</v>
      </c>
      <c r="G523" t="s">
        <v>2481</v>
      </c>
      <c r="H523" t="s">
        <v>2382</v>
      </c>
      <c r="I523" t="s">
        <v>2482</v>
      </c>
      <c r="J523" t="s">
        <v>2483</v>
      </c>
      <c r="K523" t="s">
        <v>1057</v>
      </c>
      <c r="L523" t="s">
        <v>54</v>
      </c>
      <c r="M523">
        <v>1731</v>
      </c>
      <c r="N523" s="5">
        <f>ROUNDUP(Clean_Data[[#This Row],[Year_Num]]/100,0)</f>
        <v>18</v>
      </c>
      <c r="O523" s="5" t="str" cm="1">
        <f t="array" ref="O523">_xlfn.LET(_xlpm.y,Clean_Data[[#This Row],[Year_Num]],_xlfn.IFS(_xlpm.y&lt;500,"Ancient",_xlpm.y&lt;1500,"Medieval",_xlpm.y&lt;1800,"Early Modern",_xlpm.y&lt;1946,"Modern",TRUE,"Contemporary"))</f>
        <v>Early Modern</v>
      </c>
      <c r="P523" s="5" t="str">
        <f>_xlfn.XLOOKUP(Clean_Data[[#This Row],[Country]],country_region[Country],country_region[Country_Standard],"Not found")</f>
        <v>Kazakhstan</v>
      </c>
      <c r="Q523" s="5" t="str">
        <f>_xlfn.XLOOKUP(Clean_Data[[#This Row],[Country]],country_region[Country],country_region[Region],"Not found")</f>
        <v>Central Asia</v>
      </c>
      <c r="R523" s="5" t="str">
        <f>_xlfn.XLOOKUP(Clean_Data[[#This Row],[Type of Event]],event_type_category[Type of Event],event_type_category[Category],"Not found")</f>
        <v>Independence &amp; Nation-Building</v>
      </c>
    </row>
    <row r="524" spans="1:18">
      <c r="A524">
        <v>564</v>
      </c>
      <c r="B524" t="s">
        <v>2484</v>
      </c>
      <c r="E524" t="s">
        <v>2485</v>
      </c>
      <c r="F524" t="s">
        <v>2423</v>
      </c>
      <c r="G524" t="s">
        <v>2486</v>
      </c>
      <c r="H524" t="s">
        <v>2487</v>
      </c>
      <c r="I524" t="s">
        <v>2488</v>
      </c>
      <c r="J524" t="s">
        <v>2452</v>
      </c>
      <c r="K524" t="s">
        <v>2489</v>
      </c>
      <c r="L524" t="s">
        <v>21</v>
      </c>
      <c r="M524">
        <v>1405</v>
      </c>
      <c r="N524" s="5">
        <f>ROUNDUP(Clean_Data[[#This Row],[Year_Num]]/100,0)</f>
        <v>15</v>
      </c>
      <c r="O524" s="5" t="str" cm="1">
        <f t="array" ref="O524">_xlfn.LET(_xlpm.y,Clean_Data[[#This Row],[Year_Num]],_xlfn.IFS(_xlpm.y&lt;500,"Ancient",_xlpm.y&lt;1500,"Medieval",_xlpm.y&lt;1800,"Early Modern",_xlpm.y&lt;1946,"Modern",TRUE,"Contemporary"))</f>
        <v>Medieval</v>
      </c>
      <c r="P524" s="5" t="str">
        <f>_xlfn.XLOOKUP(Clean_Data[[#This Row],[Country]],country_region[Country],country_region[Country_Standard],"Not found")</f>
        <v>Uzbekistan</v>
      </c>
      <c r="Q524" s="5" t="str">
        <f>_xlfn.XLOOKUP(Clean_Data[[#This Row],[Country]],country_region[Country],country_region[Region],"Not found")</f>
        <v>Central Asia</v>
      </c>
      <c r="R524" s="5" t="str">
        <f>_xlfn.XLOOKUP(Clean_Data[[#This Row],[Type of Event]],event_type_category[Type of Event],event_type_category[Category],"Not found")</f>
        <v>Independence &amp; Nation-Building</v>
      </c>
    </row>
    <row r="525" spans="1:18">
      <c r="A525">
        <v>565</v>
      </c>
      <c r="B525" t="s">
        <v>2490</v>
      </c>
      <c r="E525" t="s">
        <v>2491</v>
      </c>
      <c r="F525" t="s">
        <v>2392</v>
      </c>
      <c r="G525" t="s">
        <v>2492</v>
      </c>
      <c r="H525" t="s">
        <v>2392</v>
      </c>
      <c r="I525" t="s">
        <v>2493</v>
      </c>
      <c r="J525" t="s">
        <v>2395</v>
      </c>
      <c r="K525" t="s">
        <v>2494</v>
      </c>
      <c r="L525" t="s">
        <v>21</v>
      </c>
      <c r="M525">
        <v>1634</v>
      </c>
      <c r="N525" s="5">
        <f>ROUNDUP(Clean_Data[[#This Row],[Year_Num]]/100,0)</f>
        <v>17</v>
      </c>
      <c r="O525" s="5" t="str" cm="1">
        <f t="array" ref="O525">_xlfn.LET(_xlpm.y,Clean_Data[[#This Row],[Year_Num]],_xlfn.IFS(_xlpm.y&lt;500,"Ancient",_xlpm.y&lt;1500,"Medieval",_xlpm.y&lt;1800,"Early Modern",_xlpm.y&lt;1946,"Modern",TRUE,"Contemporary"))</f>
        <v>Early Modern</v>
      </c>
      <c r="P525" s="5" t="str">
        <f>_xlfn.XLOOKUP(Clean_Data[[#This Row],[Country]],country_region[Country],country_region[Country_Standard],"Not found")</f>
        <v>Bhutan</v>
      </c>
      <c r="Q525" s="5" t="str">
        <f>_xlfn.XLOOKUP(Clean_Data[[#This Row],[Country]],country_region[Country],country_region[Region],"Not found")</f>
        <v>South Asia</v>
      </c>
      <c r="R525" s="5" t="str">
        <f>_xlfn.XLOOKUP(Clean_Data[[#This Row],[Type of Event]],event_type_category[Type of Event],event_type_category[Category],"Not found")</f>
        <v>Independence &amp; Nation-Building</v>
      </c>
    </row>
    <row r="526" spans="1:18">
      <c r="A526">
        <v>566</v>
      </c>
      <c r="B526" t="s">
        <v>4989</v>
      </c>
      <c r="E526" t="s">
        <v>2496</v>
      </c>
      <c r="F526" t="s">
        <v>2399</v>
      </c>
      <c r="G526" t="s">
        <v>2497</v>
      </c>
      <c r="H526" t="s">
        <v>2399</v>
      </c>
      <c r="I526" t="s">
        <v>2498</v>
      </c>
      <c r="J526" t="s">
        <v>2436</v>
      </c>
      <c r="K526" t="s">
        <v>4990</v>
      </c>
      <c r="L526" t="s">
        <v>21</v>
      </c>
      <c r="M526">
        <v>1558</v>
      </c>
      <c r="N526" s="5">
        <f>ROUNDUP(Clean_Data[[#This Row],[Year_Num]]/100,0)</f>
        <v>16</v>
      </c>
      <c r="O526" s="5" t="str" cm="1">
        <f t="array" ref="O526">_xlfn.LET(_xlpm.y,Clean_Data[[#This Row],[Year_Num]],_xlfn.IFS(_xlpm.y&lt;500,"Ancient",_xlpm.y&lt;1500,"Medieval",_xlpm.y&lt;1800,"Early Modern",_xlpm.y&lt;1946,"Modern",TRUE,"Contemporary"))</f>
        <v>Early Modern</v>
      </c>
      <c r="P526" s="5" t="str">
        <f>_xlfn.XLOOKUP(Clean_Data[[#This Row],[Country]],country_region[Country],country_region[Country_Standard],"Not found")</f>
        <v>Maldives</v>
      </c>
      <c r="Q526" s="5" t="str">
        <f>_xlfn.XLOOKUP(Clean_Data[[#This Row],[Country]],country_region[Country],country_region[Region],"Not found")</f>
        <v>South Asia</v>
      </c>
      <c r="R526" s="5" t="str">
        <f>_xlfn.XLOOKUP(Clean_Data[[#This Row],[Type of Event]],event_type_category[Type of Event],event_type_category[Category],"Not found")</f>
        <v>Politics &amp; Law</v>
      </c>
    </row>
    <row r="527" spans="1:18">
      <c r="A527">
        <v>567</v>
      </c>
      <c r="B527" t="s">
        <v>2500</v>
      </c>
      <c r="E527" t="s">
        <v>2148</v>
      </c>
      <c r="F527" t="s">
        <v>2322</v>
      </c>
      <c r="G527" t="s">
        <v>2375</v>
      </c>
      <c r="H527" t="s">
        <v>2322</v>
      </c>
      <c r="I527" t="s">
        <v>2501</v>
      </c>
      <c r="J527" t="s">
        <v>2502</v>
      </c>
      <c r="K527" t="s">
        <v>2284</v>
      </c>
      <c r="L527" t="s">
        <v>54</v>
      </c>
      <c r="M527">
        <v>1824</v>
      </c>
      <c r="N527" s="5">
        <f>ROUNDUP(Clean_Data[[#This Row],[Year_Num]]/100,0)</f>
        <v>19</v>
      </c>
      <c r="O527" s="5" t="str" cm="1">
        <f t="array" ref="O527">_xlfn.LET(_xlpm.y,Clean_Data[[#This Row],[Year_Num]],_xlfn.IFS(_xlpm.y&lt;500,"Ancient",_xlpm.y&lt;1500,"Medieval",_xlpm.y&lt;1800,"Early Modern",_xlpm.y&lt;1946,"Modern",TRUE,"Contemporary"))</f>
        <v>Modern</v>
      </c>
      <c r="P527" s="5" t="str">
        <f>_xlfn.XLOOKUP(Clean_Data[[#This Row],[Country]],country_region[Country],country_region[Country_Standard],"Not found")</f>
        <v>Malaysia</v>
      </c>
      <c r="Q527" s="5" t="str">
        <f>_xlfn.XLOOKUP(Clean_Data[[#This Row],[Country]],country_region[Country],country_region[Region],"Not found")</f>
        <v>Southeast Asia</v>
      </c>
      <c r="R527" s="5" t="str">
        <f>_xlfn.XLOOKUP(Clean_Data[[#This Row],[Type of Event]],event_type_category[Type of Event],event_type_category[Category],"Not found")</f>
        <v>Independence &amp; Nation-Building</v>
      </c>
    </row>
    <row r="528" spans="1:18">
      <c r="A528">
        <v>568</v>
      </c>
      <c r="B528" t="s">
        <v>4991</v>
      </c>
      <c r="E528" t="s">
        <v>2504</v>
      </c>
      <c r="F528" t="s">
        <v>2369</v>
      </c>
      <c r="G528" t="s">
        <v>1400</v>
      </c>
      <c r="H528" t="s">
        <v>2369</v>
      </c>
      <c r="I528" t="s">
        <v>2505</v>
      </c>
      <c r="J528" t="s">
        <v>2371</v>
      </c>
      <c r="K528" t="s">
        <v>2506</v>
      </c>
      <c r="L528" t="s">
        <v>54</v>
      </c>
      <c r="M528">
        <v>1907</v>
      </c>
      <c r="N528" s="5">
        <f>ROUNDUP(Clean_Data[[#This Row],[Year_Num]]/100,0)</f>
        <v>20</v>
      </c>
      <c r="O528" s="5" t="str" cm="1">
        <f t="array" ref="O528">_xlfn.LET(_xlpm.y,Clean_Data[[#This Row],[Year_Num]],_xlfn.IFS(_xlpm.y&lt;500,"Ancient",_xlpm.y&lt;1500,"Medieval",_xlpm.y&lt;1800,"Early Modern",_xlpm.y&lt;1946,"Modern",TRUE,"Contemporary"))</f>
        <v>Modern</v>
      </c>
      <c r="P528" s="5" t="str">
        <f>_xlfn.XLOOKUP(Clean_Data[[#This Row],[Country]],country_region[Country],country_region[Country_Standard],"Not found")</f>
        <v>Iran</v>
      </c>
      <c r="Q528" s="5" t="str">
        <f>_xlfn.XLOOKUP(Clean_Data[[#This Row],[Country]],country_region[Country],country_region[Region],"Not found")</f>
        <v>Middle East &amp; North Africa</v>
      </c>
      <c r="R528" s="5" t="str">
        <f>_xlfn.XLOOKUP(Clean_Data[[#This Row],[Type of Event]],event_type_category[Type of Event],event_type_category[Category],"Not found")</f>
        <v>Diplomacy &amp; International Relations</v>
      </c>
    </row>
    <row r="529" spans="1:18">
      <c r="A529">
        <v>569</v>
      </c>
      <c r="B529" t="s">
        <v>2507</v>
      </c>
      <c r="E529" t="s">
        <v>381</v>
      </c>
      <c r="F529" t="s">
        <v>2374</v>
      </c>
      <c r="G529" t="s">
        <v>1022</v>
      </c>
      <c r="H529" t="s">
        <v>2374</v>
      </c>
      <c r="I529" t="s">
        <v>2508</v>
      </c>
      <c r="J529" t="s">
        <v>2415</v>
      </c>
      <c r="K529" t="s">
        <v>2509</v>
      </c>
      <c r="L529" t="s">
        <v>36</v>
      </c>
      <c r="M529">
        <v>1920</v>
      </c>
      <c r="N529" s="5">
        <f>ROUNDUP(Clean_Data[[#This Row],[Year_Num]]/100,0)</f>
        <v>20</v>
      </c>
      <c r="O529" s="5" t="str" cm="1">
        <f t="array" ref="O529">_xlfn.LET(_xlpm.y,Clean_Data[[#This Row],[Year_Num]],_xlfn.IFS(_xlpm.y&lt;500,"Ancient",_xlpm.y&lt;1500,"Medieval",_xlpm.y&lt;1800,"Early Modern",_xlpm.y&lt;1946,"Modern",TRUE,"Contemporary"))</f>
        <v>Modern</v>
      </c>
      <c r="P529" s="5" t="str">
        <f>_xlfn.XLOOKUP(Clean_Data[[#This Row],[Country]],country_region[Country],country_region[Country_Standard],"Not found")</f>
        <v>Iraq</v>
      </c>
      <c r="Q529" s="5" t="str">
        <f>_xlfn.XLOOKUP(Clean_Data[[#This Row],[Country]],country_region[Country],country_region[Region],"Not found")</f>
        <v>Middle East &amp; North Africa</v>
      </c>
      <c r="R529" s="5" t="str">
        <f>_xlfn.XLOOKUP(Clean_Data[[#This Row],[Type of Event]],event_type_category[Type of Event],event_type_category[Category],"Not found")</f>
        <v>Independence &amp; Nation-Building</v>
      </c>
    </row>
    <row r="530" spans="1:18">
      <c r="A530">
        <v>570</v>
      </c>
      <c r="B530" t="s">
        <v>2510</v>
      </c>
      <c r="E530" t="s">
        <v>1973</v>
      </c>
      <c r="F530" t="s">
        <v>2382</v>
      </c>
      <c r="G530" t="s">
        <v>2511</v>
      </c>
      <c r="H530" t="s">
        <v>2512</v>
      </c>
      <c r="I530" t="s">
        <v>2513</v>
      </c>
      <c r="J530" t="s">
        <v>2514</v>
      </c>
      <c r="K530" t="s">
        <v>1162</v>
      </c>
      <c r="L530" t="s">
        <v>36</v>
      </c>
      <c r="M530">
        <v>1954</v>
      </c>
      <c r="N530" s="5">
        <f>ROUNDUP(Clean_Data[[#This Row],[Year_Num]]/100,0)</f>
        <v>20</v>
      </c>
      <c r="O530" s="5" t="str" cm="1">
        <f t="array" ref="O530">_xlfn.LET(_xlpm.y,Clean_Data[[#This Row],[Year_Num]],_xlfn.IFS(_xlpm.y&lt;500,"Ancient",_xlpm.y&lt;1500,"Medieval",_xlpm.y&lt;1800,"Early Modern",_xlpm.y&lt;1946,"Modern",TRUE,"Contemporary"))</f>
        <v>Contemporary</v>
      </c>
      <c r="P530" s="5" t="str">
        <f>_xlfn.XLOOKUP(Clean_Data[[#This Row],[Country]],country_region[Country],country_region[Country_Standard],"Not found")</f>
        <v>Kazakhstan</v>
      </c>
      <c r="Q530" s="5" t="str">
        <f>_xlfn.XLOOKUP(Clean_Data[[#This Row],[Country]],country_region[Country],country_region[Region],"Not found")</f>
        <v>Central Asia</v>
      </c>
      <c r="R530" s="5" t="str">
        <f>_xlfn.XLOOKUP(Clean_Data[[#This Row],[Type of Event]],event_type_category[Type of Event],event_type_category[Category],"Not found")</f>
        <v>Economy &amp; Infrastructure</v>
      </c>
    </row>
    <row r="531" spans="1:18">
      <c r="A531">
        <v>571</v>
      </c>
      <c r="B531" t="s">
        <v>2515</v>
      </c>
      <c r="E531" t="s">
        <v>2422</v>
      </c>
      <c r="F531" t="s">
        <v>2487</v>
      </c>
      <c r="G531" t="s">
        <v>2516</v>
      </c>
      <c r="H531" t="s">
        <v>2487</v>
      </c>
      <c r="I531" t="s">
        <v>2517</v>
      </c>
      <c r="J531" t="s">
        <v>2389</v>
      </c>
      <c r="K531" t="s">
        <v>2420</v>
      </c>
      <c r="L531" t="s">
        <v>36</v>
      </c>
      <c r="M531">
        <v>1924</v>
      </c>
      <c r="N531" s="5">
        <f>ROUNDUP(Clean_Data[[#This Row],[Year_Num]]/100,0)</f>
        <v>20</v>
      </c>
      <c r="O531" s="5" t="str" cm="1">
        <f t="array" ref="O531">_xlfn.LET(_xlpm.y,Clean_Data[[#This Row],[Year_Num]],_xlfn.IFS(_xlpm.y&lt;500,"Ancient",_xlpm.y&lt;1500,"Medieval",_xlpm.y&lt;1800,"Early Modern",_xlpm.y&lt;1946,"Modern",TRUE,"Contemporary"))</f>
        <v>Modern</v>
      </c>
      <c r="P531" s="5" t="str">
        <f>_xlfn.XLOOKUP(Clean_Data[[#This Row],[Country]],country_region[Country],country_region[Country_Standard],"Not found")</f>
        <v>Uzbekistan</v>
      </c>
      <c r="Q531" s="5" t="str">
        <f>_xlfn.XLOOKUP(Clean_Data[[#This Row],[Country]],country_region[Country],country_region[Region],"Not found")</f>
        <v>Central Asia</v>
      </c>
      <c r="R531" s="5" t="str">
        <f>_xlfn.XLOOKUP(Clean_Data[[#This Row],[Type of Event]],event_type_category[Type of Event],event_type_category[Category],"Not found")</f>
        <v>Politics &amp; Law</v>
      </c>
    </row>
    <row r="532" spans="1:18">
      <c r="A532">
        <v>572</v>
      </c>
      <c r="B532" t="s">
        <v>2518</v>
      </c>
      <c r="E532" t="s">
        <v>2519</v>
      </c>
      <c r="F532" t="s">
        <v>2392</v>
      </c>
      <c r="G532" t="s">
        <v>1400</v>
      </c>
      <c r="H532" t="s">
        <v>2392</v>
      </c>
      <c r="I532" t="s">
        <v>2520</v>
      </c>
      <c r="J532" t="s">
        <v>2395</v>
      </c>
      <c r="K532" t="s">
        <v>2521</v>
      </c>
      <c r="L532" t="s">
        <v>36</v>
      </c>
      <c r="M532">
        <v>1865</v>
      </c>
      <c r="N532" s="5">
        <f>ROUNDUP(Clean_Data[[#This Row],[Year_Num]]/100,0)</f>
        <v>19</v>
      </c>
      <c r="O532" s="5" t="str" cm="1">
        <f t="array" ref="O532">_xlfn.LET(_xlpm.y,Clean_Data[[#This Row],[Year_Num]],_xlfn.IFS(_xlpm.y&lt;500,"Ancient",_xlpm.y&lt;1500,"Medieval",_xlpm.y&lt;1800,"Early Modern",_xlpm.y&lt;1946,"Modern",TRUE,"Contemporary"))</f>
        <v>Modern</v>
      </c>
      <c r="P532" s="5" t="str">
        <f>_xlfn.XLOOKUP(Clean_Data[[#This Row],[Country]],country_region[Country],country_region[Country_Standard],"Not found")</f>
        <v>Bhutan</v>
      </c>
      <c r="Q532" s="5" t="str">
        <f>_xlfn.XLOOKUP(Clean_Data[[#This Row],[Country]],country_region[Country],country_region[Region],"Not found")</f>
        <v>South Asia</v>
      </c>
      <c r="R532" s="5" t="str">
        <f>_xlfn.XLOOKUP(Clean_Data[[#This Row],[Type of Event]],event_type_category[Type of Event],event_type_category[Category],"Not found")</f>
        <v>Diplomacy &amp; International Relations</v>
      </c>
    </row>
    <row r="533" spans="1:18">
      <c r="A533">
        <v>573</v>
      </c>
      <c r="B533" t="s">
        <v>2522</v>
      </c>
      <c r="E533" t="s">
        <v>571</v>
      </c>
      <c r="F533" t="s">
        <v>2399</v>
      </c>
      <c r="G533" t="s">
        <v>2523</v>
      </c>
      <c r="H533" t="s">
        <v>2399</v>
      </c>
      <c r="I533" t="s">
        <v>2524</v>
      </c>
      <c r="J533" t="s">
        <v>2525</v>
      </c>
      <c r="K533" t="s">
        <v>2526</v>
      </c>
      <c r="L533" t="s">
        <v>21</v>
      </c>
      <c r="M533">
        <v>1940</v>
      </c>
      <c r="N533" s="5">
        <f>ROUNDUP(Clean_Data[[#This Row],[Year_Num]]/100,0)</f>
        <v>20</v>
      </c>
      <c r="O533" s="5" t="str" cm="1">
        <f t="array" ref="O533">_xlfn.LET(_xlpm.y,Clean_Data[[#This Row],[Year_Num]],_xlfn.IFS(_xlpm.y&lt;500,"Ancient",_xlpm.y&lt;1500,"Medieval",_xlpm.y&lt;1800,"Early Modern",_xlpm.y&lt;1946,"Modern",TRUE,"Contemporary"))</f>
        <v>Modern</v>
      </c>
      <c r="P533" s="5" t="str">
        <f>_xlfn.XLOOKUP(Clean_Data[[#This Row],[Country]],country_region[Country],country_region[Country_Standard],"Not found")</f>
        <v>Maldives</v>
      </c>
      <c r="Q533" s="5" t="str">
        <f>_xlfn.XLOOKUP(Clean_Data[[#This Row],[Country]],country_region[Country],country_region[Region],"Not found")</f>
        <v>South Asia</v>
      </c>
      <c r="R533" s="5" t="str">
        <f>_xlfn.XLOOKUP(Clean_Data[[#This Row],[Type of Event]],event_type_category[Type of Event],event_type_category[Category],"Not found")</f>
        <v>Society &amp; Health</v>
      </c>
    </row>
    <row r="534" spans="1:18">
      <c r="A534">
        <v>574</v>
      </c>
      <c r="B534" t="s">
        <v>2404</v>
      </c>
      <c r="E534" t="s">
        <v>1084</v>
      </c>
      <c r="F534" t="s">
        <v>2288</v>
      </c>
      <c r="G534" t="s">
        <v>1896</v>
      </c>
      <c r="H534" t="s">
        <v>2288</v>
      </c>
      <c r="I534" t="s">
        <v>2527</v>
      </c>
      <c r="J534" t="s">
        <v>2528</v>
      </c>
      <c r="K534" t="s">
        <v>2294</v>
      </c>
      <c r="L534" t="s">
        <v>54</v>
      </c>
      <c r="M534">
        <v>1941</v>
      </c>
      <c r="N534" s="5">
        <f>ROUNDUP(Clean_Data[[#This Row],[Year_Num]]/100,0)</f>
        <v>20</v>
      </c>
      <c r="O534" s="5" t="str" cm="1">
        <f t="array" ref="O534">_xlfn.LET(_xlpm.y,Clean_Data[[#This Row],[Year_Num]],_xlfn.IFS(_xlpm.y&lt;500,"Ancient",_xlpm.y&lt;1500,"Medieval",_xlpm.y&lt;1800,"Early Modern",_xlpm.y&lt;1946,"Modern",TRUE,"Contemporary"))</f>
        <v>Modern</v>
      </c>
      <c r="P534" s="5" t="str">
        <f>_xlfn.XLOOKUP(Clean_Data[[#This Row],[Country]],country_region[Country],country_region[Country_Standard],"Not found")</f>
        <v>Malaysia</v>
      </c>
      <c r="Q534" s="5" t="str">
        <f>_xlfn.XLOOKUP(Clean_Data[[#This Row],[Country]],country_region[Country],country_region[Region],"Not found")</f>
        <v>Southeast Asia</v>
      </c>
      <c r="R534" s="5" t="str">
        <f>_xlfn.XLOOKUP(Clean_Data[[#This Row],[Type of Event]],event_type_category[Type of Event],event_type_category[Category],"Not found")</f>
        <v>War &amp; Conflict</v>
      </c>
    </row>
    <row r="535" spans="1:18">
      <c r="A535">
        <v>575</v>
      </c>
      <c r="B535" t="s">
        <v>2529</v>
      </c>
      <c r="E535" t="s">
        <v>185</v>
      </c>
      <c r="F535" t="s">
        <v>2369</v>
      </c>
      <c r="G535" t="s">
        <v>2530</v>
      </c>
      <c r="H535" t="s">
        <v>2369</v>
      </c>
      <c r="I535" t="s">
        <v>2531</v>
      </c>
      <c r="J535" t="s">
        <v>2371</v>
      </c>
      <c r="K535" t="s">
        <v>2532</v>
      </c>
      <c r="L535" t="s">
        <v>21</v>
      </c>
      <c r="M535">
        <v>1951</v>
      </c>
      <c r="N535" s="5">
        <f>ROUNDUP(Clean_Data[[#This Row],[Year_Num]]/100,0)</f>
        <v>20</v>
      </c>
      <c r="O535" s="5" t="str" cm="1">
        <f t="array" ref="O535">_xlfn.LET(_xlpm.y,Clean_Data[[#This Row],[Year_Num]],_xlfn.IFS(_xlpm.y&lt;500,"Ancient",_xlpm.y&lt;1500,"Medieval",_xlpm.y&lt;1800,"Early Modern",_xlpm.y&lt;1946,"Modern",TRUE,"Contemporary"))</f>
        <v>Contemporary</v>
      </c>
      <c r="P535" s="5" t="str">
        <f>_xlfn.XLOOKUP(Clean_Data[[#This Row],[Country]],country_region[Country],country_region[Country_Standard],"Not found")</f>
        <v>Iran</v>
      </c>
      <c r="Q535" s="5" t="str">
        <f>_xlfn.XLOOKUP(Clean_Data[[#This Row],[Country]],country_region[Country],country_region[Region],"Not found")</f>
        <v>Middle East &amp; North Africa</v>
      </c>
      <c r="R535" s="5" t="str">
        <f>_xlfn.XLOOKUP(Clean_Data[[#This Row],[Type of Event]],event_type_category[Type of Event],event_type_category[Category],"Not found")</f>
        <v>Economy &amp; Infrastructure</v>
      </c>
    </row>
    <row r="536" spans="1:18">
      <c r="A536">
        <v>576</v>
      </c>
      <c r="B536" t="s">
        <v>2533</v>
      </c>
      <c r="E536" t="s">
        <v>1907</v>
      </c>
      <c r="F536" t="s">
        <v>2374</v>
      </c>
      <c r="G536" t="s">
        <v>2534</v>
      </c>
      <c r="H536" t="s">
        <v>2476</v>
      </c>
      <c r="I536" t="s">
        <v>2535</v>
      </c>
      <c r="J536" t="s">
        <v>2415</v>
      </c>
      <c r="K536" t="s">
        <v>2536</v>
      </c>
      <c r="L536" t="s">
        <v>36</v>
      </c>
      <c r="M536">
        <v>1955</v>
      </c>
      <c r="N536" s="5">
        <f>ROUNDUP(Clean_Data[[#This Row],[Year_Num]]/100,0)</f>
        <v>20</v>
      </c>
      <c r="O536" s="5" t="str" cm="1">
        <f t="array" ref="O536">_xlfn.LET(_xlpm.y,Clean_Data[[#This Row],[Year_Num]],_xlfn.IFS(_xlpm.y&lt;500,"Ancient",_xlpm.y&lt;1500,"Medieval",_xlpm.y&lt;1800,"Early Modern",_xlpm.y&lt;1946,"Modern",TRUE,"Contemporary"))</f>
        <v>Contemporary</v>
      </c>
      <c r="P536" s="5" t="str">
        <f>_xlfn.XLOOKUP(Clean_Data[[#This Row],[Country]],country_region[Country],country_region[Country_Standard],"Not found")</f>
        <v>Iraq</v>
      </c>
      <c r="Q536" s="5" t="str">
        <f>_xlfn.XLOOKUP(Clean_Data[[#This Row],[Country]],country_region[Country],country_region[Region],"Not found")</f>
        <v>Middle East &amp; North Africa</v>
      </c>
      <c r="R536" s="5" t="str">
        <f>_xlfn.XLOOKUP(Clean_Data[[#This Row],[Type of Event]],event_type_category[Type of Event],event_type_category[Category],"Not found")</f>
        <v>Diplomacy &amp; International Relations</v>
      </c>
    </row>
    <row r="537" spans="1:18">
      <c r="A537">
        <v>577</v>
      </c>
      <c r="B537" t="s">
        <v>2537</v>
      </c>
      <c r="E537" t="s">
        <v>1973</v>
      </c>
      <c r="F537" t="s">
        <v>2382</v>
      </c>
      <c r="G537" t="s">
        <v>2538</v>
      </c>
      <c r="H537" t="s">
        <v>2539</v>
      </c>
      <c r="I537" t="s">
        <v>2540</v>
      </c>
      <c r="J537" t="s">
        <v>2541</v>
      </c>
      <c r="K537" t="s">
        <v>2542</v>
      </c>
      <c r="L537" t="s">
        <v>54</v>
      </c>
      <c r="M537">
        <v>1954</v>
      </c>
      <c r="N537" s="5">
        <f>ROUNDUP(Clean_Data[[#This Row],[Year_Num]]/100,0)</f>
        <v>20</v>
      </c>
      <c r="O537" s="5" t="str" cm="1">
        <f t="array" ref="O537">_xlfn.LET(_xlpm.y,Clean_Data[[#This Row],[Year_Num]],_xlfn.IFS(_xlpm.y&lt;500,"Ancient",_xlpm.y&lt;1500,"Medieval",_xlpm.y&lt;1800,"Early Modern",_xlpm.y&lt;1946,"Modern",TRUE,"Contemporary"))</f>
        <v>Contemporary</v>
      </c>
      <c r="P537" s="5" t="str">
        <f>_xlfn.XLOOKUP(Clean_Data[[#This Row],[Country]],country_region[Country],country_region[Country_Standard],"Not found")</f>
        <v>Kazakhstan</v>
      </c>
      <c r="Q537" s="5" t="str">
        <f>_xlfn.XLOOKUP(Clean_Data[[#This Row],[Country]],country_region[Country],country_region[Region],"Not found")</f>
        <v>Central Asia</v>
      </c>
      <c r="R537" s="5" t="str">
        <f>_xlfn.XLOOKUP(Clean_Data[[#This Row],[Type of Event]],event_type_category[Type of Event],event_type_category[Category],"Not found")</f>
        <v>War &amp; Conflict</v>
      </c>
    </row>
    <row r="538" spans="1:18">
      <c r="A538">
        <v>578</v>
      </c>
      <c r="B538" t="s">
        <v>2543</v>
      </c>
      <c r="E538" t="s">
        <v>394</v>
      </c>
      <c r="F538" t="s">
        <v>2487</v>
      </c>
      <c r="G538" t="s">
        <v>2544</v>
      </c>
      <c r="H538" t="s">
        <v>2487</v>
      </c>
      <c r="I538" t="s">
        <v>2545</v>
      </c>
      <c r="J538" t="s">
        <v>2546</v>
      </c>
      <c r="K538" t="s">
        <v>2420</v>
      </c>
      <c r="L538" t="s">
        <v>54</v>
      </c>
      <c r="M538">
        <v>1930</v>
      </c>
      <c r="N538" s="5">
        <f>ROUNDUP(Clean_Data[[#This Row],[Year_Num]]/100,0)</f>
        <v>20</v>
      </c>
      <c r="O538" s="5" t="str" cm="1">
        <f t="array" ref="O538">_xlfn.LET(_xlpm.y,Clean_Data[[#This Row],[Year_Num]],_xlfn.IFS(_xlpm.y&lt;500,"Ancient",_xlpm.y&lt;1500,"Medieval",_xlpm.y&lt;1800,"Early Modern",_xlpm.y&lt;1946,"Modern",TRUE,"Contemporary"))</f>
        <v>Modern</v>
      </c>
      <c r="P538" s="5" t="str">
        <f>_xlfn.XLOOKUP(Clean_Data[[#This Row],[Country]],country_region[Country],country_region[Country_Standard],"Not found")</f>
        <v>Uzbekistan</v>
      </c>
      <c r="Q538" s="5" t="str">
        <f>_xlfn.XLOOKUP(Clean_Data[[#This Row],[Country]],country_region[Country],country_region[Region],"Not found")</f>
        <v>Central Asia</v>
      </c>
      <c r="R538" s="5" t="str">
        <f>_xlfn.XLOOKUP(Clean_Data[[#This Row],[Type of Event]],event_type_category[Type of Event],event_type_category[Category],"Not found")</f>
        <v>Economy &amp; Infrastructure</v>
      </c>
    </row>
    <row r="539" spans="1:18">
      <c r="A539">
        <v>579</v>
      </c>
      <c r="B539" t="s">
        <v>2547</v>
      </c>
      <c r="E539" t="s">
        <v>1146</v>
      </c>
      <c r="F539" t="s">
        <v>2392</v>
      </c>
      <c r="G539" t="s">
        <v>1806</v>
      </c>
      <c r="H539" t="s">
        <v>2392</v>
      </c>
      <c r="I539" t="s">
        <v>2548</v>
      </c>
      <c r="J539" t="s">
        <v>2395</v>
      </c>
      <c r="K539" t="s">
        <v>2549</v>
      </c>
      <c r="L539" t="s">
        <v>21</v>
      </c>
      <c r="M539">
        <v>1953</v>
      </c>
      <c r="N539" s="5">
        <f>ROUNDUP(Clean_Data[[#This Row],[Year_Num]]/100,0)</f>
        <v>20</v>
      </c>
      <c r="O539" s="5" t="str" cm="1">
        <f t="array" ref="O539">_xlfn.LET(_xlpm.y,Clean_Data[[#This Row],[Year_Num]],_xlfn.IFS(_xlpm.y&lt;500,"Ancient",_xlpm.y&lt;1500,"Medieval",_xlpm.y&lt;1800,"Early Modern",_xlpm.y&lt;1946,"Modern",TRUE,"Contemporary"))</f>
        <v>Contemporary</v>
      </c>
      <c r="P539" s="5" t="str">
        <f>_xlfn.XLOOKUP(Clean_Data[[#This Row],[Country]],country_region[Country],country_region[Country_Standard],"Not found")</f>
        <v>Bhutan</v>
      </c>
      <c r="Q539" s="5" t="str">
        <f>_xlfn.XLOOKUP(Clean_Data[[#This Row],[Country]],country_region[Country],country_region[Region],"Not found")</f>
        <v>South Asia</v>
      </c>
      <c r="R539" s="5" t="str">
        <f>_xlfn.XLOOKUP(Clean_Data[[#This Row],[Type of Event]],event_type_category[Type of Event],event_type_category[Category],"Not found")</f>
        <v>Politics &amp; Law</v>
      </c>
    </row>
    <row r="540" spans="1:18">
      <c r="A540">
        <v>580</v>
      </c>
      <c r="B540" t="s">
        <v>2550</v>
      </c>
      <c r="E540" t="s">
        <v>1501</v>
      </c>
      <c r="F540" t="s">
        <v>2399</v>
      </c>
      <c r="G540" t="s">
        <v>2551</v>
      </c>
      <c r="H540" t="s">
        <v>2399</v>
      </c>
      <c r="I540" t="s">
        <v>2552</v>
      </c>
      <c r="J540" t="s">
        <v>2436</v>
      </c>
      <c r="K540" t="s">
        <v>2553</v>
      </c>
      <c r="L540" t="s">
        <v>21</v>
      </c>
      <c r="M540">
        <v>1932</v>
      </c>
      <c r="N540" s="5">
        <f>ROUNDUP(Clean_Data[[#This Row],[Year_Num]]/100,0)</f>
        <v>20</v>
      </c>
      <c r="O540" s="5" t="str" cm="1">
        <f t="array" ref="O540">_xlfn.LET(_xlpm.y,Clean_Data[[#This Row],[Year_Num]],_xlfn.IFS(_xlpm.y&lt;500,"Ancient",_xlpm.y&lt;1500,"Medieval",_xlpm.y&lt;1800,"Early Modern",_xlpm.y&lt;1946,"Modern",TRUE,"Contemporary"))</f>
        <v>Modern</v>
      </c>
      <c r="P540" s="5" t="str">
        <f>_xlfn.XLOOKUP(Clean_Data[[#This Row],[Country]],country_region[Country],country_region[Country_Standard],"Not found")</f>
        <v>Maldives</v>
      </c>
      <c r="Q540" s="5" t="str">
        <f>_xlfn.XLOOKUP(Clean_Data[[#This Row],[Country]],country_region[Country],country_region[Region],"Not found")</f>
        <v>South Asia</v>
      </c>
      <c r="R540" s="5" t="str">
        <f>_xlfn.XLOOKUP(Clean_Data[[#This Row],[Type of Event]],event_type_category[Type of Event],event_type_category[Category],"Not found")</f>
        <v>Politics &amp; Law</v>
      </c>
    </row>
    <row r="541" spans="1:18">
      <c r="A541">
        <v>581</v>
      </c>
      <c r="B541" t="s">
        <v>2554</v>
      </c>
      <c r="E541" t="s">
        <v>656</v>
      </c>
      <c r="F541" t="s">
        <v>2288</v>
      </c>
      <c r="G541" t="s">
        <v>4992</v>
      </c>
      <c r="H541" t="s">
        <v>2288</v>
      </c>
      <c r="I541" t="s">
        <v>2556</v>
      </c>
      <c r="J541" t="s">
        <v>2528</v>
      </c>
      <c r="K541" t="s">
        <v>2557</v>
      </c>
      <c r="L541" t="s">
        <v>36</v>
      </c>
      <c r="M541">
        <v>1948</v>
      </c>
      <c r="N541" s="5">
        <f>ROUNDUP(Clean_Data[[#This Row],[Year_Num]]/100,0)</f>
        <v>20</v>
      </c>
      <c r="O541" s="5" t="str" cm="1">
        <f t="array" ref="O541">_xlfn.LET(_xlpm.y,Clean_Data[[#This Row],[Year_Num]],_xlfn.IFS(_xlpm.y&lt;500,"Ancient",_xlpm.y&lt;1500,"Medieval",_xlpm.y&lt;1800,"Early Modern",_xlpm.y&lt;1946,"Modern",TRUE,"Contemporary"))</f>
        <v>Contemporary</v>
      </c>
      <c r="P541" s="5" t="str">
        <f>_xlfn.XLOOKUP(Clean_Data[[#This Row],[Country]],country_region[Country],country_region[Country_Standard],"Not found")</f>
        <v>Malaysia</v>
      </c>
      <c r="Q541" s="5" t="str">
        <f>_xlfn.XLOOKUP(Clean_Data[[#This Row],[Country]],country_region[Country],country_region[Region],"Not found")</f>
        <v>Southeast Asia</v>
      </c>
      <c r="R541" s="5" t="str">
        <f>_xlfn.XLOOKUP(Clean_Data[[#This Row],[Type of Event]],event_type_category[Type of Event],event_type_category[Category],"Not found")</f>
        <v>War &amp; Conflict</v>
      </c>
    </row>
    <row r="542" spans="1:18">
      <c r="A542">
        <v>582</v>
      </c>
      <c r="B542" t="s">
        <v>2558</v>
      </c>
      <c r="E542" t="s">
        <v>2153</v>
      </c>
      <c r="F542" t="s">
        <v>2369</v>
      </c>
      <c r="G542" t="s">
        <v>2559</v>
      </c>
      <c r="H542" t="s">
        <v>2369</v>
      </c>
      <c r="I542" t="s">
        <v>2560</v>
      </c>
      <c r="J542" t="s">
        <v>2371</v>
      </c>
      <c r="K542" t="s">
        <v>2561</v>
      </c>
      <c r="L542" t="s">
        <v>21</v>
      </c>
      <c r="M542">
        <v>1925</v>
      </c>
      <c r="N542" s="5">
        <f>ROUNDUP(Clean_Data[[#This Row],[Year_Num]]/100,0)</f>
        <v>20</v>
      </c>
      <c r="O542" s="5" t="str" cm="1">
        <f t="array" ref="O542">_xlfn.LET(_xlpm.y,Clean_Data[[#This Row],[Year_Num]],_xlfn.IFS(_xlpm.y&lt;500,"Ancient",_xlpm.y&lt;1500,"Medieval",_xlpm.y&lt;1800,"Early Modern",_xlpm.y&lt;1946,"Modern",TRUE,"Contemporary"))</f>
        <v>Modern</v>
      </c>
      <c r="P542" s="5" t="str">
        <f>_xlfn.XLOOKUP(Clean_Data[[#This Row],[Country]],country_region[Country],country_region[Country_Standard],"Not found")</f>
        <v>Iran</v>
      </c>
      <c r="Q542" s="5" t="str">
        <f>_xlfn.XLOOKUP(Clean_Data[[#This Row],[Country]],country_region[Country],country_region[Region],"Not found")</f>
        <v>Middle East &amp; North Africa</v>
      </c>
      <c r="R542" s="5" t="str">
        <f>_xlfn.XLOOKUP(Clean_Data[[#This Row],[Type of Event]],event_type_category[Type of Event],event_type_category[Category],"Not found")</f>
        <v>Economy &amp; Infrastructure</v>
      </c>
    </row>
    <row r="543" spans="1:18">
      <c r="A543">
        <v>583</v>
      </c>
      <c r="B543" t="s">
        <v>2562</v>
      </c>
      <c r="E543" t="s">
        <v>1099</v>
      </c>
      <c r="F543" t="s">
        <v>2374</v>
      </c>
      <c r="G543" t="s">
        <v>2563</v>
      </c>
      <c r="H543" t="s">
        <v>2374</v>
      </c>
      <c r="I543" t="s">
        <v>2564</v>
      </c>
      <c r="J543" t="s">
        <v>2415</v>
      </c>
      <c r="K543" t="s">
        <v>2565</v>
      </c>
      <c r="L543" t="s">
        <v>36</v>
      </c>
      <c r="M543">
        <v>1921</v>
      </c>
      <c r="N543" s="5">
        <f>ROUNDUP(Clean_Data[[#This Row],[Year_Num]]/100,0)</f>
        <v>20</v>
      </c>
      <c r="O543" s="5" t="str" cm="1">
        <f t="array" ref="O543">_xlfn.LET(_xlpm.y,Clean_Data[[#This Row],[Year_Num]],_xlfn.IFS(_xlpm.y&lt;500,"Ancient",_xlpm.y&lt;1500,"Medieval",_xlpm.y&lt;1800,"Early Modern",_xlpm.y&lt;1946,"Modern",TRUE,"Contemporary"))</f>
        <v>Modern</v>
      </c>
      <c r="P543" s="5" t="str">
        <f>_xlfn.XLOOKUP(Clean_Data[[#This Row],[Country]],country_region[Country],country_region[Country_Standard],"Not found")</f>
        <v>Iraq</v>
      </c>
      <c r="Q543" s="5" t="str">
        <f>_xlfn.XLOOKUP(Clean_Data[[#This Row],[Country]],country_region[Country],country_region[Region],"Not found")</f>
        <v>Middle East &amp; North Africa</v>
      </c>
      <c r="R543" s="5" t="str">
        <f>_xlfn.XLOOKUP(Clean_Data[[#This Row],[Type of Event]],event_type_category[Type of Event],event_type_category[Category],"Not found")</f>
        <v>Independence &amp; Nation-Building</v>
      </c>
    </row>
    <row r="544" spans="1:18">
      <c r="A544">
        <v>584</v>
      </c>
      <c r="B544" t="s">
        <v>2566</v>
      </c>
      <c r="E544" t="s">
        <v>2567</v>
      </c>
      <c r="F544" t="s">
        <v>2568</v>
      </c>
      <c r="G544" t="s">
        <v>2569</v>
      </c>
      <c r="H544" t="s">
        <v>2570</v>
      </c>
      <c r="I544" t="s">
        <v>2571</v>
      </c>
      <c r="J544" t="s">
        <v>2572</v>
      </c>
      <c r="L544" t="s">
        <v>54</v>
      </c>
      <c r="M544">
        <v>1500</v>
      </c>
      <c r="N544" s="5">
        <f>ROUNDUP(Clean_Data[[#This Row],[Year_Num]]/100,0)</f>
        <v>15</v>
      </c>
      <c r="O544" s="5" t="str" cm="1">
        <f t="array" ref="O544">_xlfn.LET(_xlpm.y,Clean_Data[[#This Row],[Year_Num]],_xlfn.IFS(_xlpm.y&lt;500,"Ancient",_xlpm.y&lt;1500,"Medieval",_xlpm.y&lt;1800,"Early Modern",_xlpm.y&lt;1946,"Modern",TRUE,"Contemporary"))</f>
        <v>Early Modern</v>
      </c>
      <c r="P544" s="5" t="str">
        <f>_xlfn.XLOOKUP(Clean_Data[[#This Row],[Country]],country_region[Country],country_region[Country_Standard],"Not found")</f>
        <v>Central Asia</v>
      </c>
      <c r="Q544" s="5" t="str">
        <f>_xlfn.XLOOKUP(Clean_Data[[#This Row],[Country]],country_region[Country],country_region[Region],"Not found")</f>
        <v>Central Asia</v>
      </c>
      <c r="R544" s="5" t="str">
        <f>_xlfn.XLOOKUP(Clean_Data[[#This Row],[Type of Event]],event_type_category[Type of Event],event_type_category[Category],"Not found")</f>
        <v>Economy &amp; Infrastructure</v>
      </c>
    </row>
    <row r="545" spans="1:18">
      <c r="A545">
        <v>585</v>
      </c>
      <c r="B545" t="s">
        <v>4993</v>
      </c>
      <c r="E545" t="s">
        <v>2574</v>
      </c>
      <c r="F545" t="s">
        <v>2392</v>
      </c>
      <c r="G545" t="s">
        <v>138</v>
      </c>
      <c r="H545" t="s">
        <v>2392</v>
      </c>
      <c r="I545" t="s">
        <v>2575</v>
      </c>
      <c r="J545" t="s">
        <v>2395</v>
      </c>
      <c r="K545" t="s">
        <v>2576</v>
      </c>
      <c r="L545" t="s">
        <v>54</v>
      </c>
      <c r="M545">
        <v>1864</v>
      </c>
      <c r="N545" s="5">
        <f>ROUNDUP(Clean_Data[[#This Row],[Year_Num]]/100,0)</f>
        <v>19</v>
      </c>
      <c r="O545" s="5" t="str" cm="1">
        <f t="array" ref="O545">_xlfn.LET(_xlpm.y,Clean_Data[[#This Row],[Year_Num]],_xlfn.IFS(_xlpm.y&lt;500,"Ancient",_xlpm.y&lt;1500,"Medieval",_xlpm.y&lt;1800,"Early Modern",_xlpm.y&lt;1946,"Modern",TRUE,"Contemporary"))</f>
        <v>Modern</v>
      </c>
      <c r="P545" s="5" t="str">
        <f>_xlfn.XLOOKUP(Clean_Data[[#This Row],[Country]],country_region[Country],country_region[Country_Standard],"Not found")</f>
        <v>Bhutan</v>
      </c>
      <c r="Q545" s="5" t="str">
        <f>_xlfn.XLOOKUP(Clean_Data[[#This Row],[Country]],country_region[Country],country_region[Region],"Not found")</f>
        <v>South Asia</v>
      </c>
      <c r="R545" s="5" t="str">
        <f>_xlfn.XLOOKUP(Clean_Data[[#This Row],[Type of Event]],event_type_category[Type of Event],event_type_category[Category],"Not found")</f>
        <v>War &amp; Conflict</v>
      </c>
    </row>
    <row r="546" spans="1:18">
      <c r="A546">
        <v>586</v>
      </c>
      <c r="B546" t="s">
        <v>2577</v>
      </c>
      <c r="E546" t="s">
        <v>1146</v>
      </c>
      <c r="F546" t="s">
        <v>2399</v>
      </c>
      <c r="G546" t="s">
        <v>1712</v>
      </c>
      <c r="H546" t="s">
        <v>2399</v>
      </c>
      <c r="I546" t="s">
        <v>2578</v>
      </c>
      <c r="J546" t="s">
        <v>2436</v>
      </c>
      <c r="L546" t="s">
        <v>36</v>
      </c>
      <c r="M546">
        <v>1953</v>
      </c>
      <c r="N546" s="5">
        <f>ROUNDUP(Clean_Data[[#This Row],[Year_Num]]/100,0)</f>
        <v>20</v>
      </c>
      <c r="O546" s="5" t="str" cm="1">
        <f t="array" ref="O546">_xlfn.LET(_xlpm.y,Clean_Data[[#This Row],[Year_Num]],_xlfn.IFS(_xlpm.y&lt;500,"Ancient",_xlpm.y&lt;1500,"Medieval",_xlpm.y&lt;1800,"Early Modern",_xlpm.y&lt;1946,"Modern",TRUE,"Contemporary"))</f>
        <v>Contemporary</v>
      </c>
      <c r="P546" s="5" t="str">
        <f>_xlfn.XLOOKUP(Clean_Data[[#This Row],[Country]],country_region[Country],country_region[Country_Standard],"Not found")</f>
        <v>Maldives</v>
      </c>
      <c r="Q546" s="5" t="str">
        <f>_xlfn.XLOOKUP(Clean_Data[[#This Row],[Country]],country_region[Country],country_region[Region],"Not found")</f>
        <v>South Asia</v>
      </c>
      <c r="R546" s="5" t="str">
        <f>_xlfn.XLOOKUP(Clean_Data[[#This Row],[Type of Event]],event_type_category[Type of Event],event_type_category[Category],"Not found")</f>
        <v>Politics &amp; Law</v>
      </c>
    </row>
    <row r="547" spans="1:18">
      <c r="A547">
        <v>587</v>
      </c>
      <c r="B547" t="s">
        <v>2579</v>
      </c>
      <c r="E547" t="s">
        <v>1841</v>
      </c>
      <c r="F547" t="s">
        <v>2288</v>
      </c>
      <c r="G547" t="s">
        <v>2580</v>
      </c>
      <c r="H547" t="s">
        <v>2581</v>
      </c>
      <c r="I547" t="s">
        <v>2582</v>
      </c>
      <c r="J547" t="s">
        <v>2583</v>
      </c>
      <c r="K547" t="s">
        <v>1460</v>
      </c>
      <c r="L547" t="s">
        <v>54</v>
      </c>
      <c r="M547">
        <v>1895</v>
      </c>
      <c r="N547" s="5">
        <f>ROUNDUP(Clean_Data[[#This Row],[Year_Num]]/100,0)</f>
        <v>19</v>
      </c>
      <c r="O547" s="5" t="str" cm="1">
        <f t="array" ref="O547">_xlfn.LET(_xlpm.y,Clean_Data[[#This Row],[Year_Num]],_xlfn.IFS(_xlpm.y&lt;500,"Ancient",_xlpm.y&lt;1500,"Medieval",_xlpm.y&lt;1800,"Early Modern",_xlpm.y&lt;1946,"Modern",TRUE,"Contemporary"))</f>
        <v>Modern</v>
      </c>
      <c r="P547" s="5" t="str">
        <f>_xlfn.XLOOKUP(Clean_Data[[#This Row],[Country]],country_region[Country],country_region[Country_Standard],"Not found")</f>
        <v>Malaysia</v>
      </c>
      <c r="Q547" s="5" t="str">
        <f>_xlfn.XLOOKUP(Clean_Data[[#This Row],[Country]],country_region[Country],country_region[Region],"Not found")</f>
        <v>Southeast Asia</v>
      </c>
      <c r="R547" s="5" t="str">
        <f>_xlfn.XLOOKUP(Clean_Data[[#This Row],[Type of Event]],event_type_category[Type of Event],event_type_category[Category],"Not found")</f>
        <v>Independence &amp; Nation-Building</v>
      </c>
    </row>
    <row r="548" spans="1:18">
      <c r="A548">
        <v>588</v>
      </c>
      <c r="B548" t="s">
        <v>4994</v>
      </c>
      <c r="E548" t="s">
        <v>185</v>
      </c>
      <c r="F548" t="s">
        <v>2369</v>
      </c>
      <c r="G548" t="s">
        <v>2585</v>
      </c>
      <c r="H548" t="s">
        <v>2369</v>
      </c>
      <c r="I548" t="s">
        <v>2586</v>
      </c>
      <c r="J548" t="s">
        <v>2371</v>
      </c>
      <c r="K548" t="s">
        <v>2532</v>
      </c>
      <c r="L548" t="s">
        <v>36</v>
      </c>
      <c r="M548">
        <v>1951</v>
      </c>
      <c r="N548" s="5">
        <f>ROUNDUP(Clean_Data[[#This Row],[Year_Num]]/100,0)</f>
        <v>20</v>
      </c>
      <c r="O548" s="5" t="str" cm="1">
        <f t="array" ref="O548">_xlfn.LET(_xlpm.y,Clean_Data[[#This Row],[Year_Num]],_xlfn.IFS(_xlpm.y&lt;500,"Ancient",_xlpm.y&lt;1500,"Medieval",_xlpm.y&lt;1800,"Early Modern",_xlpm.y&lt;1946,"Modern",TRUE,"Contemporary"))</f>
        <v>Contemporary</v>
      </c>
      <c r="P548" s="5" t="str">
        <f>_xlfn.XLOOKUP(Clean_Data[[#This Row],[Country]],country_region[Country],country_region[Country_Standard],"Not found")</f>
        <v>Iran</v>
      </c>
      <c r="Q548" s="5" t="str">
        <f>_xlfn.XLOOKUP(Clean_Data[[#This Row],[Country]],country_region[Country],country_region[Region],"Not found")</f>
        <v>Middle East &amp; North Africa</v>
      </c>
      <c r="R548" s="5" t="str">
        <f>_xlfn.XLOOKUP(Clean_Data[[#This Row],[Type of Event]],event_type_category[Type of Event],event_type_category[Category],"Not found")</f>
        <v>Economy &amp; Infrastructure</v>
      </c>
    </row>
    <row r="549" spans="1:18">
      <c r="A549">
        <v>589</v>
      </c>
      <c r="B549" t="s">
        <v>2587</v>
      </c>
      <c r="E549" t="s">
        <v>1501</v>
      </c>
      <c r="F549" t="s">
        <v>2374</v>
      </c>
      <c r="G549" t="s">
        <v>2588</v>
      </c>
      <c r="H549" t="s">
        <v>2374</v>
      </c>
      <c r="I549" t="s">
        <v>2589</v>
      </c>
      <c r="J549" t="s">
        <v>2415</v>
      </c>
      <c r="L549" t="s">
        <v>21</v>
      </c>
      <c r="M549">
        <v>1932</v>
      </c>
      <c r="N549" s="5">
        <f>ROUNDUP(Clean_Data[[#This Row],[Year_Num]]/100,0)</f>
        <v>20</v>
      </c>
      <c r="O549" s="5" t="str" cm="1">
        <f t="array" ref="O549">_xlfn.LET(_xlpm.y,Clean_Data[[#This Row],[Year_Num]],_xlfn.IFS(_xlpm.y&lt;500,"Ancient",_xlpm.y&lt;1500,"Medieval",_xlpm.y&lt;1800,"Early Modern",_xlpm.y&lt;1946,"Modern",TRUE,"Contemporary"))</f>
        <v>Modern</v>
      </c>
      <c r="P549" s="5" t="str">
        <f>_xlfn.XLOOKUP(Clean_Data[[#This Row],[Country]],country_region[Country],country_region[Country_Standard],"Not found")</f>
        <v>Iraq</v>
      </c>
      <c r="Q549" s="5" t="str">
        <f>_xlfn.XLOOKUP(Clean_Data[[#This Row],[Country]],country_region[Country],country_region[Region],"Not found")</f>
        <v>Middle East &amp; North Africa</v>
      </c>
      <c r="R549" s="5" t="str">
        <f>_xlfn.XLOOKUP(Clean_Data[[#This Row],[Type of Event]],event_type_category[Type of Event],event_type_category[Category],"Not found")</f>
        <v>Independence &amp; Nation-Building</v>
      </c>
    </row>
    <row r="550" spans="1:18">
      <c r="A550">
        <v>590</v>
      </c>
      <c r="B550" t="s">
        <v>4995</v>
      </c>
      <c r="E550" t="s">
        <v>1501</v>
      </c>
      <c r="F550" t="s">
        <v>2382</v>
      </c>
      <c r="G550" t="s">
        <v>423</v>
      </c>
      <c r="H550" t="s">
        <v>2382</v>
      </c>
      <c r="I550" t="s">
        <v>2591</v>
      </c>
      <c r="J550" t="s">
        <v>2592</v>
      </c>
      <c r="K550" t="s">
        <v>2420</v>
      </c>
      <c r="L550" t="s">
        <v>54</v>
      </c>
      <c r="M550">
        <v>1932</v>
      </c>
      <c r="N550" s="5">
        <f>ROUNDUP(Clean_Data[[#This Row],[Year_Num]]/100,0)</f>
        <v>20</v>
      </c>
      <c r="O550" s="5" t="str" cm="1">
        <f t="array" ref="O550">_xlfn.LET(_xlpm.y,Clean_Data[[#This Row],[Year_Num]],_xlfn.IFS(_xlpm.y&lt;500,"Ancient",_xlpm.y&lt;1500,"Medieval",_xlpm.y&lt;1800,"Early Modern",_xlpm.y&lt;1946,"Modern",TRUE,"Contemporary"))</f>
        <v>Modern</v>
      </c>
      <c r="P550" s="5" t="str">
        <f>_xlfn.XLOOKUP(Clean_Data[[#This Row],[Country]],country_region[Country],country_region[Country_Standard],"Not found")</f>
        <v>Kazakhstan</v>
      </c>
      <c r="Q550" s="5" t="str">
        <f>_xlfn.XLOOKUP(Clean_Data[[#This Row],[Country]],country_region[Country],country_region[Region],"Not found")</f>
        <v>Central Asia</v>
      </c>
      <c r="R550" s="5" t="str">
        <f>_xlfn.XLOOKUP(Clean_Data[[#This Row],[Type of Event]],event_type_category[Type of Event],event_type_category[Category],"Not found")</f>
        <v>Disasters &amp; Accidents</v>
      </c>
    </row>
    <row r="551" spans="1:18">
      <c r="A551">
        <v>591</v>
      </c>
      <c r="B551" t="s">
        <v>2593</v>
      </c>
      <c r="E551" t="s">
        <v>381</v>
      </c>
      <c r="F551" t="s">
        <v>2387</v>
      </c>
      <c r="G551" t="s">
        <v>1022</v>
      </c>
      <c r="H551" t="s">
        <v>2387</v>
      </c>
      <c r="I551" t="s">
        <v>2594</v>
      </c>
      <c r="J551" t="s">
        <v>2595</v>
      </c>
      <c r="K551" t="s">
        <v>2420</v>
      </c>
      <c r="L551" t="s">
        <v>54</v>
      </c>
      <c r="M551">
        <v>1920</v>
      </c>
      <c r="N551" s="5">
        <f>ROUNDUP(Clean_Data[[#This Row],[Year_Num]]/100,0)</f>
        <v>20</v>
      </c>
      <c r="O551" s="5" t="str" cm="1">
        <f t="array" ref="O551">_xlfn.LET(_xlpm.y,Clean_Data[[#This Row],[Year_Num]],_xlfn.IFS(_xlpm.y&lt;500,"Ancient",_xlpm.y&lt;1500,"Medieval",_xlpm.y&lt;1800,"Early Modern",_xlpm.y&lt;1946,"Modern",TRUE,"Contemporary"))</f>
        <v>Modern</v>
      </c>
      <c r="P551" s="5" t="str">
        <f>_xlfn.XLOOKUP(Clean_Data[[#This Row],[Country]],country_region[Country],country_region[Country_Standard],"Not found")</f>
        <v>Uzbekistan</v>
      </c>
      <c r="Q551" s="5" t="str">
        <f>_xlfn.XLOOKUP(Clean_Data[[#This Row],[Country]],country_region[Country],country_region[Region],"Not found")</f>
        <v>Central Asia</v>
      </c>
      <c r="R551" s="5" t="str">
        <f>_xlfn.XLOOKUP(Clean_Data[[#This Row],[Type of Event]],event_type_category[Type of Event],event_type_category[Category],"Not found")</f>
        <v>Independence &amp; Nation-Building</v>
      </c>
    </row>
    <row r="552" spans="1:18">
      <c r="A552">
        <v>592</v>
      </c>
      <c r="B552" t="s">
        <v>2596</v>
      </c>
      <c r="E552" t="s">
        <v>2504</v>
      </c>
      <c r="F552" t="s">
        <v>2392</v>
      </c>
      <c r="G552" t="s">
        <v>2563</v>
      </c>
      <c r="H552" t="s">
        <v>2392</v>
      </c>
      <c r="I552" t="s">
        <v>2597</v>
      </c>
      <c r="J552" t="s">
        <v>2395</v>
      </c>
      <c r="K552" t="s">
        <v>2598</v>
      </c>
      <c r="L552" t="s">
        <v>21</v>
      </c>
      <c r="M552">
        <v>1907</v>
      </c>
      <c r="N552" s="5">
        <f>ROUNDUP(Clean_Data[[#This Row],[Year_Num]]/100,0)</f>
        <v>20</v>
      </c>
      <c r="O552" s="5" t="str" cm="1">
        <f t="array" ref="O552">_xlfn.LET(_xlpm.y,Clean_Data[[#This Row],[Year_Num]],_xlfn.IFS(_xlpm.y&lt;500,"Ancient",_xlpm.y&lt;1500,"Medieval",_xlpm.y&lt;1800,"Early Modern",_xlpm.y&lt;1946,"Modern",TRUE,"Contemporary"))</f>
        <v>Modern</v>
      </c>
      <c r="P552" s="5" t="str">
        <f>_xlfn.XLOOKUP(Clean_Data[[#This Row],[Country]],country_region[Country],country_region[Country_Standard],"Not found")</f>
        <v>Bhutan</v>
      </c>
      <c r="Q552" s="5" t="str">
        <f>_xlfn.XLOOKUP(Clean_Data[[#This Row],[Country]],country_region[Country],country_region[Region],"Not found")</f>
        <v>South Asia</v>
      </c>
      <c r="R552" s="5" t="str">
        <f>_xlfn.XLOOKUP(Clean_Data[[#This Row],[Type of Event]],event_type_category[Type of Event],event_type_category[Category],"Not found")</f>
        <v>Independence &amp; Nation-Building</v>
      </c>
    </row>
    <row r="553" spans="1:18">
      <c r="A553">
        <v>593</v>
      </c>
      <c r="B553" t="s">
        <v>2599</v>
      </c>
      <c r="E553" t="s">
        <v>1501</v>
      </c>
      <c r="F553" t="s">
        <v>2399</v>
      </c>
      <c r="G553" t="s">
        <v>2551</v>
      </c>
      <c r="H553" t="s">
        <v>2399</v>
      </c>
      <c r="I553" t="s">
        <v>2600</v>
      </c>
      <c r="J553" t="s">
        <v>2436</v>
      </c>
      <c r="K553" t="s">
        <v>2553</v>
      </c>
      <c r="L553" t="s">
        <v>21</v>
      </c>
      <c r="M553">
        <v>1932</v>
      </c>
      <c r="N553" s="5">
        <f>ROUNDUP(Clean_Data[[#This Row],[Year_Num]]/100,0)</f>
        <v>20</v>
      </c>
      <c r="O553" s="5" t="str" cm="1">
        <f t="array" ref="O553">_xlfn.LET(_xlpm.y,Clean_Data[[#This Row],[Year_Num]],_xlfn.IFS(_xlpm.y&lt;500,"Ancient",_xlpm.y&lt;1500,"Medieval",_xlpm.y&lt;1800,"Early Modern",_xlpm.y&lt;1946,"Modern",TRUE,"Contemporary"))</f>
        <v>Modern</v>
      </c>
      <c r="P553" s="5" t="str">
        <f>_xlfn.XLOOKUP(Clean_Data[[#This Row],[Country]],country_region[Country],country_region[Country_Standard],"Not found")</f>
        <v>Maldives</v>
      </c>
      <c r="Q553" s="5" t="str">
        <f>_xlfn.XLOOKUP(Clean_Data[[#This Row],[Country]],country_region[Country],country_region[Region],"Not found")</f>
        <v>South Asia</v>
      </c>
      <c r="R553" s="5" t="str">
        <f>_xlfn.XLOOKUP(Clean_Data[[#This Row],[Type of Event]],event_type_category[Type of Event],event_type_category[Category],"Not found")</f>
        <v>Politics &amp; Law</v>
      </c>
    </row>
    <row r="554" spans="1:18">
      <c r="A554">
        <v>594</v>
      </c>
      <c r="B554" t="s">
        <v>2407</v>
      </c>
      <c r="E554" t="s">
        <v>116</v>
      </c>
      <c r="F554" t="s">
        <v>2369</v>
      </c>
      <c r="G554" t="s">
        <v>2339</v>
      </c>
      <c r="H554" t="s">
        <v>2369</v>
      </c>
      <c r="I554" t="s">
        <v>2601</v>
      </c>
      <c r="J554" t="s">
        <v>2411</v>
      </c>
      <c r="K554" t="s">
        <v>2602</v>
      </c>
      <c r="L554" t="s">
        <v>21</v>
      </c>
      <c r="M554">
        <v>1905</v>
      </c>
      <c r="N554" s="5">
        <f>ROUNDUP(Clean_Data[[#This Row],[Year_Num]]/100,0)</f>
        <v>20</v>
      </c>
      <c r="O554" s="5" t="str" cm="1">
        <f t="array" ref="O554">_xlfn.LET(_xlpm.y,Clean_Data[[#This Row],[Year_Num]],_xlfn.IFS(_xlpm.y&lt;500,"Ancient",_xlpm.y&lt;1500,"Medieval",_xlpm.y&lt;1800,"Early Modern",_xlpm.y&lt;1946,"Modern",TRUE,"Contemporary"))</f>
        <v>Modern</v>
      </c>
      <c r="P554" s="5" t="str">
        <f>_xlfn.XLOOKUP(Clean_Data[[#This Row],[Country]],country_region[Country],country_region[Country_Standard],"Not found")</f>
        <v>Iran</v>
      </c>
      <c r="Q554" s="5" t="str">
        <f>_xlfn.XLOOKUP(Clean_Data[[#This Row],[Country]],country_region[Country],country_region[Region],"Not found")</f>
        <v>Middle East &amp; North Africa</v>
      </c>
      <c r="R554" s="5" t="str">
        <f>_xlfn.XLOOKUP(Clean_Data[[#This Row],[Type of Event]],event_type_category[Type of Event],event_type_category[Category],"Not found")</f>
        <v>Politics &amp; Law</v>
      </c>
    </row>
    <row r="555" spans="1:18">
      <c r="A555">
        <v>595</v>
      </c>
      <c r="B555" t="s">
        <v>2603</v>
      </c>
      <c r="E555" t="s">
        <v>1547</v>
      </c>
      <c r="F555" t="s">
        <v>2604</v>
      </c>
      <c r="G555" t="s">
        <v>1896</v>
      </c>
      <c r="H555" t="s">
        <v>2604</v>
      </c>
      <c r="I555" t="s">
        <v>2605</v>
      </c>
      <c r="J555" t="s">
        <v>2415</v>
      </c>
      <c r="K555" t="s">
        <v>2606</v>
      </c>
      <c r="L555" t="s">
        <v>54</v>
      </c>
      <c r="M555">
        <v>1914</v>
      </c>
      <c r="N555" s="5">
        <f>ROUNDUP(Clean_Data[[#This Row],[Year_Num]]/100,0)</f>
        <v>20</v>
      </c>
      <c r="O555" s="5" t="str" cm="1">
        <f t="array" ref="O555">_xlfn.LET(_xlpm.y,Clean_Data[[#This Row],[Year_Num]],_xlfn.IFS(_xlpm.y&lt;500,"Ancient",_xlpm.y&lt;1500,"Medieval",_xlpm.y&lt;1800,"Early Modern",_xlpm.y&lt;1946,"Modern",TRUE,"Contemporary"))</f>
        <v>Modern</v>
      </c>
      <c r="P555" s="5" t="str">
        <f>_xlfn.XLOOKUP(Clean_Data[[#This Row],[Country]],country_region[Country],country_region[Country_Standard],"Not found")</f>
        <v>Iraq</v>
      </c>
      <c r="Q555" s="5" t="str">
        <f>_xlfn.XLOOKUP(Clean_Data[[#This Row],[Country]],country_region[Country],country_region[Region],"Not found")</f>
        <v>Middle East &amp; North Africa</v>
      </c>
      <c r="R555" s="5" t="str">
        <f>_xlfn.XLOOKUP(Clean_Data[[#This Row],[Type of Event]],event_type_category[Type of Event],event_type_category[Category],"Not found")</f>
        <v>War &amp; Conflict</v>
      </c>
    </row>
    <row r="556" spans="1:18">
      <c r="A556">
        <v>596</v>
      </c>
      <c r="B556" t="s">
        <v>2607</v>
      </c>
      <c r="E556" t="s">
        <v>394</v>
      </c>
      <c r="F556" t="s">
        <v>2382</v>
      </c>
      <c r="G556" t="s">
        <v>1688</v>
      </c>
      <c r="H556" t="s">
        <v>2382</v>
      </c>
      <c r="I556" t="s">
        <v>2608</v>
      </c>
      <c r="J556" t="s">
        <v>2419</v>
      </c>
      <c r="K556" t="s">
        <v>2420</v>
      </c>
      <c r="L556" t="s">
        <v>54</v>
      </c>
      <c r="M556">
        <v>1930</v>
      </c>
      <c r="N556" s="5">
        <f>ROUNDUP(Clean_Data[[#This Row],[Year_Num]]/100,0)</f>
        <v>20</v>
      </c>
      <c r="O556" s="5" t="str" cm="1">
        <f t="array" ref="O556">_xlfn.LET(_xlpm.y,Clean_Data[[#This Row],[Year_Num]],_xlfn.IFS(_xlpm.y&lt;500,"Ancient",_xlpm.y&lt;1500,"Medieval",_xlpm.y&lt;1800,"Early Modern",_xlpm.y&lt;1946,"Modern",TRUE,"Contemporary"))</f>
        <v>Modern</v>
      </c>
      <c r="P556" s="5" t="str">
        <f>_xlfn.XLOOKUP(Clean_Data[[#This Row],[Country]],country_region[Country],country_region[Country_Standard],"Not found")</f>
        <v>Kazakhstan</v>
      </c>
      <c r="Q556" s="5" t="str">
        <f>_xlfn.XLOOKUP(Clean_Data[[#This Row],[Country]],country_region[Country],country_region[Region],"Not found")</f>
        <v>Central Asia</v>
      </c>
      <c r="R556" s="5" t="str">
        <f>_xlfn.XLOOKUP(Clean_Data[[#This Row],[Type of Event]],event_type_category[Type of Event],event_type_category[Category],"Not found")</f>
        <v>Society &amp; Health</v>
      </c>
    </row>
    <row r="557" spans="1:18">
      <c r="A557">
        <v>597</v>
      </c>
      <c r="B557" t="s">
        <v>2609</v>
      </c>
      <c r="E557" t="s">
        <v>2519</v>
      </c>
      <c r="F557" t="s">
        <v>2610</v>
      </c>
      <c r="G557" t="s">
        <v>2469</v>
      </c>
      <c r="H557" t="s">
        <v>2610</v>
      </c>
      <c r="I557" t="s">
        <v>2611</v>
      </c>
      <c r="J557" t="s">
        <v>2612</v>
      </c>
      <c r="K557" t="s">
        <v>1057</v>
      </c>
      <c r="L557" t="s">
        <v>54</v>
      </c>
      <c r="M557">
        <v>1865</v>
      </c>
      <c r="N557" s="5">
        <f>ROUNDUP(Clean_Data[[#This Row],[Year_Num]]/100,0)</f>
        <v>19</v>
      </c>
      <c r="O557" s="5" t="str" cm="1">
        <f t="array" ref="O557">_xlfn.LET(_xlpm.y,Clean_Data[[#This Row],[Year_Num]],_xlfn.IFS(_xlpm.y&lt;500,"Ancient",_xlpm.y&lt;1500,"Medieval",_xlpm.y&lt;1800,"Early Modern",_xlpm.y&lt;1946,"Modern",TRUE,"Contemporary"))</f>
        <v>Modern</v>
      </c>
      <c r="P557" s="5" t="str">
        <f>_xlfn.XLOOKUP(Clean_Data[[#This Row],[Country]],country_region[Country],country_region[Country_Standard],"Not found")</f>
        <v>Uzbekistan</v>
      </c>
      <c r="Q557" s="5" t="str">
        <f>_xlfn.XLOOKUP(Clean_Data[[#This Row],[Country]],country_region[Country],country_region[Region],"Not found")</f>
        <v>Central Asia</v>
      </c>
      <c r="R557" s="5" t="str">
        <f>_xlfn.XLOOKUP(Clean_Data[[#This Row],[Type of Event]],event_type_category[Type of Event],event_type_category[Category],"Not found")</f>
        <v>War &amp; Conflict</v>
      </c>
    </row>
    <row r="558" spans="1:18">
      <c r="A558">
        <v>598</v>
      </c>
      <c r="B558" t="s">
        <v>2613</v>
      </c>
      <c r="E558" t="s">
        <v>1353</v>
      </c>
      <c r="F558" t="s">
        <v>2393</v>
      </c>
      <c r="G558" t="s">
        <v>1400</v>
      </c>
      <c r="H558" t="s">
        <v>2393</v>
      </c>
      <c r="I558" t="s">
        <v>2614</v>
      </c>
      <c r="J558" t="s">
        <v>2395</v>
      </c>
      <c r="K558" t="s">
        <v>2576</v>
      </c>
      <c r="L558" t="s">
        <v>21</v>
      </c>
      <c r="M558">
        <v>1910</v>
      </c>
      <c r="N558" s="5">
        <f>ROUNDUP(Clean_Data[[#This Row],[Year_Num]]/100,0)</f>
        <v>20</v>
      </c>
      <c r="O558" s="5" t="str" cm="1">
        <f t="array" ref="O558">_xlfn.LET(_xlpm.y,Clean_Data[[#This Row],[Year_Num]],_xlfn.IFS(_xlpm.y&lt;500,"Ancient",_xlpm.y&lt;1500,"Medieval",_xlpm.y&lt;1800,"Early Modern",_xlpm.y&lt;1946,"Modern",TRUE,"Contemporary"))</f>
        <v>Modern</v>
      </c>
      <c r="P558" s="5" t="str">
        <f>_xlfn.XLOOKUP(Clean_Data[[#This Row],[Country]],country_region[Country],country_region[Country_Standard],"Not found")</f>
        <v>Bhutan</v>
      </c>
      <c r="Q558" s="5" t="str">
        <f>_xlfn.XLOOKUP(Clean_Data[[#This Row],[Country]],country_region[Country],country_region[Region],"Not found")</f>
        <v>South Asia</v>
      </c>
      <c r="R558" s="5" t="str">
        <f>_xlfn.XLOOKUP(Clean_Data[[#This Row],[Type of Event]],event_type_category[Type of Event],event_type_category[Category],"Not found")</f>
        <v>Diplomacy &amp; International Relations</v>
      </c>
    </row>
    <row r="559" spans="1:18">
      <c r="A559">
        <v>599</v>
      </c>
      <c r="B559" t="s">
        <v>2615</v>
      </c>
      <c r="E559" t="s">
        <v>2433</v>
      </c>
      <c r="F559" t="s">
        <v>2399</v>
      </c>
      <c r="G559" t="s">
        <v>2616</v>
      </c>
      <c r="H559" t="s">
        <v>2399</v>
      </c>
      <c r="I559" t="s">
        <v>2617</v>
      </c>
      <c r="J559" t="s">
        <v>2436</v>
      </c>
      <c r="K559" t="s">
        <v>2437</v>
      </c>
      <c r="L559" t="s">
        <v>36</v>
      </c>
      <c r="M559">
        <v>1887</v>
      </c>
      <c r="N559" s="5">
        <f>ROUNDUP(Clean_Data[[#This Row],[Year_Num]]/100,0)</f>
        <v>19</v>
      </c>
      <c r="O559" s="5" t="str" cm="1">
        <f t="array" ref="O559">_xlfn.LET(_xlpm.y,Clean_Data[[#This Row],[Year_Num]],_xlfn.IFS(_xlpm.y&lt;500,"Ancient",_xlpm.y&lt;1500,"Medieval",_xlpm.y&lt;1800,"Early Modern",_xlpm.y&lt;1946,"Modern",TRUE,"Contemporary"))</f>
        <v>Modern</v>
      </c>
      <c r="P559" s="5" t="str">
        <f>_xlfn.XLOOKUP(Clean_Data[[#This Row],[Country]],country_region[Country],country_region[Country_Standard],"Not found")</f>
        <v>Maldives</v>
      </c>
      <c r="Q559" s="5" t="str">
        <f>_xlfn.XLOOKUP(Clean_Data[[#This Row],[Country]],country_region[Country],country_region[Region],"Not found")</f>
        <v>South Asia</v>
      </c>
      <c r="R559" s="5" t="str">
        <f>_xlfn.XLOOKUP(Clean_Data[[#This Row],[Type of Event]],event_type_category[Type of Event],event_type_category[Category],"Not found")</f>
        <v>Independence &amp; Nation-Building</v>
      </c>
    </row>
    <row r="560" spans="1:18">
      <c r="A560">
        <v>600</v>
      </c>
      <c r="B560" t="s">
        <v>2291</v>
      </c>
      <c r="E560" t="s">
        <v>411</v>
      </c>
      <c r="F560" t="s">
        <v>2288</v>
      </c>
      <c r="G560" t="s">
        <v>1896</v>
      </c>
      <c r="H560" t="s">
        <v>2018</v>
      </c>
      <c r="I560" t="s">
        <v>2618</v>
      </c>
      <c r="J560" t="s">
        <v>2406</v>
      </c>
      <c r="K560" t="s">
        <v>2294</v>
      </c>
      <c r="L560" t="s">
        <v>54</v>
      </c>
      <c r="M560">
        <v>1942</v>
      </c>
      <c r="N560" s="5">
        <f>ROUNDUP(Clean_Data[[#This Row],[Year_Num]]/100,0)</f>
        <v>20</v>
      </c>
      <c r="O560" s="5" t="str" cm="1">
        <f t="array" ref="O560">_xlfn.LET(_xlpm.y,Clean_Data[[#This Row],[Year_Num]],_xlfn.IFS(_xlpm.y&lt;500,"Ancient",_xlpm.y&lt;1500,"Medieval",_xlpm.y&lt;1800,"Early Modern",_xlpm.y&lt;1946,"Modern",TRUE,"Contemporary"))</f>
        <v>Modern</v>
      </c>
      <c r="P560" s="5" t="str">
        <f>_xlfn.XLOOKUP(Clean_Data[[#This Row],[Country]],country_region[Country],country_region[Country_Standard],"Not found")</f>
        <v>Malaysia</v>
      </c>
      <c r="Q560" s="5" t="str">
        <f>_xlfn.XLOOKUP(Clean_Data[[#This Row],[Country]],country_region[Country],country_region[Region],"Not found")</f>
        <v>Southeast Asia</v>
      </c>
      <c r="R560" s="5" t="str">
        <f>_xlfn.XLOOKUP(Clean_Data[[#This Row],[Type of Event]],event_type_category[Type of Event],event_type_category[Category],"Not found")</f>
        <v>War &amp; Conflict</v>
      </c>
    </row>
    <row r="561" spans="1:18">
      <c r="A561">
        <v>601</v>
      </c>
      <c r="B561" t="s">
        <v>2619</v>
      </c>
      <c r="E561" t="s">
        <v>185</v>
      </c>
      <c r="F561" t="s">
        <v>2369</v>
      </c>
      <c r="G561" t="s">
        <v>213</v>
      </c>
      <c r="H561" t="s">
        <v>2369</v>
      </c>
      <c r="I561" t="s">
        <v>2620</v>
      </c>
      <c r="J561" t="s">
        <v>2371</v>
      </c>
      <c r="K561" t="s">
        <v>2532</v>
      </c>
      <c r="L561" t="s">
        <v>36</v>
      </c>
      <c r="M561">
        <v>1951</v>
      </c>
      <c r="N561" s="5">
        <f>ROUNDUP(Clean_Data[[#This Row],[Year_Num]]/100,0)</f>
        <v>20</v>
      </c>
      <c r="O561" s="5" t="str" cm="1">
        <f t="array" ref="O561">_xlfn.LET(_xlpm.y,Clean_Data[[#This Row],[Year_Num]],_xlfn.IFS(_xlpm.y&lt;500,"Ancient",_xlpm.y&lt;1500,"Medieval",_xlpm.y&lt;1800,"Early Modern",_xlpm.y&lt;1946,"Modern",TRUE,"Contemporary"))</f>
        <v>Contemporary</v>
      </c>
      <c r="P561" s="5" t="str">
        <f>_xlfn.XLOOKUP(Clean_Data[[#This Row],[Country]],country_region[Country],country_region[Country_Standard],"Not found")</f>
        <v>Iran</v>
      </c>
      <c r="Q561" s="5" t="str">
        <f>_xlfn.XLOOKUP(Clean_Data[[#This Row],[Country]],country_region[Country],country_region[Region],"Not found")</f>
        <v>Middle East &amp; North Africa</v>
      </c>
      <c r="R561" s="5" t="str">
        <f>_xlfn.XLOOKUP(Clean_Data[[#This Row],[Type of Event]],event_type_category[Type of Event],event_type_category[Category],"Not found")</f>
        <v>Economy &amp; Infrastructure</v>
      </c>
    </row>
    <row r="562" spans="1:18">
      <c r="A562">
        <v>602</v>
      </c>
      <c r="B562" t="s">
        <v>2621</v>
      </c>
      <c r="E562" t="s">
        <v>954</v>
      </c>
      <c r="F562" t="s">
        <v>2374</v>
      </c>
      <c r="G562" t="s">
        <v>1067</v>
      </c>
      <c r="H562" t="s">
        <v>2476</v>
      </c>
      <c r="I562" t="s">
        <v>2622</v>
      </c>
      <c r="J562" t="s">
        <v>2415</v>
      </c>
      <c r="K562" t="s">
        <v>2623</v>
      </c>
      <c r="L562" t="s">
        <v>36</v>
      </c>
      <c r="M562">
        <v>1958</v>
      </c>
      <c r="N562" s="5">
        <f>ROUNDUP(Clean_Data[[#This Row],[Year_Num]]/100,0)</f>
        <v>20</v>
      </c>
      <c r="O562" s="5" t="str" cm="1">
        <f t="array" ref="O562">_xlfn.LET(_xlpm.y,Clean_Data[[#This Row],[Year_Num]],_xlfn.IFS(_xlpm.y&lt;500,"Ancient",_xlpm.y&lt;1500,"Medieval",_xlpm.y&lt;1800,"Early Modern",_xlpm.y&lt;1946,"Modern",TRUE,"Contemporary"))</f>
        <v>Contemporary</v>
      </c>
      <c r="P562" s="5" t="str">
        <f>_xlfn.XLOOKUP(Clean_Data[[#This Row],[Country]],country_region[Country],country_region[Country_Standard],"Not found")</f>
        <v>Iraq</v>
      </c>
      <c r="Q562" s="5" t="str">
        <f>_xlfn.XLOOKUP(Clean_Data[[#This Row],[Country]],country_region[Country],country_region[Region],"Not found")</f>
        <v>Middle East &amp; North Africa</v>
      </c>
      <c r="R562" s="5" t="str">
        <f>_xlfn.XLOOKUP(Clean_Data[[#This Row],[Type of Event]],event_type_category[Type of Event],event_type_category[Category],"Not found")</f>
        <v>Politics &amp; Law</v>
      </c>
    </row>
    <row r="563" spans="1:18">
      <c r="A563">
        <v>603</v>
      </c>
      <c r="B563" t="s">
        <v>2624</v>
      </c>
      <c r="E563" t="s">
        <v>387</v>
      </c>
      <c r="F563" t="s">
        <v>1079</v>
      </c>
      <c r="G563" t="s">
        <v>2321</v>
      </c>
      <c r="H563" t="s">
        <v>2382</v>
      </c>
      <c r="I563" t="s">
        <v>2625</v>
      </c>
      <c r="J563" t="s">
        <v>2514</v>
      </c>
      <c r="K563" t="s">
        <v>2420</v>
      </c>
      <c r="L563" t="s">
        <v>54</v>
      </c>
      <c r="M563">
        <v>1922</v>
      </c>
      <c r="N563" s="5">
        <f>ROUNDUP(Clean_Data[[#This Row],[Year_Num]]/100,0)</f>
        <v>20</v>
      </c>
      <c r="O563" s="5" t="str" cm="1">
        <f t="array" ref="O563">_xlfn.LET(_xlpm.y,Clean_Data[[#This Row],[Year_Num]],_xlfn.IFS(_xlpm.y&lt;500,"Ancient",_xlpm.y&lt;1500,"Medieval",_xlpm.y&lt;1800,"Early Modern",_xlpm.y&lt;1946,"Modern",TRUE,"Contemporary"))</f>
        <v>Modern</v>
      </c>
      <c r="P563" s="5" t="str">
        <f>_xlfn.XLOOKUP(Clean_Data[[#This Row],[Country]],country_region[Country],country_region[Country_Standard],"Not found")</f>
        <v>USSR</v>
      </c>
      <c r="Q563" s="5" t="str">
        <f>_xlfn.XLOOKUP(Clean_Data[[#This Row],[Country]],country_region[Country],country_region[Region],"Not found")</f>
        <v>Europe</v>
      </c>
      <c r="R563" s="5" t="str">
        <f>_xlfn.XLOOKUP(Clean_Data[[#This Row],[Type of Event]],event_type_category[Type of Event],event_type_category[Category],"Not found")</f>
        <v>Independence &amp; Nation-Building</v>
      </c>
    </row>
    <row r="564" spans="1:18">
      <c r="A564">
        <v>604</v>
      </c>
      <c r="B564" t="s">
        <v>2626</v>
      </c>
      <c r="E564" t="s">
        <v>2422</v>
      </c>
      <c r="F564" t="s">
        <v>2627</v>
      </c>
      <c r="G564" t="s">
        <v>1022</v>
      </c>
      <c r="H564" t="s">
        <v>2487</v>
      </c>
      <c r="I564" t="s">
        <v>2628</v>
      </c>
      <c r="J564" t="s">
        <v>2629</v>
      </c>
      <c r="K564" t="s">
        <v>2420</v>
      </c>
      <c r="L564" t="s">
        <v>54</v>
      </c>
      <c r="M564">
        <v>1924</v>
      </c>
      <c r="N564" s="5">
        <f>ROUNDUP(Clean_Data[[#This Row],[Year_Num]]/100,0)</f>
        <v>20</v>
      </c>
      <c r="O564" s="5" t="str" cm="1">
        <f t="array" ref="O564">_xlfn.LET(_xlpm.y,Clean_Data[[#This Row],[Year_Num]],_xlfn.IFS(_xlpm.y&lt;500,"Ancient",_xlpm.y&lt;1500,"Medieval",_xlpm.y&lt;1800,"Early Modern",_xlpm.y&lt;1946,"Modern",TRUE,"Contemporary"))</f>
        <v>Modern</v>
      </c>
      <c r="P564" s="5" t="str">
        <f>_xlfn.XLOOKUP(Clean_Data[[#This Row],[Country]],country_region[Country],country_region[Country_Standard],"Not found")</f>
        <v>Uzbekistan</v>
      </c>
      <c r="Q564" s="5" t="str">
        <f>_xlfn.XLOOKUP(Clean_Data[[#This Row],[Country]],country_region[Country],country_region[Region],"Not found")</f>
        <v>Central Asia</v>
      </c>
      <c r="R564" s="5" t="str">
        <f>_xlfn.XLOOKUP(Clean_Data[[#This Row],[Type of Event]],event_type_category[Type of Event],event_type_category[Category],"Not found")</f>
        <v>Independence &amp; Nation-Building</v>
      </c>
    </row>
    <row r="565" spans="1:18">
      <c r="A565">
        <v>605</v>
      </c>
      <c r="B565" t="s">
        <v>4996</v>
      </c>
      <c r="E565" t="s">
        <v>1929</v>
      </c>
      <c r="F565" t="s">
        <v>2392</v>
      </c>
      <c r="G565" t="s">
        <v>2167</v>
      </c>
      <c r="H565" t="s">
        <v>2392</v>
      </c>
      <c r="I565" t="s">
        <v>2631</v>
      </c>
      <c r="J565" t="s">
        <v>2395</v>
      </c>
      <c r="K565" t="s">
        <v>2632</v>
      </c>
      <c r="L565" t="s">
        <v>21</v>
      </c>
      <c r="M565">
        <v>1961</v>
      </c>
      <c r="N565" s="5">
        <f>ROUNDUP(Clean_Data[[#This Row],[Year_Num]]/100,0)</f>
        <v>20</v>
      </c>
      <c r="O565" s="5" t="str" cm="1">
        <f t="array" ref="O565">_xlfn.LET(_xlpm.y,Clean_Data[[#This Row],[Year_Num]],_xlfn.IFS(_xlpm.y&lt;500,"Ancient",_xlpm.y&lt;1500,"Medieval",_xlpm.y&lt;1800,"Early Modern",_xlpm.y&lt;1946,"Modern",TRUE,"Contemporary"))</f>
        <v>Contemporary</v>
      </c>
      <c r="P565" s="5" t="str">
        <f>_xlfn.XLOOKUP(Clean_Data[[#This Row],[Country]],country_region[Country],country_region[Country_Standard],"Not found")</f>
        <v>Bhutan</v>
      </c>
      <c r="Q565" s="5" t="str">
        <f>_xlfn.XLOOKUP(Clean_Data[[#This Row],[Country]],country_region[Country],country_region[Region],"Not found")</f>
        <v>South Asia</v>
      </c>
      <c r="R565" s="5" t="str">
        <f>_xlfn.XLOOKUP(Clean_Data[[#This Row],[Type of Event]],event_type_category[Type of Event],event_type_category[Category],"Not found")</f>
        <v>Economy &amp; Infrastructure</v>
      </c>
    </row>
    <row r="566" spans="1:18">
      <c r="A566">
        <v>606</v>
      </c>
      <c r="B566" t="s">
        <v>2633</v>
      </c>
      <c r="E566" t="s">
        <v>2316</v>
      </c>
      <c r="F566" t="s">
        <v>2634</v>
      </c>
      <c r="G566" t="s">
        <v>2635</v>
      </c>
      <c r="H566" t="s">
        <v>2634</v>
      </c>
      <c r="I566" t="s">
        <v>2636</v>
      </c>
      <c r="J566" t="s">
        <v>2637</v>
      </c>
      <c r="K566" t="s">
        <v>2638</v>
      </c>
      <c r="L566" t="s">
        <v>54</v>
      </c>
      <c r="M566">
        <v>1959</v>
      </c>
      <c r="N566" s="5">
        <f>ROUNDUP(Clean_Data[[#This Row],[Year_Num]]/100,0)</f>
        <v>20</v>
      </c>
      <c r="O566" s="5" t="str" cm="1">
        <f t="array" ref="O566">_xlfn.LET(_xlpm.y,Clean_Data[[#This Row],[Year_Num]],_xlfn.IFS(_xlpm.y&lt;500,"Ancient",_xlpm.y&lt;1500,"Medieval",_xlpm.y&lt;1800,"Early Modern",_xlpm.y&lt;1946,"Modern",TRUE,"Contemporary"))</f>
        <v>Contemporary</v>
      </c>
      <c r="P566" s="5" t="str">
        <f>_xlfn.XLOOKUP(Clean_Data[[#This Row],[Country]],country_region[Country],country_region[Country_Standard],"Not found")</f>
        <v>Maldives</v>
      </c>
      <c r="Q566" s="5" t="str">
        <f>_xlfn.XLOOKUP(Clean_Data[[#This Row],[Country]],country_region[Country],country_region[Region],"Not found")</f>
        <v>South Asia</v>
      </c>
      <c r="R566" s="5" t="str">
        <f>_xlfn.XLOOKUP(Clean_Data[[#This Row],[Type of Event]],event_type_category[Type of Event],event_type_category[Category],"Not found")</f>
        <v>Independence &amp; Nation-Building</v>
      </c>
    </row>
    <row r="567" spans="1:18">
      <c r="A567">
        <v>607</v>
      </c>
      <c r="B567" t="s">
        <v>2639</v>
      </c>
      <c r="E567" t="s">
        <v>656</v>
      </c>
      <c r="F567" t="s">
        <v>2288</v>
      </c>
      <c r="G567" t="s">
        <v>2516</v>
      </c>
      <c r="H567" t="s">
        <v>2288</v>
      </c>
      <c r="I567" t="s">
        <v>2640</v>
      </c>
      <c r="J567" t="s">
        <v>2406</v>
      </c>
      <c r="K567" t="s">
        <v>1460</v>
      </c>
      <c r="L567" t="s">
        <v>36</v>
      </c>
      <c r="M567">
        <v>1948</v>
      </c>
      <c r="N567" s="5">
        <f>ROUNDUP(Clean_Data[[#This Row],[Year_Num]]/100,0)</f>
        <v>20</v>
      </c>
      <c r="O567" s="5" t="str" cm="1">
        <f t="array" ref="O567">_xlfn.LET(_xlpm.y,Clean_Data[[#This Row],[Year_Num]],_xlfn.IFS(_xlpm.y&lt;500,"Ancient",_xlpm.y&lt;1500,"Medieval",_xlpm.y&lt;1800,"Early Modern",_xlpm.y&lt;1946,"Modern",TRUE,"Contemporary"))</f>
        <v>Contemporary</v>
      </c>
      <c r="P567" s="5" t="str">
        <f>_xlfn.XLOOKUP(Clean_Data[[#This Row],[Country]],country_region[Country],country_region[Country_Standard],"Not found")</f>
        <v>Malaysia</v>
      </c>
      <c r="Q567" s="5" t="str">
        <f>_xlfn.XLOOKUP(Clean_Data[[#This Row],[Country]],country_region[Country],country_region[Region],"Not found")</f>
        <v>Southeast Asia</v>
      </c>
      <c r="R567" s="5" t="str">
        <f>_xlfn.XLOOKUP(Clean_Data[[#This Row],[Type of Event]],event_type_category[Type of Event],event_type_category[Category],"Not found")</f>
        <v>Politics &amp; Law</v>
      </c>
    </row>
    <row r="568" spans="1:18">
      <c r="A568">
        <v>608</v>
      </c>
      <c r="B568" t="s">
        <v>2641</v>
      </c>
      <c r="D568" t="s">
        <v>57</v>
      </c>
      <c r="E568" t="s">
        <v>1146</v>
      </c>
      <c r="F568" t="s">
        <v>2409</v>
      </c>
      <c r="G568" t="s">
        <v>2642</v>
      </c>
      <c r="H568" t="s">
        <v>2369</v>
      </c>
      <c r="I568" t="s">
        <v>2643</v>
      </c>
      <c r="J568" t="s">
        <v>2411</v>
      </c>
      <c r="K568" t="s">
        <v>2644</v>
      </c>
      <c r="L568" t="s">
        <v>54</v>
      </c>
      <c r="M568">
        <v>1953</v>
      </c>
      <c r="N568" s="5">
        <f>ROUNDUP(Clean_Data[[#This Row],[Year_Num]]/100,0)</f>
        <v>20</v>
      </c>
      <c r="O568" s="5" t="str" cm="1">
        <f t="array" ref="O568">_xlfn.LET(_xlpm.y,Clean_Data[[#This Row],[Year_Num]],_xlfn.IFS(_xlpm.y&lt;500,"Ancient",_xlpm.y&lt;1500,"Medieval",_xlpm.y&lt;1800,"Early Modern",_xlpm.y&lt;1946,"Modern",TRUE,"Contemporary"))</f>
        <v>Contemporary</v>
      </c>
      <c r="P568" s="5" t="str">
        <f>_xlfn.XLOOKUP(Clean_Data[[#This Row],[Country]],country_region[Country],country_region[Country_Standard],"Not found")</f>
        <v>Iran</v>
      </c>
      <c r="Q568" s="5" t="str">
        <f>_xlfn.XLOOKUP(Clean_Data[[#This Row],[Country]],country_region[Country],country_region[Region],"Not found")</f>
        <v>Middle East &amp; North Africa</v>
      </c>
      <c r="R568" s="5" t="str">
        <f>_xlfn.XLOOKUP(Clean_Data[[#This Row],[Type of Event]],event_type_category[Type of Event],event_type_category[Category],"Not found")</f>
        <v>War &amp; Conflict</v>
      </c>
    </row>
    <row r="569" spans="1:18">
      <c r="A569">
        <v>609</v>
      </c>
      <c r="B569" t="s">
        <v>2645</v>
      </c>
      <c r="D569" t="s">
        <v>173</v>
      </c>
      <c r="E569" t="s">
        <v>883</v>
      </c>
      <c r="F569" t="s">
        <v>2369</v>
      </c>
      <c r="G569" t="s">
        <v>2646</v>
      </c>
      <c r="H569" t="s">
        <v>2369</v>
      </c>
      <c r="I569" t="s">
        <v>2647</v>
      </c>
      <c r="J569" t="s">
        <v>2411</v>
      </c>
      <c r="K569" t="s">
        <v>2648</v>
      </c>
      <c r="L569" t="s">
        <v>36</v>
      </c>
      <c r="M569">
        <v>1979</v>
      </c>
      <c r="N569" s="5">
        <f>ROUNDUP(Clean_Data[[#This Row],[Year_Num]]/100,0)</f>
        <v>20</v>
      </c>
      <c r="O569" s="5" t="str" cm="1">
        <f t="array" ref="O569">_xlfn.LET(_xlpm.y,Clean_Data[[#This Row],[Year_Num]],_xlfn.IFS(_xlpm.y&lt;500,"Ancient",_xlpm.y&lt;1500,"Medieval",_xlpm.y&lt;1800,"Early Modern",_xlpm.y&lt;1946,"Modern",TRUE,"Contemporary"))</f>
        <v>Contemporary</v>
      </c>
      <c r="P569" s="5" t="str">
        <f>_xlfn.XLOOKUP(Clean_Data[[#This Row],[Country]],country_region[Country],country_region[Country_Standard],"Not found")</f>
        <v>Iran</v>
      </c>
      <c r="Q569" s="5" t="str">
        <f>_xlfn.XLOOKUP(Clean_Data[[#This Row],[Country]],country_region[Country],country_region[Region],"Not found")</f>
        <v>Middle East &amp; North Africa</v>
      </c>
      <c r="R569" s="5" t="str">
        <f>_xlfn.XLOOKUP(Clean_Data[[#This Row],[Type of Event]],event_type_category[Type of Event],event_type_category[Category],"Not found")</f>
        <v>Politics &amp; Law</v>
      </c>
    </row>
    <row r="570" spans="1:18">
      <c r="A570">
        <v>610</v>
      </c>
      <c r="B570" t="s">
        <v>2649</v>
      </c>
      <c r="D570" t="s">
        <v>211</v>
      </c>
      <c r="E570" t="s">
        <v>954</v>
      </c>
      <c r="F570" t="s">
        <v>2374</v>
      </c>
      <c r="G570" t="s">
        <v>2646</v>
      </c>
      <c r="H570" t="s">
        <v>2476</v>
      </c>
      <c r="I570" t="s">
        <v>2650</v>
      </c>
      <c r="J570" t="s">
        <v>2651</v>
      </c>
      <c r="K570" t="s">
        <v>2652</v>
      </c>
      <c r="L570" t="s">
        <v>36</v>
      </c>
      <c r="M570">
        <v>1958</v>
      </c>
      <c r="N570" s="5">
        <f>ROUNDUP(Clean_Data[[#This Row],[Year_Num]]/100,0)</f>
        <v>20</v>
      </c>
      <c r="O570" s="5" t="str" cm="1">
        <f t="array" ref="O570">_xlfn.LET(_xlpm.y,Clean_Data[[#This Row],[Year_Num]],_xlfn.IFS(_xlpm.y&lt;500,"Ancient",_xlpm.y&lt;1500,"Medieval",_xlpm.y&lt;1800,"Early Modern",_xlpm.y&lt;1946,"Modern",TRUE,"Contemporary"))</f>
        <v>Contemporary</v>
      </c>
      <c r="P570" s="5" t="str">
        <f>_xlfn.XLOOKUP(Clean_Data[[#This Row],[Country]],country_region[Country],country_region[Country_Standard],"Not found")</f>
        <v>Iraq</v>
      </c>
      <c r="Q570" s="5" t="str">
        <f>_xlfn.XLOOKUP(Clean_Data[[#This Row],[Country]],country_region[Country],country_region[Region],"Not found")</f>
        <v>Middle East &amp; North Africa</v>
      </c>
      <c r="R570" s="5" t="str">
        <f>_xlfn.XLOOKUP(Clean_Data[[#This Row],[Type of Event]],event_type_category[Type of Event],event_type_category[Category],"Not found")</f>
        <v>Politics &amp; Law</v>
      </c>
    </row>
    <row r="571" spans="1:18">
      <c r="A571">
        <v>611</v>
      </c>
      <c r="B571" t="s">
        <v>4997</v>
      </c>
      <c r="D571" t="s">
        <v>286</v>
      </c>
      <c r="E571" t="s">
        <v>455</v>
      </c>
      <c r="F571" t="s">
        <v>2374</v>
      </c>
      <c r="G571" t="s">
        <v>138</v>
      </c>
      <c r="H571" t="s">
        <v>2654</v>
      </c>
      <c r="I571" t="s">
        <v>2655</v>
      </c>
      <c r="J571" t="s">
        <v>2656</v>
      </c>
      <c r="K571" t="s">
        <v>2657</v>
      </c>
      <c r="L571" t="s">
        <v>54</v>
      </c>
      <c r="M571">
        <v>1980</v>
      </c>
      <c r="N571" s="5">
        <f>ROUNDUP(Clean_Data[[#This Row],[Year_Num]]/100,0)</f>
        <v>20</v>
      </c>
      <c r="O571" s="5" t="str" cm="1">
        <f t="array" ref="O571">_xlfn.LET(_xlpm.y,Clean_Data[[#This Row],[Year_Num]],_xlfn.IFS(_xlpm.y&lt;500,"Ancient",_xlpm.y&lt;1500,"Medieval",_xlpm.y&lt;1800,"Early Modern",_xlpm.y&lt;1946,"Modern",TRUE,"Contemporary"))</f>
        <v>Contemporary</v>
      </c>
      <c r="P571" s="5" t="str">
        <f>_xlfn.XLOOKUP(Clean_Data[[#This Row],[Country]],country_region[Country],country_region[Country_Standard],"Not found")</f>
        <v>Iraq</v>
      </c>
      <c r="Q571" s="5" t="str">
        <f>_xlfn.XLOOKUP(Clean_Data[[#This Row],[Country]],country_region[Country],country_region[Region],"Not found")</f>
        <v>Middle East &amp; North Africa</v>
      </c>
      <c r="R571" s="5" t="str">
        <f>_xlfn.XLOOKUP(Clean_Data[[#This Row],[Type of Event]],event_type_category[Type of Event],event_type_category[Category],"Not found")</f>
        <v>War &amp; Conflict</v>
      </c>
    </row>
    <row r="572" spans="1:18">
      <c r="A572">
        <v>612</v>
      </c>
      <c r="B572" t="s">
        <v>2658</v>
      </c>
      <c r="D572" t="s">
        <v>260</v>
      </c>
      <c r="E572" t="s">
        <v>212</v>
      </c>
      <c r="F572" t="s">
        <v>2659</v>
      </c>
      <c r="G572" t="s">
        <v>138</v>
      </c>
      <c r="H572" t="s">
        <v>2382</v>
      </c>
      <c r="I572" t="s">
        <v>2660</v>
      </c>
      <c r="J572" t="s">
        <v>2651</v>
      </c>
      <c r="K572" t="s">
        <v>2661</v>
      </c>
      <c r="L572" t="s">
        <v>54</v>
      </c>
      <c r="M572">
        <v>1991</v>
      </c>
      <c r="N572" s="5">
        <f>ROUNDUP(Clean_Data[[#This Row],[Year_Num]]/100,0)</f>
        <v>20</v>
      </c>
      <c r="O572" s="5" t="str" cm="1">
        <f t="array" ref="O572">_xlfn.LET(_xlpm.y,Clean_Data[[#This Row],[Year_Num]],_xlfn.IFS(_xlpm.y&lt;500,"Ancient",_xlpm.y&lt;1500,"Medieval",_xlpm.y&lt;1800,"Early Modern",_xlpm.y&lt;1946,"Modern",TRUE,"Contemporary"))</f>
        <v>Contemporary</v>
      </c>
      <c r="P572" s="5" t="str">
        <f>_xlfn.XLOOKUP(Clean_Data[[#This Row],[Country]],country_region[Country],country_region[Country_Standard],"Not found")</f>
        <v>Kuwait</v>
      </c>
      <c r="Q572" s="5" t="str">
        <f>_xlfn.XLOOKUP(Clean_Data[[#This Row],[Country]],country_region[Country],country_region[Region],"Not found")</f>
        <v>Middle East &amp; North Africa</v>
      </c>
      <c r="R572" s="5" t="str">
        <f>_xlfn.XLOOKUP(Clean_Data[[#This Row],[Type of Event]],event_type_category[Type of Event],event_type_category[Category],"Not found")</f>
        <v>War &amp; Conflict</v>
      </c>
    </row>
    <row r="573" spans="1:18">
      <c r="A573">
        <v>613</v>
      </c>
      <c r="B573" t="s">
        <v>2662</v>
      </c>
      <c r="C573" t="s">
        <v>150</v>
      </c>
      <c r="D573" t="s">
        <v>66</v>
      </c>
      <c r="E573" t="s">
        <v>212</v>
      </c>
      <c r="F573" t="s">
        <v>2382</v>
      </c>
      <c r="G573" t="s">
        <v>2588</v>
      </c>
      <c r="H573" t="s">
        <v>2663</v>
      </c>
      <c r="I573" t="s">
        <v>2664</v>
      </c>
      <c r="J573" t="s">
        <v>2665</v>
      </c>
      <c r="K573" t="s">
        <v>2666</v>
      </c>
      <c r="L573" t="s">
        <v>21</v>
      </c>
      <c r="M573">
        <v>1991</v>
      </c>
      <c r="N573" s="5">
        <f>ROUNDUP(Clean_Data[[#This Row],[Year_Num]]/100,0)</f>
        <v>20</v>
      </c>
      <c r="O573" s="5" t="str" cm="1">
        <f t="array" ref="O573">_xlfn.LET(_xlpm.y,Clean_Data[[#This Row],[Year_Num]],_xlfn.IFS(_xlpm.y&lt;500,"Ancient",_xlpm.y&lt;1500,"Medieval",_xlpm.y&lt;1800,"Early Modern",_xlpm.y&lt;1946,"Modern",TRUE,"Contemporary"))</f>
        <v>Contemporary</v>
      </c>
      <c r="P573" s="5" t="str">
        <f>_xlfn.XLOOKUP(Clean_Data[[#This Row],[Country]],country_region[Country],country_region[Country_Standard],"Not found")</f>
        <v>Kazakhstan</v>
      </c>
      <c r="Q573" s="5" t="str">
        <f>_xlfn.XLOOKUP(Clean_Data[[#This Row],[Country]],country_region[Country],country_region[Region],"Not found")</f>
        <v>Central Asia</v>
      </c>
      <c r="R573" s="5" t="str">
        <f>_xlfn.XLOOKUP(Clean_Data[[#This Row],[Type of Event]],event_type_category[Type of Event],event_type_category[Category],"Not found")</f>
        <v>Independence &amp; Nation-Building</v>
      </c>
    </row>
    <row r="574" spans="1:18">
      <c r="A574">
        <v>614</v>
      </c>
      <c r="B574" t="s">
        <v>2667</v>
      </c>
      <c r="E574" t="s">
        <v>600</v>
      </c>
      <c r="F574" t="s">
        <v>2487</v>
      </c>
      <c r="G574" t="s">
        <v>2287</v>
      </c>
      <c r="H574" t="s">
        <v>2668</v>
      </c>
      <c r="I574" t="s">
        <v>2669</v>
      </c>
      <c r="J574" t="s">
        <v>2665</v>
      </c>
      <c r="K574" t="s">
        <v>2666</v>
      </c>
      <c r="L574" t="s">
        <v>36</v>
      </c>
      <c r="M574">
        <v>1997</v>
      </c>
      <c r="N574" s="5">
        <f>ROUNDUP(Clean_Data[[#This Row],[Year_Num]]/100,0)</f>
        <v>20</v>
      </c>
      <c r="O574" s="5" t="str" cm="1">
        <f t="array" ref="O574">_xlfn.LET(_xlpm.y,Clean_Data[[#This Row],[Year_Num]],_xlfn.IFS(_xlpm.y&lt;500,"Ancient",_xlpm.y&lt;1500,"Medieval",_xlpm.y&lt;1800,"Early Modern",_xlpm.y&lt;1946,"Modern",TRUE,"Contemporary"))</f>
        <v>Contemporary</v>
      </c>
      <c r="P574" s="5" t="str">
        <f>_xlfn.XLOOKUP(Clean_Data[[#This Row],[Country]],country_region[Country],country_region[Country_Standard],"Not found")</f>
        <v>Uzbekistan</v>
      </c>
      <c r="Q574" s="5" t="str">
        <f>_xlfn.XLOOKUP(Clean_Data[[#This Row],[Country]],country_region[Country],country_region[Region],"Not found")</f>
        <v>Central Asia</v>
      </c>
      <c r="R574" s="5" t="str">
        <f>_xlfn.XLOOKUP(Clean_Data[[#This Row],[Type of Event]],event_type_category[Type of Event],event_type_category[Category],"Not found")</f>
        <v>Politics &amp; Law</v>
      </c>
    </row>
    <row r="575" spans="1:18">
      <c r="A575">
        <v>615</v>
      </c>
      <c r="B575" t="s">
        <v>2662</v>
      </c>
      <c r="C575" t="s">
        <v>46</v>
      </c>
      <c r="D575" t="s">
        <v>286</v>
      </c>
      <c r="E575" t="s">
        <v>212</v>
      </c>
      <c r="F575" t="s">
        <v>2487</v>
      </c>
      <c r="G575" t="s">
        <v>2588</v>
      </c>
      <c r="H575" t="s">
        <v>2487</v>
      </c>
      <c r="I575" t="s">
        <v>2670</v>
      </c>
      <c r="J575" t="s">
        <v>2671</v>
      </c>
      <c r="L575" t="s">
        <v>21</v>
      </c>
      <c r="M575">
        <v>1991</v>
      </c>
      <c r="N575" s="5">
        <f>ROUNDUP(Clean_Data[[#This Row],[Year_Num]]/100,0)</f>
        <v>20</v>
      </c>
      <c r="O575" s="5" t="str" cm="1">
        <f t="array" ref="O575">_xlfn.LET(_xlpm.y,Clean_Data[[#This Row],[Year_Num]],_xlfn.IFS(_xlpm.y&lt;500,"Ancient",_xlpm.y&lt;1500,"Medieval",_xlpm.y&lt;1800,"Early Modern",_xlpm.y&lt;1946,"Modern",TRUE,"Contemporary"))</f>
        <v>Contemporary</v>
      </c>
      <c r="P575" s="5" t="str">
        <f>_xlfn.XLOOKUP(Clean_Data[[#This Row],[Country]],country_region[Country],country_region[Country_Standard],"Not found")</f>
        <v>Uzbekistan</v>
      </c>
      <c r="Q575" s="5" t="str">
        <f>_xlfn.XLOOKUP(Clean_Data[[#This Row],[Country]],country_region[Country],country_region[Region],"Not found")</f>
        <v>Central Asia</v>
      </c>
      <c r="R575" s="5" t="str">
        <f>_xlfn.XLOOKUP(Clean_Data[[#This Row],[Type of Event]],event_type_category[Type of Event],event_type_category[Category],"Not found")</f>
        <v>Independence &amp; Nation-Building</v>
      </c>
    </row>
    <row r="576" spans="1:18">
      <c r="A576">
        <v>616</v>
      </c>
      <c r="B576" t="s">
        <v>2672</v>
      </c>
      <c r="D576" t="s">
        <v>286</v>
      </c>
      <c r="E576" t="s">
        <v>299</v>
      </c>
      <c r="F576" t="s">
        <v>2487</v>
      </c>
      <c r="G576" t="s">
        <v>1712</v>
      </c>
      <c r="H576" t="s">
        <v>2392</v>
      </c>
      <c r="I576" t="s">
        <v>4998</v>
      </c>
      <c r="J576" t="s">
        <v>2671</v>
      </c>
      <c r="L576" t="s">
        <v>36</v>
      </c>
      <c r="M576">
        <v>2016</v>
      </c>
      <c r="N576" s="5">
        <f>ROUNDUP(Clean_Data[[#This Row],[Year_Num]]/100,0)</f>
        <v>21</v>
      </c>
      <c r="O576" s="5" t="str" cm="1">
        <f t="array" ref="O576">_xlfn.LET(_xlpm.y,Clean_Data[[#This Row],[Year_Num]],_xlfn.IFS(_xlpm.y&lt;500,"Ancient",_xlpm.y&lt;1500,"Medieval",_xlpm.y&lt;1800,"Early Modern",_xlpm.y&lt;1946,"Modern",TRUE,"Contemporary"))</f>
        <v>Contemporary</v>
      </c>
      <c r="P576" s="5" t="str">
        <f>_xlfn.XLOOKUP(Clean_Data[[#This Row],[Country]],country_region[Country],country_region[Country_Standard],"Not found")</f>
        <v>Uzbekistan</v>
      </c>
      <c r="Q576" s="5" t="str">
        <f>_xlfn.XLOOKUP(Clean_Data[[#This Row],[Country]],country_region[Country],country_region[Region],"Not found")</f>
        <v>Central Asia</v>
      </c>
      <c r="R576" s="5" t="str">
        <f>_xlfn.XLOOKUP(Clean_Data[[#This Row],[Type of Event]],event_type_category[Type of Event],event_type_category[Category],"Not found")</f>
        <v>Politics &amp; Law</v>
      </c>
    </row>
    <row r="577" spans="1:18">
      <c r="A577">
        <v>617</v>
      </c>
      <c r="B577" t="s">
        <v>2674</v>
      </c>
      <c r="D577" t="s">
        <v>100</v>
      </c>
      <c r="E577" t="s">
        <v>137</v>
      </c>
      <c r="F577" t="s">
        <v>2392</v>
      </c>
      <c r="G577" t="s">
        <v>2675</v>
      </c>
      <c r="H577" t="s">
        <v>2392</v>
      </c>
      <c r="I577" t="s">
        <v>2676</v>
      </c>
      <c r="J577" t="s">
        <v>2677</v>
      </c>
      <c r="K577" t="s">
        <v>2678</v>
      </c>
      <c r="L577" t="s">
        <v>21</v>
      </c>
      <c r="M577">
        <v>1999</v>
      </c>
      <c r="N577" s="5">
        <f>ROUNDUP(Clean_Data[[#This Row],[Year_Num]]/100,0)</f>
        <v>20</v>
      </c>
      <c r="O577" s="5" t="str" cm="1">
        <f t="array" ref="O577">_xlfn.LET(_xlpm.y,Clean_Data[[#This Row],[Year_Num]],_xlfn.IFS(_xlpm.y&lt;500,"Ancient",_xlpm.y&lt;1500,"Medieval",_xlpm.y&lt;1800,"Early Modern",_xlpm.y&lt;1946,"Modern",TRUE,"Contemporary"))</f>
        <v>Contemporary</v>
      </c>
      <c r="P577" s="5" t="str">
        <f>_xlfn.XLOOKUP(Clean_Data[[#This Row],[Country]],country_region[Country],country_region[Country_Standard],"Not found")</f>
        <v>Bhutan</v>
      </c>
      <c r="Q577" s="5" t="str">
        <f>_xlfn.XLOOKUP(Clean_Data[[#This Row],[Country]],country_region[Country],country_region[Region],"Not found")</f>
        <v>South Asia</v>
      </c>
      <c r="R577" s="5" t="str">
        <f>_xlfn.XLOOKUP(Clean_Data[[#This Row],[Type of Event]],event_type_category[Type of Event],event_type_category[Category],"Not found")</f>
        <v>Culture, Religion &amp; Sport</v>
      </c>
    </row>
    <row r="578" spans="1:18">
      <c r="A578">
        <v>618</v>
      </c>
      <c r="B578" t="s">
        <v>2679</v>
      </c>
      <c r="D578" t="s">
        <v>267</v>
      </c>
      <c r="E578" t="s">
        <v>84</v>
      </c>
      <c r="F578" t="s">
        <v>2392</v>
      </c>
      <c r="G578" t="s">
        <v>1806</v>
      </c>
      <c r="H578" t="s">
        <v>2392</v>
      </c>
      <c r="I578" t="s">
        <v>2680</v>
      </c>
      <c r="J578" t="s">
        <v>2677</v>
      </c>
      <c r="K578" t="s">
        <v>2681</v>
      </c>
      <c r="L578" t="s">
        <v>21</v>
      </c>
      <c r="M578">
        <v>2008</v>
      </c>
      <c r="N578" s="5">
        <f>ROUNDUP(Clean_Data[[#This Row],[Year_Num]]/100,0)</f>
        <v>21</v>
      </c>
      <c r="O578" s="5" t="str" cm="1">
        <f t="array" ref="O578">_xlfn.LET(_xlpm.y,Clean_Data[[#This Row],[Year_Num]],_xlfn.IFS(_xlpm.y&lt;500,"Ancient",_xlpm.y&lt;1500,"Medieval",_xlpm.y&lt;1800,"Early Modern",_xlpm.y&lt;1946,"Modern",TRUE,"Contemporary"))</f>
        <v>Contemporary</v>
      </c>
      <c r="P578" s="5" t="str">
        <f>_xlfn.XLOOKUP(Clean_Data[[#This Row],[Country]],country_region[Country],country_region[Country_Standard],"Not found")</f>
        <v>Bhutan</v>
      </c>
      <c r="Q578" s="5" t="str">
        <f>_xlfn.XLOOKUP(Clean_Data[[#This Row],[Country]],country_region[Country],country_region[Region],"Not found")</f>
        <v>South Asia</v>
      </c>
      <c r="R578" s="5" t="str">
        <f>_xlfn.XLOOKUP(Clean_Data[[#This Row],[Type of Event]],event_type_category[Type of Event],event_type_category[Category],"Not found")</f>
        <v>Politics &amp; Law</v>
      </c>
    </row>
    <row r="579" spans="1:18">
      <c r="A579">
        <v>619</v>
      </c>
      <c r="B579" t="s">
        <v>2682</v>
      </c>
      <c r="D579" t="s">
        <v>100</v>
      </c>
      <c r="E579" t="s">
        <v>144</v>
      </c>
      <c r="F579" t="s">
        <v>2399</v>
      </c>
      <c r="G579" t="s">
        <v>2339</v>
      </c>
      <c r="H579" t="s">
        <v>2399</v>
      </c>
      <c r="I579" t="s">
        <v>2683</v>
      </c>
      <c r="J579" t="s">
        <v>2684</v>
      </c>
      <c r="K579" t="s">
        <v>2685</v>
      </c>
      <c r="L579" t="s">
        <v>21</v>
      </c>
      <c r="M579">
        <v>2005</v>
      </c>
      <c r="N579" s="5">
        <f>ROUNDUP(Clean_Data[[#This Row],[Year_Num]]/100,0)</f>
        <v>21</v>
      </c>
      <c r="O579" s="5" t="str" cm="1">
        <f t="array" ref="O579">_xlfn.LET(_xlpm.y,Clean_Data[[#This Row],[Year_Num]],_xlfn.IFS(_xlpm.y&lt;500,"Ancient",_xlpm.y&lt;1500,"Medieval",_xlpm.y&lt;1800,"Early Modern",_xlpm.y&lt;1946,"Modern",TRUE,"Contemporary"))</f>
        <v>Contemporary</v>
      </c>
      <c r="P579" s="5" t="str">
        <f>_xlfn.XLOOKUP(Clean_Data[[#This Row],[Country]],country_region[Country],country_region[Country_Standard],"Not found")</f>
        <v>Maldives</v>
      </c>
      <c r="Q579" s="5" t="str">
        <f>_xlfn.XLOOKUP(Clean_Data[[#This Row],[Country]],country_region[Country],country_region[Region],"Not found")</f>
        <v>South Asia</v>
      </c>
      <c r="R579" s="5" t="str">
        <f>_xlfn.XLOOKUP(Clean_Data[[#This Row],[Type of Event]],event_type_category[Type of Event],event_type_category[Category],"Not found")</f>
        <v>Politics &amp; Law</v>
      </c>
    </row>
    <row r="580" spans="1:18">
      <c r="A580">
        <v>620</v>
      </c>
      <c r="B580" t="s">
        <v>2686</v>
      </c>
      <c r="C580" t="s">
        <v>82</v>
      </c>
      <c r="D580" t="s">
        <v>66</v>
      </c>
      <c r="E580" t="s">
        <v>643</v>
      </c>
      <c r="F580" t="s">
        <v>2399</v>
      </c>
      <c r="G580" t="s">
        <v>280</v>
      </c>
      <c r="H580" t="s">
        <v>1640</v>
      </c>
      <c r="I580" t="s">
        <v>2687</v>
      </c>
      <c r="J580" t="s">
        <v>2684</v>
      </c>
      <c r="L580" t="s">
        <v>54</v>
      </c>
      <c r="M580">
        <v>2004</v>
      </c>
      <c r="N580" s="5">
        <f>ROUNDUP(Clean_Data[[#This Row],[Year_Num]]/100,0)</f>
        <v>21</v>
      </c>
      <c r="O580" s="5" t="str" cm="1">
        <f t="array" ref="O580">_xlfn.LET(_xlpm.y,Clean_Data[[#This Row],[Year_Num]],_xlfn.IFS(_xlpm.y&lt;500,"Ancient",_xlpm.y&lt;1500,"Medieval",_xlpm.y&lt;1800,"Early Modern",_xlpm.y&lt;1946,"Modern",TRUE,"Contemporary"))</f>
        <v>Contemporary</v>
      </c>
      <c r="P580" s="5" t="str">
        <f>_xlfn.XLOOKUP(Clean_Data[[#This Row],[Country]],country_region[Country],country_region[Country_Standard],"Not found")</f>
        <v>Maldives</v>
      </c>
      <c r="Q580" s="5" t="str">
        <f>_xlfn.XLOOKUP(Clean_Data[[#This Row],[Country]],country_region[Country],country_region[Region],"Not found")</f>
        <v>South Asia</v>
      </c>
      <c r="R580" s="5" t="str">
        <f>_xlfn.XLOOKUP(Clean_Data[[#This Row],[Type of Event]],event_type_category[Type of Event],event_type_category[Category],"Not found")</f>
        <v>Disasters &amp; Accidents</v>
      </c>
    </row>
    <row r="581" spans="1:18">
      <c r="A581">
        <v>621</v>
      </c>
      <c r="B581" t="s">
        <v>2688</v>
      </c>
      <c r="C581" t="s">
        <v>251</v>
      </c>
      <c r="D581" t="s">
        <v>57</v>
      </c>
      <c r="E581" t="s">
        <v>1150</v>
      </c>
      <c r="F581" t="s">
        <v>2322</v>
      </c>
      <c r="G581" t="s">
        <v>2588</v>
      </c>
      <c r="H581" t="s">
        <v>2288</v>
      </c>
      <c r="I581" t="s">
        <v>2689</v>
      </c>
      <c r="J581" t="s">
        <v>2690</v>
      </c>
      <c r="K581" t="s">
        <v>2691</v>
      </c>
      <c r="L581" t="s">
        <v>21</v>
      </c>
      <c r="M581">
        <v>1957</v>
      </c>
      <c r="N581" s="5">
        <f>ROUNDUP(Clean_Data[[#This Row],[Year_Num]]/100,0)</f>
        <v>20</v>
      </c>
      <c r="O581" s="5" t="str" cm="1">
        <f t="array" ref="O581">_xlfn.LET(_xlpm.y,Clean_Data[[#This Row],[Year_Num]],_xlfn.IFS(_xlpm.y&lt;500,"Ancient",_xlpm.y&lt;1500,"Medieval",_xlpm.y&lt;1800,"Early Modern",_xlpm.y&lt;1946,"Modern",TRUE,"Contemporary"))</f>
        <v>Contemporary</v>
      </c>
      <c r="P581" s="5" t="str">
        <f>_xlfn.XLOOKUP(Clean_Data[[#This Row],[Country]],country_region[Country],country_region[Country_Standard],"Not found")</f>
        <v>Malaysia</v>
      </c>
      <c r="Q581" s="5" t="str">
        <f>_xlfn.XLOOKUP(Clean_Data[[#This Row],[Country]],country_region[Country],country_region[Region],"Not found")</f>
        <v>Southeast Asia</v>
      </c>
      <c r="R581" s="5" t="str">
        <f>_xlfn.XLOOKUP(Clean_Data[[#This Row],[Type of Event]],event_type_category[Type of Event],event_type_category[Category],"Not found")</f>
        <v>Independence &amp; Nation-Building</v>
      </c>
    </row>
    <row r="582" spans="1:18">
      <c r="A582">
        <v>622</v>
      </c>
      <c r="B582" t="s">
        <v>2692</v>
      </c>
      <c r="C582" t="s">
        <v>150</v>
      </c>
      <c r="D582" t="s">
        <v>286</v>
      </c>
      <c r="E582" t="s">
        <v>2320</v>
      </c>
      <c r="F582" t="s">
        <v>2322</v>
      </c>
      <c r="G582" t="s">
        <v>1022</v>
      </c>
      <c r="H582" t="s">
        <v>2322</v>
      </c>
      <c r="I582" t="s">
        <v>2693</v>
      </c>
      <c r="J582" t="s">
        <v>2694</v>
      </c>
      <c r="K582" t="s">
        <v>2691</v>
      </c>
      <c r="L582" t="s">
        <v>21</v>
      </c>
      <c r="M582">
        <v>1963</v>
      </c>
      <c r="N582" s="5">
        <f>ROUNDUP(Clean_Data[[#This Row],[Year_Num]]/100,0)</f>
        <v>20</v>
      </c>
      <c r="O582" s="5" t="str" cm="1">
        <f t="array" ref="O582">_xlfn.LET(_xlpm.y,Clean_Data[[#This Row],[Year_Num]],_xlfn.IFS(_xlpm.y&lt;500,"Ancient",_xlpm.y&lt;1500,"Medieval",_xlpm.y&lt;1800,"Early Modern",_xlpm.y&lt;1946,"Modern",TRUE,"Contemporary"))</f>
        <v>Contemporary</v>
      </c>
      <c r="P582" s="5" t="str">
        <f>_xlfn.XLOOKUP(Clean_Data[[#This Row],[Country]],country_region[Country],country_region[Country_Standard],"Not found")</f>
        <v>Malaysia</v>
      </c>
      <c r="Q582" s="5" t="str">
        <f>_xlfn.XLOOKUP(Clean_Data[[#This Row],[Country]],country_region[Country],country_region[Region],"Not found")</f>
        <v>Southeast Asia</v>
      </c>
      <c r="R582" s="5" t="str">
        <f>_xlfn.XLOOKUP(Clean_Data[[#This Row],[Type of Event]],event_type_category[Type of Event],event_type_category[Category],"Not found")</f>
        <v>Independence &amp; Nation-Building</v>
      </c>
    </row>
    <row r="583" spans="1:18">
      <c r="A583">
        <v>623</v>
      </c>
      <c r="B583" t="s">
        <v>2695</v>
      </c>
      <c r="C583" t="s">
        <v>224</v>
      </c>
      <c r="D583" t="s">
        <v>47</v>
      </c>
      <c r="E583" t="s">
        <v>449</v>
      </c>
      <c r="F583" t="s">
        <v>2322</v>
      </c>
      <c r="G583" t="s">
        <v>2696</v>
      </c>
      <c r="H583" t="s">
        <v>2697</v>
      </c>
      <c r="I583" t="s">
        <v>2698</v>
      </c>
      <c r="J583" t="s">
        <v>2690</v>
      </c>
      <c r="L583" t="s">
        <v>54</v>
      </c>
      <c r="M583">
        <v>1969</v>
      </c>
      <c r="N583" s="5">
        <f>ROUNDUP(Clean_Data[[#This Row],[Year_Num]]/100,0)</f>
        <v>20</v>
      </c>
      <c r="O583" s="5" t="str" cm="1">
        <f t="array" ref="O583">_xlfn.LET(_xlpm.y,Clean_Data[[#This Row],[Year_Num]],_xlfn.IFS(_xlpm.y&lt;500,"Ancient",_xlpm.y&lt;1500,"Medieval",_xlpm.y&lt;1800,"Early Modern",_xlpm.y&lt;1946,"Modern",TRUE,"Contemporary"))</f>
        <v>Contemporary</v>
      </c>
      <c r="P583" s="5" t="str">
        <f>_xlfn.XLOOKUP(Clean_Data[[#This Row],[Country]],country_region[Country],country_region[Country_Standard],"Not found")</f>
        <v>Malaysia</v>
      </c>
      <c r="Q583" s="5" t="str">
        <f>_xlfn.XLOOKUP(Clean_Data[[#This Row],[Country]],country_region[Country],country_region[Region],"Not found")</f>
        <v>Southeast Asia</v>
      </c>
      <c r="R583" s="5" t="str">
        <f>_xlfn.XLOOKUP(Clean_Data[[#This Row],[Type of Event]],event_type_category[Type of Event],event_type_category[Category],"Not found")</f>
        <v>Society &amp; Health</v>
      </c>
    </row>
    <row r="584" spans="1:18">
      <c r="A584">
        <v>624</v>
      </c>
      <c r="B584" t="s">
        <v>2699</v>
      </c>
      <c r="E584" t="s">
        <v>67</v>
      </c>
      <c r="F584" t="s">
        <v>2322</v>
      </c>
      <c r="G584" t="s">
        <v>213</v>
      </c>
      <c r="H584" t="s">
        <v>2322</v>
      </c>
      <c r="I584" t="s">
        <v>2700</v>
      </c>
      <c r="J584" t="s">
        <v>2690</v>
      </c>
      <c r="K584" t="s">
        <v>2701</v>
      </c>
      <c r="L584" t="s">
        <v>36</v>
      </c>
      <c r="M584">
        <v>1971</v>
      </c>
      <c r="N584" s="5">
        <f>ROUNDUP(Clean_Data[[#This Row],[Year_Num]]/100,0)</f>
        <v>20</v>
      </c>
      <c r="O584" s="5" t="str" cm="1">
        <f t="array" ref="O584">_xlfn.LET(_xlpm.y,Clean_Data[[#This Row],[Year_Num]],_xlfn.IFS(_xlpm.y&lt;500,"Ancient",_xlpm.y&lt;1500,"Medieval",_xlpm.y&lt;1800,"Early Modern",_xlpm.y&lt;1946,"Modern",TRUE,"Contemporary"))</f>
        <v>Contemporary</v>
      </c>
      <c r="P584" s="5" t="str">
        <f>_xlfn.XLOOKUP(Clean_Data[[#This Row],[Country]],country_region[Country],country_region[Country_Standard],"Not found")</f>
        <v>Malaysia</v>
      </c>
      <c r="Q584" s="5" t="str">
        <f>_xlfn.XLOOKUP(Clean_Data[[#This Row],[Country]],country_region[Country],country_region[Region],"Not found")</f>
        <v>Southeast Asia</v>
      </c>
      <c r="R584" s="5" t="str">
        <f>_xlfn.XLOOKUP(Clean_Data[[#This Row],[Type of Event]],event_type_category[Type of Event],event_type_category[Category],"Not found")</f>
        <v>Economy &amp; Infrastructure</v>
      </c>
    </row>
    <row r="585" spans="1:18">
      <c r="A585">
        <v>625</v>
      </c>
      <c r="B585" t="s">
        <v>2702</v>
      </c>
      <c r="D585" t="s">
        <v>100</v>
      </c>
      <c r="E585" t="s">
        <v>231</v>
      </c>
      <c r="F585" t="s">
        <v>2369</v>
      </c>
      <c r="G585" t="s">
        <v>500</v>
      </c>
      <c r="H585" t="s">
        <v>2369</v>
      </c>
      <c r="I585" t="s">
        <v>2703</v>
      </c>
      <c r="J585" t="s">
        <v>2411</v>
      </c>
      <c r="K585" t="s">
        <v>2704</v>
      </c>
      <c r="L585" t="s">
        <v>54</v>
      </c>
      <c r="M585">
        <v>2009</v>
      </c>
      <c r="N585" s="5">
        <f>ROUNDUP(Clean_Data[[#This Row],[Year_Num]]/100,0)</f>
        <v>21</v>
      </c>
      <c r="O585" s="5" t="str" cm="1">
        <f t="array" ref="O585">_xlfn.LET(_xlpm.y,Clean_Data[[#This Row],[Year_Num]],_xlfn.IFS(_xlpm.y&lt;500,"Ancient",_xlpm.y&lt;1500,"Medieval",_xlpm.y&lt;1800,"Early Modern",_xlpm.y&lt;1946,"Modern",TRUE,"Contemporary"))</f>
        <v>Contemporary</v>
      </c>
      <c r="P585" s="5" t="str">
        <f>_xlfn.XLOOKUP(Clean_Data[[#This Row],[Country]],country_region[Country],country_region[Country_Standard],"Not found")</f>
        <v>Iran</v>
      </c>
      <c r="Q585" s="5" t="str">
        <f>_xlfn.XLOOKUP(Clean_Data[[#This Row],[Country]],country_region[Country],country_region[Region],"Not found")</f>
        <v>Middle East &amp; North Africa</v>
      </c>
      <c r="R585" s="5" t="str">
        <f>_xlfn.XLOOKUP(Clean_Data[[#This Row],[Type of Event]],event_type_category[Type of Event],event_type_category[Category],"Not found")</f>
        <v>Politics &amp; Law</v>
      </c>
    </row>
    <row r="586" spans="1:18">
      <c r="A586">
        <v>626</v>
      </c>
      <c r="B586" t="s">
        <v>2705</v>
      </c>
      <c r="C586" t="s">
        <v>107</v>
      </c>
      <c r="D586" t="s">
        <v>100</v>
      </c>
      <c r="E586" t="s">
        <v>287</v>
      </c>
      <c r="F586" t="s">
        <v>2706</v>
      </c>
      <c r="G586" t="s">
        <v>1896</v>
      </c>
      <c r="H586" t="s">
        <v>2706</v>
      </c>
      <c r="I586" t="s">
        <v>2707</v>
      </c>
      <c r="J586" t="s">
        <v>2651</v>
      </c>
      <c r="K586" t="s">
        <v>2708</v>
      </c>
      <c r="L586" t="s">
        <v>54</v>
      </c>
      <c r="M586">
        <v>2014</v>
      </c>
      <c r="N586" s="5">
        <f>ROUNDUP(Clean_Data[[#This Row],[Year_Num]]/100,0)</f>
        <v>21</v>
      </c>
      <c r="O586" s="5" t="str" cm="1">
        <f t="array" ref="O586">_xlfn.LET(_xlpm.y,Clean_Data[[#This Row],[Year_Num]],_xlfn.IFS(_xlpm.y&lt;500,"Ancient",_xlpm.y&lt;1500,"Medieval",_xlpm.y&lt;1800,"Early Modern",_xlpm.y&lt;1946,"Modern",TRUE,"Contemporary"))</f>
        <v>Contemporary</v>
      </c>
      <c r="P586" s="5" t="str">
        <f>_xlfn.XLOOKUP(Clean_Data[[#This Row],[Country]],country_region[Country],country_region[Country_Standard],"Not found")</f>
        <v>Iraq</v>
      </c>
      <c r="Q586" s="5" t="str">
        <f>_xlfn.XLOOKUP(Clean_Data[[#This Row],[Country]],country_region[Country],country_region[Region],"Not found")</f>
        <v>Middle East &amp; North Africa</v>
      </c>
      <c r="R586" s="5" t="str">
        <f>_xlfn.XLOOKUP(Clean_Data[[#This Row],[Type of Event]],event_type_category[Type of Event],event_type_category[Category],"Not found")</f>
        <v>War &amp; Conflict</v>
      </c>
    </row>
    <row r="587" spans="1:18">
      <c r="A587">
        <v>627</v>
      </c>
      <c r="B587" t="s">
        <v>2709</v>
      </c>
      <c r="C587" t="s">
        <v>150</v>
      </c>
      <c r="D587" t="s">
        <v>66</v>
      </c>
      <c r="E587" t="s">
        <v>1426</v>
      </c>
      <c r="F587" t="s">
        <v>2710</v>
      </c>
      <c r="G587" t="s">
        <v>2696</v>
      </c>
      <c r="H587" t="s">
        <v>2710</v>
      </c>
      <c r="I587" t="s">
        <v>2711</v>
      </c>
      <c r="J587" t="s">
        <v>2712</v>
      </c>
      <c r="K587" t="s">
        <v>2713</v>
      </c>
      <c r="L587" t="s">
        <v>54</v>
      </c>
      <c r="M587">
        <v>2011</v>
      </c>
      <c r="N587" s="5">
        <f>ROUNDUP(Clean_Data[[#This Row],[Year_Num]]/100,0)</f>
        <v>21</v>
      </c>
      <c r="O587" s="5" t="str" cm="1">
        <f t="array" ref="O587">_xlfn.LET(_xlpm.y,Clean_Data[[#This Row],[Year_Num]],_xlfn.IFS(_xlpm.y&lt;500,"Ancient",_xlpm.y&lt;1500,"Medieval",_xlpm.y&lt;1800,"Early Modern",_xlpm.y&lt;1946,"Modern",TRUE,"Contemporary"))</f>
        <v>Contemporary</v>
      </c>
      <c r="P587" s="5" t="str">
        <f>_xlfn.XLOOKUP(Clean_Data[[#This Row],[Country]],country_region[Country],country_region[Country_Standard],"Not found")</f>
        <v>Kazakhstan</v>
      </c>
      <c r="Q587" s="5" t="str">
        <f>_xlfn.XLOOKUP(Clean_Data[[#This Row],[Country]],country_region[Country],country_region[Region],"Not found")</f>
        <v>Central Asia</v>
      </c>
      <c r="R587" s="5" t="str">
        <f>_xlfn.XLOOKUP(Clean_Data[[#This Row],[Type of Event]],event_type_category[Type of Event],event_type_category[Category],"Not found")</f>
        <v>Society &amp; Health</v>
      </c>
    </row>
    <row r="588" spans="1:18">
      <c r="A588">
        <v>628</v>
      </c>
      <c r="B588" t="s">
        <v>2714</v>
      </c>
      <c r="D588" t="s">
        <v>286</v>
      </c>
      <c r="E588" t="s">
        <v>348</v>
      </c>
      <c r="F588" t="s">
        <v>2487</v>
      </c>
      <c r="G588" t="s">
        <v>213</v>
      </c>
      <c r="H588" t="s">
        <v>2487</v>
      </c>
      <c r="I588" t="s">
        <v>2715</v>
      </c>
      <c r="J588" t="s">
        <v>2671</v>
      </c>
      <c r="K588" t="s">
        <v>2716</v>
      </c>
      <c r="L588" t="s">
        <v>21</v>
      </c>
      <c r="M588">
        <v>2017</v>
      </c>
      <c r="N588" s="5">
        <f>ROUNDUP(Clean_Data[[#This Row],[Year_Num]]/100,0)</f>
        <v>21</v>
      </c>
      <c r="O588" s="5" t="str" cm="1">
        <f t="array" ref="O588">_xlfn.LET(_xlpm.y,Clean_Data[[#This Row],[Year_Num]],_xlfn.IFS(_xlpm.y&lt;500,"Ancient",_xlpm.y&lt;1500,"Medieval",_xlpm.y&lt;1800,"Early Modern",_xlpm.y&lt;1946,"Modern",TRUE,"Contemporary"))</f>
        <v>Contemporary</v>
      </c>
      <c r="P588" s="5" t="str">
        <f>_xlfn.XLOOKUP(Clean_Data[[#This Row],[Country]],country_region[Country],country_region[Country_Standard],"Not found")</f>
        <v>Uzbekistan</v>
      </c>
      <c r="Q588" s="5" t="str">
        <f>_xlfn.XLOOKUP(Clean_Data[[#This Row],[Country]],country_region[Country],country_region[Region],"Not found")</f>
        <v>Central Asia</v>
      </c>
      <c r="R588" s="5" t="str">
        <f>_xlfn.XLOOKUP(Clean_Data[[#This Row],[Type of Event]],event_type_category[Type of Event],event_type_category[Category],"Not found")</f>
        <v>Economy &amp; Infrastructure</v>
      </c>
    </row>
    <row r="589" spans="1:18">
      <c r="A589">
        <v>629</v>
      </c>
      <c r="B589" t="s">
        <v>2717</v>
      </c>
      <c r="E589" t="s">
        <v>591</v>
      </c>
      <c r="F589" t="s">
        <v>2392</v>
      </c>
      <c r="G589" t="s">
        <v>1688</v>
      </c>
      <c r="H589" t="s">
        <v>2392</v>
      </c>
      <c r="I589" t="s">
        <v>2718</v>
      </c>
      <c r="J589" t="s">
        <v>2677</v>
      </c>
      <c r="K589" t="s">
        <v>2719</v>
      </c>
      <c r="L589" t="s">
        <v>21</v>
      </c>
      <c r="M589">
        <v>1972</v>
      </c>
      <c r="N589" s="5">
        <f>ROUNDUP(Clean_Data[[#This Row],[Year_Num]]/100,0)</f>
        <v>20</v>
      </c>
      <c r="O589" s="5" t="str" cm="1">
        <f t="array" ref="O589">_xlfn.LET(_xlpm.y,Clean_Data[[#This Row],[Year_Num]],_xlfn.IFS(_xlpm.y&lt;500,"Ancient",_xlpm.y&lt;1500,"Medieval",_xlpm.y&lt;1800,"Early Modern",_xlpm.y&lt;1946,"Modern",TRUE,"Contemporary"))</f>
        <v>Contemporary</v>
      </c>
      <c r="P589" s="5" t="str">
        <f>_xlfn.XLOOKUP(Clean_Data[[#This Row],[Country]],country_region[Country],country_region[Country_Standard],"Not found")</f>
        <v>Bhutan</v>
      </c>
      <c r="Q589" s="5" t="str">
        <f>_xlfn.XLOOKUP(Clean_Data[[#This Row],[Country]],country_region[Country],country_region[Region],"Not found")</f>
        <v>South Asia</v>
      </c>
      <c r="R589" s="5" t="str">
        <f>_xlfn.XLOOKUP(Clean_Data[[#This Row],[Type of Event]],event_type_category[Type of Event],event_type_category[Category],"Not found")</f>
        <v>Society &amp; Health</v>
      </c>
    </row>
    <row r="590" spans="1:18">
      <c r="A590">
        <v>630</v>
      </c>
      <c r="B590" t="s">
        <v>2720</v>
      </c>
      <c r="D590" t="s">
        <v>173</v>
      </c>
      <c r="E590" t="s">
        <v>174</v>
      </c>
      <c r="F590" t="s">
        <v>2399</v>
      </c>
      <c r="G590" t="s">
        <v>1049</v>
      </c>
      <c r="H590" t="s">
        <v>2721</v>
      </c>
      <c r="I590" t="s">
        <v>2722</v>
      </c>
      <c r="J590" t="s">
        <v>2684</v>
      </c>
      <c r="K590" t="s">
        <v>2723</v>
      </c>
      <c r="L590" t="s">
        <v>54</v>
      </c>
      <c r="M590">
        <v>2018</v>
      </c>
      <c r="N590" s="5">
        <f>ROUNDUP(Clean_Data[[#This Row],[Year_Num]]/100,0)</f>
        <v>21</v>
      </c>
      <c r="O590" s="5" t="str" cm="1">
        <f t="array" ref="O590">_xlfn.LET(_xlpm.y,Clean_Data[[#This Row],[Year_Num]],_xlfn.IFS(_xlpm.y&lt;500,"Ancient",_xlpm.y&lt;1500,"Medieval",_xlpm.y&lt;1800,"Early Modern",_xlpm.y&lt;1946,"Modern",TRUE,"Contemporary"))</f>
        <v>Contemporary</v>
      </c>
      <c r="P590" s="5" t="str">
        <f>_xlfn.XLOOKUP(Clean_Data[[#This Row],[Country]],country_region[Country],country_region[Country_Standard],"Not found")</f>
        <v>Maldives</v>
      </c>
      <c r="Q590" s="5" t="str">
        <f>_xlfn.XLOOKUP(Clean_Data[[#This Row],[Country]],country_region[Country],country_region[Region],"Not found")</f>
        <v>South Asia</v>
      </c>
      <c r="R590" s="5" t="str">
        <f>_xlfn.XLOOKUP(Clean_Data[[#This Row],[Type of Event]],event_type_category[Type of Event],event_type_category[Category],"Not found")</f>
        <v>Politics &amp; Law</v>
      </c>
    </row>
    <row r="591" spans="1:18">
      <c r="A591">
        <v>631</v>
      </c>
      <c r="B591" t="s">
        <v>2724</v>
      </c>
      <c r="E591" t="s">
        <v>341</v>
      </c>
      <c r="F591" t="s">
        <v>2322</v>
      </c>
      <c r="G591" t="s">
        <v>2725</v>
      </c>
      <c r="H591" t="s">
        <v>2322</v>
      </c>
      <c r="I591" t="s">
        <v>2726</v>
      </c>
      <c r="J591" t="s">
        <v>2690</v>
      </c>
      <c r="K591" t="s">
        <v>2727</v>
      </c>
      <c r="L591" t="s">
        <v>54</v>
      </c>
      <c r="M591">
        <v>2015</v>
      </c>
      <c r="N591" s="5">
        <f>ROUNDUP(Clean_Data[[#This Row],[Year_Num]]/100,0)</f>
        <v>21</v>
      </c>
      <c r="O591" s="5" t="str" cm="1">
        <f t="array" ref="O591">_xlfn.LET(_xlpm.y,Clean_Data[[#This Row],[Year_Num]],_xlfn.IFS(_xlpm.y&lt;500,"Ancient",_xlpm.y&lt;1500,"Medieval",_xlpm.y&lt;1800,"Early Modern",_xlpm.y&lt;1946,"Modern",TRUE,"Contemporary"))</f>
        <v>Contemporary</v>
      </c>
      <c r="P591" s="5" t="str">
        <f>_xlfn.XLOOKUP(Clean_Data[[#This Row],[Country]],country_region[Country],country_region[Country_Standard],"Not found")</f>
        <v>Malaysia</v>
      </c>
      <c r="Q591" s="5" t="str">
        <f>_xlfn.XLOOKUP(Clean_Data[[#This Row],[Country]],country_region[Country],country_region[Region],"Not found")</f>
        <v>Southeast Asia</v>
      </c>
      <c r="R591" s="5" t="str">
        <f>_xlfn.XLOOKUP(Clean_Data[[#This Row],[Type of Event]],event_type_category[Type of Event],event_type_category[Category],"Not found")</f>
        <v>Politics &amp; Law</v>
      </c>
    </row>
    <row r="592" spans="1:18">
      <c r="A592">
        <v>632</v>
      </c>
      <c r="B592" t="s">
        <v>2728</v>
      </c>
      <c r="C592" t="s">
        <v>298</v>
      </c>
      <c r="D592" t="s">
        <v>47</v>
      </c>
      <c r="E592" t="s">
        <v>174</v>
      </c>
      <c r="F592" t="s">
        <v>2369</v>
      </c>
      <c r="G592" t="s">
        <v>2729</v>
      </c>
      <c r="H592" t="s">
        <v>2369</v>
      </c>
      <c r="I592" t="s">
        <v>2730</v>
      </c>
      <c r="J592" t="s">
        <v>2411</v>
      </c>
      <c r="K592" t="s">
        <v>2731</v>
      </c>
      <c r="L592" t="s">
        <v>54</v>
      </c>
      <c r="M592">
        <v>2018</v>
      </c>
      <c r="N592" s="5">
        <f>ROUNDUP(Clean_Data[[#This Row],[Year_Num]]/100,0)</f>
        <v>21</v>
      </c>
      <c r="O592" s="5" t="str" cm="1">
        <f t="array" ref="O592">_xlfn.LET(_xlpm.y,Clean_Data[[#This Row],[Year_Num]],_xlfn.IFS(_xlpm.y&lt;500,"Ancient",_xlpm.y&lt;1500,"Medieval",_xlpm.y&lt;1800,"Early Modern",_xlpm.y&lt;1946,"Modern",TRUE,"Contemporary"))</f>
        <v>Contemporary</v>
      </c>
      <c r="P592" s="5" t="str">
        <f>_xlfn.XLOOKUP(Clean_Data[[#This Row],[Country]],country_region[Country],country_region[Country_Standard],"Not found")</f>
        <v>Iran</v>
      </c>
      <c r="Q592" s="5" t="str">
        <f>_xlfn.XLOOKUP(Clean_Data[[#This Row],[Country]],country_region[Country],country_region[Region],"Not found")</f>
        <v>Middle East &amp; North Africa</v>
      </c>
      <c r="R592" s="5" t="str">
        <f>_xlfn.XLOOKUP(Clean_Data[[#This Row],[Type of Event]],event_type_category[Type of Event],event_type_category[Category],"Not found")</f>
        <v>Diplomacy &amp; International Relations</v>
      </c>
    </row>
    <row r="593" spans="1:18">
      <c r="A593">
        <v>633</v>
      </c>
      <c r="B593" t="s">
        <v>2732</v>
      </c>
      <c r="D593" t="s">
        <v>158</v>
      </c>
      <c r="E593" t="s">
        <v>235</v>
      </c>
      <c r="F593" t="s">
        <v>2374</v>
      </c>
      <c r="G593" t="s">
        <v>2696</v>
      </c>
      <c r="H593" t="s">
        <v>2476</v>
      </c>
      <c r="I593" t="s">
        <v>2733</v>
      </c>
      <c r="J593" t="s">
        <v>2651</v>
      </c>
      <c r="K593" t="s">
        <v>391</v>
      </c>
      <c r="L593" t="s">
        <v>54</v>
      </c>
      <c r="M593">
        <v>2019</v>
      </c>
      <c r="N593" s="5">
        <f>ROUNDUP(Clean_Data[[#This Row],[Year_Num]]/100,0)</f>
        <v>21</v>
      </c>
      <c r="O593" s="5" t="str" cm="1">
        <f t="array" ref="O593">_xlfn.LET(_xlpm.y,Clean_Data[[#This Row],[Year_Num]],_xlfn.IFS(_xlpm.y&lt;500,"Ancient",_xlpm.y&lt;1500,"Medieval",_xlpm.y&lt;1800,"Early Modern",_xlpm.y&lt;1946,"Modern",TRUE,"Contemporary"))</f>
        <v>Contemporary</v>
      </c>
      <c r="P593" s="5" t="str">
        <f>_xlfn.XLOOKUP(Clean_Data[[#This Row],[Country]],country_region[Country],country_region[Country_Standard],"Not found")</f>
        <v>Iraq</v>
      </c>
      <c r="Q593" s="5" t="str">
        <f>_xlfn.XLOOKUP(Clean_Data[[#This Row],[Country]],country_region[Country],country_region[Region],"Not found")</f>
        <v>Middle East &amp; North Africa</v>
      </c>
      <c r="R593" s="5" t="str">
        <f>_xlfn.XLOOKUP(Clean_Data[[#This Row],[Type of Event]],event_type_category[Type of Event],event_type_category[Category],"Not found")</f>
        <v>Society &amp; Health</v>
      </c>
    </row>
    <row r="594" spans="1:18">
      <c r="A594">
        <v>634</v>
      </c>
      <c r="B594" t="s">
        <v>2734</v>
      </c>
      <c r="C594" t="s">
        <v>580</v>
      </c>
      <c r="D594" t="s">
        <v>267</v>
      </c>
      <c r="E594" t="s">
        <v>235</v>
      </c>
      <c r="F594" t="s">
        <v>2382</v>
      </c>
      <c r="G594" t="s">
        <v>1712</v>
      </c>
      <c r="H594" t="s">
        <v>4999</v>
      </c>
      <c r="I594" t="s">
        <v>5000</v>
      </c>
      <c r="J594" t="s">
        <v>2665</v>
      </c>
      <c r="K594" t="s">
        <v>5001</v>
      </c>
      <c r="L594" t="s">
        <v>36</v>
      </c>
      <c r="M594">
        <v>2019</v>
      </c>
      <c r="N594" s="5">
        <f>ROUNDUP(Clean_Data[[#This Row],[Year_Num]]/100,0)</f>
        <v>21</v>
      </c>
      <c r="O594" s="5" t="str" cm="1">
        <f t="array" ref="O594">_xlfn.LET(_xlpm.y,Clean_Data[[#This Row],[Year_Num]],_xlfn.IFS(_xlpm.y&lt;500,"Ancient",_xlpm.y&lt;1500,"Medieval",_xlpm.y&lt;1800,"Early Modern",_xlpm.y&lt;1946,"Modern",TRUE,"Contemporary"))</f>
        <v>Contemporary</v>
      </c>
      <c r="P594" s="5" t="str">
        <f>_xlfn.XLOOKUP(Clean_Data[[#This Row],[Country]],country_region[Country],country_region[Country_Standard],"Not found")</f>
        <v>Kazakhstan</v>
      </c>
      <c r="Q594" s="5" t="str">
        <f>_xlfn.XLOOKUP(Clean_Data[[#This Row],[Country]],country_region[Country],country_region[Region],"Not found")</f>
        <v>Central Asia</v>
      </c>
      <c r="R594" s="5" t="str">
        <f>_xlfn.XLOOKUP(Clean_Data[[#This Row],[Type of Event]],event_type_category[Type of Event],event_type_category[Category],"Not found")</f>
        <v>Politics &amp; Law</v>
      </c>
    </row>
    <row r="595" spans="1:18">
      <c r="A595">
        <v>635</v>
      </c>
      <c r="B595" t="s">
        <v>2738</v>
      </c>
      <c r="E595" t="s">
        <v>299</v>
      </c>
      <c r="F595" t="s">
        <v>2487</v>
      </c>
      <c r="G595" t="s">
        <v>2739</v>
      </c>
      <c r="H595" t="s">
        <v>2487</v>
      </c>
      <c r="I595" t="s">
        <v>2740</v>
      </c>
      <c r="J595" t="s">
        <v>2741</v>
      </c>
      <c r="K595" t="s">
        <v>2716</v>
      </c>
      <c r="L595" t="s">
        <v>21</v>
      </c>
      <c r="M595">
        <v>2016</v>
      </c>
      <c r="N595" s="5">
        <f>ROUNDUP(Clean_Data[[#This Row],[Year_Num]]/100,0)</f>
        <v>21</v>
      </c>
      <c r="O595" s="5" t="str" cm="1">
        <f t="array" ref="O595">_xlfn.LET(_xlpm.y,Clean_Data[[#This Row],[Year_Num]],_xlfn.IFS(_xlpm.y&lt;500,"Ancient",_xlpm.y&lt;1500,"Medieval",_xlpm.y&lt;1800,"Early Modern",_xlpm.y&lt;1946,"Modern",TRUE,"Contemporary"))</f>
        <v>Contemporary</v>
      </c>
      <c r="P595" s="5" t="str">
        <f>_xlfn.XLOOKUP(Clean_Data[[#This Row],[Country]],country_region[Country],country_region[Country_Standard],"Not found")</f>
        <v>Uzbekistan</v>
      </c>
      <c r="Q595" s="5" t="str">
        <f>_xlfn.XLOOKUP(Clean_Data[[#This Row],[Country]],country_region[Country],country_region[Region],"Not found")</f>
        <v>Central Asia</v>
      </c>
      <c r="R595" s="5" t="str">
        <f>_xlfn.XLOOKUP(Clean_Data[[#This Row],[Type of Event]],event_type_category[Type of Event],event_type_category[Category],"Not found")</f>
        <v>Society &amp; Health</v>
      </c>
    </row>
    <row r="596" spans="1:18">
      <c r="A596">
        <v>636</v>
      </c>
      <c r="B596" t="s">
        <v>1813</v>
      </c>
      <c r="C596" t="s">
        <v>1129</v>
      </c>
      <c r="D596" t="s">
        <v>66</v>
      </c>
      <c r="E596" t="s">
        <v>166</v>
      </c>
      <c r="F596" t="s">
        <v>2392</v>
      </c>
      <c r="G596" t="s">
        <v>2742</v>
      </c>
      <c r="H596" t="s">
        <v>2392</v>
      </c>
      <c r="I596" t="s">
        <v>5002</v>
      </c>
      <c r="J596" t="s">
        <v>2677</v>
      </c>
      <c r="K596" t="s">
        <v>2744</v>
      </c>
      <c r="L596" t="s">
        <v>21</v>
      </c>
      <c r="M596">
        <v>2020</v>
      </c>
      <c r="N596" s="5">
        <f>ROUNDUP(Clean_Data[[#This Row],[Year_Num]]/100,0)</f>
        <v>21</v>
      </c>
      <c r="O596" s="5" t="str" cm="1">
        <f t="array" ref="O596">_xlfn.LET(_xlpm.y,Clean_Data[[#This Row],[Year_Num]],_xlfn.IFS(_xlpm.y&lt;500,"Ancient",_xlpm.y&lt;1500,"Medieval",_xlpm.y&lt;1800,"Early Modern",_xlpm.y&lt;1946,"Modern",TRUE,"Contemporary"))</f>
        <v>Contemporary</v>
      </c>
      <c r="P596" s="5" t="str">
        <f>_xlfn.XLOOKUP(Clean_Data[[#This Row],[Country]],country_region[Country],country_region[Country_Standard],"Not found")</f>
        <v>Bhutan</v>
      </c>
      <c r="Q596" s="5" t="str">
        <f>_xlfn.XLOOKUP(Clean_Data[[#This Row],[Country]],country_region[Country],country_region[Region],"Not found")</f>
        <v>South Asia</v>
      </c>
      <c r="R596" s="5" t="str">
        <f>_xlfn.XLOOKUP(Clean_Data[[#This Row],[Type of Event]],event_type_category[Type of Event],event_type_category[Category],"Not found")</f>
        <v>Politics &amp; Law</v>
      </c>
    </row>
    <row r="597" spans="1:18">
      <c r="A597">
        <v>637</v>
      </c>
      <c r="B597" t="s">
        <v>2745</v>
      </c>
      <c r="C597" t="s">
        <v>99</v>
      </c>
      <c r="D597" t="s">
        <v>286</v>
      </c>
      <c r="E597" t="s">
        <v>174</v>
      </c>
      <c r="F597" t="s">
        <v>2399</v>
      </c>
      <c r="G597" t="s">
        <v>2746</v>
      </c>
      <c r="H597" t="s">
        <v>2399</v>
      </c>
      <c r="I597" t="s">
        <v>2747</v>
      </c>
      <c r="J597" t="s">
        <v>2684</v>
      </c>
      <c r="K597" t="s">
        <v>2748</v>
      </c>
      <c r="L597" t="s">
        <v>21</v>
      </c>
      <c r="M597">
        <v>2018</v>
      </c>
      <c r="N597" s="5">
        <f>ROUNDUP(Clean_Data[[#This Row],[Year_Num]]/100,0)</f>
        <v>21</v>
      </c>
      <c r="O597" s="5" t="str" cm="1">
        <f t="array" ref="O597">_xlfn.LET(_xlpm.y,Clean_Data[[#This Row],[Year_Num]],_xlfn.IFS(_xlpm.y&lt;500,"Ancient",_xlpm.y&lt;1500,"Medieval",_xlpm.y&lt;1800,"Early Modern",_xlpm.y&lt;1946,"Modern",TRUE,"Contemporary"))</f>
        <v>Contemporary</v>
      </c>
      <c r="P597" s="5" t="str">
        <f>_xlfn.XLOOKUP(Clean_Data[[#This Row],[Country]],country_region[Country],country_region[Country_Standard],"Not found")</f>
        <v>Maldives</v>
      </c>
      <c r="Q597" s="5" t="str">
        <f>_xlfn.XLOOKUP(Clean_Data[[#This Row],[Country]],country_region[Country],country_region[Region],"Not found")</f>
        <v>South Asia</v>
      </c>
      <c r="R597" s="5" t="str">
        <f>_xlfn.XLOOKUP(Clean_Data[[#This Row],[Type of Event]],event_type_category[Type of Event],event_type_category[Category],"Not found")</f>
        <v>Politics &amp; Law</v>
      </c>
    </row>
    <row r="598" spans="1:18">
      <c r="A598">
        <v>638</v>
      </c>
      <c r="B598" t="s">
        <v>2749</v>
      </c>
      <c r="C598" t="s">
        <v>240</v>
      </c>
      <c r="D598" t="s">
        <v>47</v>
      </c>
      <c r="E598" t="s">
        <v>174</v>
      </c>
      <c r="F598" t="s">
        <v>2322</v>
      </c>
      <c r="G598" t="s">
        <v>2750</v>
      </c>
      <c r="H598" t="s">
        <v>2322</v>
      </c>
      <c r="I598" t="s">
        <v>5003</v>
      </c>
      <c r="J598" t="s">
        <v>2690</v>
      </c>
      <c r="K598" t="s">
        <v>2752</v>
      </c>
      <c r="L598" t="s">
        <v>21</v>
      </c>
      <c r="M598">
        <v>2018</v>
      </c>
      <c r="N598" s="5">
        <f>ROUNDUP(Clean_Data[[#This Row],[Year_Num]]/100,0)</f>
        <v>21</v>
      </c>
      <c r="O598" s="5" t="str" cm="1">
        <f t="array" ref="O598">_xlfn.LET(_xlpm.y,Clean_Data[[#This Row],[Year_Num]],_xlfn.IFS(_xlpm.y&lt;500,"Ancient",_xlpm.y&lt;1500,"Medieval",_xlpm.y&lt;1800,"Early Modern",_xlpm.y&lt;1946,"Modern",TRUE,"Contemporary"))</f>
        <v>Contemporary</v>
      </c>
      <c r="P598" s="5" t="str">
        <f>_xlfn.XLOOKUP(Clean_Data[[#This Row],[Country]],country_region[Country],country_region[Country_Standard],"Not found")</f>
        <v>Malaysia</v>
      </c>
      <c r="Q598" s="5" t="str">
        <f>_xlfn.XLOOKUP(Clean_Data[[#This Row],[Country]],country_region[Country],country_region[Region],"Not found")</f>
        <v>Southeast Asia</v>
      </c>
      <c r="R598" s="5" t="str">
        <f>_xlfn.XLOOKUP(Clean_Data[[#This Row],[Type of Event]],event_type_category[Type of Event],event_type_category[Category],"Not found")</f>
        <v>Politics &amp; Law</v>
      </c>
    </row>
    <row r="599" spans="1:18">
      <c r="A599">
        <v>639</v>
      </c>
      <c r="B599" t="s">
        <v>2753</v>
      </c>
      <c r="C599" t="s">
        <v>298</v>
      </c>
      <c r="D599" t="s">
        <v>267</v>
      </c>
      <c r="E599" t="s">
        <v>287</v>
      </c>
      <c r="F599" t="s">
        <v>2322</v>
      </c>
      <c r="G599" t="s">
        <v>2754</v>
      </c>
      <c r="H599" t="s">
        <v>2755</v>
      </c>
      <c r="I599" t="s">
        <v>2756</v>
      </c>
      <c r="J599" t="s">
        <v>2757</v>
      </c>
      <c r="K599" t="s">
        <v>5004</v>
      </c>
      <c r="L599" t="s">
        <v>54</v>
      </c>
      <c r="M599">
        <v>2014</v>
      </c>
      <c r="N599" s="5">
        <f>ROUNDUP(Clean_Data[[#This Row],[Year_Num]]/100,0)</f>
        <v>21</v>
      </c>
      <c r="O599" s="5" t="str" cm="1">
        <f t="array" ref="O599">_xlfn.LET(_xlpm.y,Clean_Data[[#This Row],[Year_Num]],_xlfn.IFS(_xlpm.y&lt;500,"Ancient",_xlpm.y&lt;1500,"Medieval",_xlpm.y&lt;1800,"Early Modern",_xlpm.y&lt;1946,"Modern",TRUE,"Contemporary"))</f>
        <v>Contemporary</v>
      </c>
      <c r="P599" s="5" t="str">
        <f>_xlfn.XLOOKUP(Clean_Data[[#This Row],[Country]],country_region[Country],country_region[Country_Standard],"Not found")</f>
        <v>Malaysia</v>
      </c>
      <c r="Q599" s="5" t="str">
        <f>_xlfn.XLOOKUP(Clean_Data[[#This Row],[Country]],country_region[Country],country_region[Region],"Not found")</f>
        <v>Southeast Asia</v>
      </c>
      <c r="R599" s="5" t="str">
        <f>_xlfn.XLOOKUP(Clean_Data[[#This Row],[Type of Event]],event_type_category[Type of Event],event_type_category[Category],"Not found")</f>
        <v>Science, Technology &amp; Exploration</v>
      </c>
    </row>
    <row r="600" spans="1:18">
      <c r="A600">
        <v>640</v>
      </c>
      <c r="B600" t="s">
        <v>2759</v>
      </c>
      <c r="C600" t="s">
        <v>353</v>
      </c>
      <c r="D600" t="s">
        <v>57</v>
      </c>
      <c r="E600" t="s">
        <v>2760</v>
      </c>
      <c r="F600" t="s">
        <v>1233</v>
      </c>
      <c r="G600" t="s">
        <v>2754</v>
      </c>
      <c r="H600" t="s">
        <v>2761</v>
      </c>
      <c r="I600" t="s">
        <v>5005</v>
      </c>
      <c r="J600" t="s">
        <v>2763</v>
      </c>
      <c r="K600" t="s">
        <v>2764</v>
      </c>
      <c r="L600" t="s">
        <v>54</v>
      </c>
      <c r="M600">
        <v>1985</v>
      </c>
      <c r="N600" s="5">
        <f>ROUNDUP(Clean_Data[[#This Row],[Year_Num]]/100,0)</f>
        <v>20</v>
      </c>
      <c r="O600" s="5" t="str" cm="1">
        <f t="array" ref="O600">_xlfn.LET(_xlpm.y,Clean_Data[[#This Row],[Year_Num]],_xlfn.IFS(_xlpm.y&lt;500,"Ancient",_xlpm.y&lt;1500,"Medieval",_xlpm.y&lt;1800,"Early Modern",_xlpm.y&lt;1946,"Modern",TRUE,"Contemporary"))</f>
        <v>Contemporary</v>
      </c>
      <c r="P600" s="5" t="str">
        <f>_xlfn.XLOOKUP(Clean_Data[[#This Row],[Country]],country_region[Country],country_region[Country_Standard],"Not found")</f>
        <v>Japan</v>
      </c>
      <c r="Q600" s="5" t="str">
        <f>_xlfn.XLOOKUP(Clean_Data[[#This Row],[Country]],country_region[Country],country_region[Region],"Not found")</f>
        <v>East Asia</v>
      </c>
      <c r="R600" s="5" t="str">
        <f>_xlfn.XLOOKUP(Clean_Data[[#This Row],[Type of Event]],event_type_category[Type of Event],event_type_category[Category],"Not found")</f>
        <v>Science, Technology &amp; Exploration</v>
      </c>
    </row>
    <row r="601" spans="1:18">
      <c r="A601">
        <v>641</v>
      </c>
      <c r="B601" t="s">
        <v>2765</v>
      </c>
      <c r="C601" t="s">
        <v>200</v>
      </c>
      <c r="D601" t="s">
        <v>47</v>
      </c>
      <c r="E601" t="s">
        <v>648</v>
      </c>
      <c r="F601" t="s">
        <v>2766</v>
      </c>
      <c r="G601" t="s">
        <v>2754</v>
      </c>
      <c r="H601" t="s">
        <v>2767</v>
      </c>
      <c r="I601" t="s">
        <v>5006</v>
      </c>
      <c r="J601" t="s">
        <v>2769</v>
      </c>
      <c r="K601" t="s">
        <v>5007</v>
      </c>
      <c r="L601" t="s">
        <v>54</v>
      </c>
      <c r="M601">
        <v>2002</v>
      </c>
      <c r="N601" s="5">
        <f>ROUNDUP(Clean_Data[[#This Row],[Year_Num]]/100,0)</f>
        <v>21</v>
      </c>
      <c r="O601" s="5" t="str" cm="1">
        <f t="array" ref="O601">_xlfn.LET(_xlpm.y,Clean_Data[[#This Row],[Year_Num]],_xlfn.IFS(_xlpm.y&lt;500,"Ancient",_xlpm.y&lt;1500,"Medieval",_xlpm.y&lt;1800,"Early Modern",_xlpm.y&lt;1946,"Modern",TRUE,"Contemporary"))</f>
        <v>Contemporary</v>
      </c>
      <c r="P601" s="5" t="str">
        <f>_xlfn.XLOOKUP(Clean_Data[[#This Row],[Country]],country_region[Country],country_region[Country_Standard],"Not found")</f>
        <v>Taiwan</v>
      </c>
      <c r="Q601" s="5" t="str">
        <f>_xlfn.XLOOKUP(Clean_Data[[#This Row],[Country]],country_region[Country],country_region[Region],"Not found")</f>
        <v>East Asia</v>
      </c>
      <c r="R601" s="5" t="str">
        <f>_xlfn.XLOOKUP(Clean_Data[[#This Row],[Type of Event]],event_type_category[Type of Event],event_type_category[Category],"Not found")</f>
        <v>Science, Technology &amp; Exploration</v>
      </c>
    </row>
    <row r="602" spans="1:18">
      <c r="A602">
        <v>642</v>
      </c>
      <c r="B602" t="s">
        <v>2771</v>
      </c>
      <c r="C602" t="s">
        <v>321</v>
      </c>
      <c r="D602" t="s">
        <v>57</v>
      </c>
      <c r="E602" t="s">
        <v>600</v>
      </c>
      <c r="F602" t="s">
        <v>1875</v>
      </c>
      <c r="G602" t="s">
        <v>2754</v>
      </c>
      <c r="H602" t="s">
        <v>2772</v>
      </c>
      <c r="I602" t="s">
        <v>2773</v>
      </c>
      <c r="J602" t="s">
        <v>2774</v>
      </c>
      <c r="K602" t="s">
        <v>5008</v>
      </c>
      <c r="L602" t="s">
        <v>54</v>
      </c>
      <c r="M602">
        <v>1997</v>
      </c>
      <c r="N602" s="5">
        <f>ROUNDUP(Clean_Data[[#This Row],[Year_Num]]/100,0)</f>
        <v>20</v>
      </c>
      <c r="O602" s="5" t="str" cm="1">
        <f t="array" ref="O602">_xlfn.LET(_xlpm.y,Clean_Data[[#This Row],[Year_Num]],_xlfn.IFS(_xlpm.y&lt;500,"Ancient",_xlpm.y&lt;1500,"Medieval",_xlpm.y&lt;1800,"Early Modern",_xlpm.y&lt;1946,"Modern",TRUE,"Contemporary"))</f>
        <v>Contemporary</v>
      </c>
      <c r="P602" s="5" t="str">
        <f>_xlfn.XLOOKUP(Clean_Data[[#This Row],[Country]],country_region[Country],country_region[Country_Standard],"Not found")</f>
        <v>South Korea</v>
      </c>
      <c r="Q602" s="5" t="str">
        <f>_xlfn.XLOOKUP(Clean_Data[[#This Row],[Country]],country_region[Country],country_region[Region],"Not found")</f>
        <v>East Asia</v>
      </c>
      <c r="R602" s="5" t="str">
        <f>_xlfn.XLOOKUP(Clean_Data[[#This Row],[Type of Event]],event_type_category[Type of Event],event_type_category[Category],"Not found")</f>
        <v>Science, Technology &amp; Exploration</v>
      </c>
    </row>
    <row r="603" spans="1:18">
      <c r="A603">
        <v>643</v>
      </c>
      <c r="B603" t="s">
        <v>2776</v>
      </c>
      <c r="C603" t="s">
        <v>362</v>
      </c>
      <c r="D603" t="s">
        <v>66</v>
      </c>
      <c r="E603" t="s">
        <v>287</v>
      </c>
      <c r="F603" t="s">
        <v>2777</v>
      </c>
      <c r="G603" t="s">
        <v>2754</v>
      </c>
      <c r="H603" t="s">
        <v>2778</v>
      </c>
      <c r="I603" t="s">
        <v>2779</v>
      </c>
      <c r="J603" t="s">
        <v>2780</v>
      </c>
      <c r="K603" t="s">
        <v>5009</v>
      </c>
      <c r="L603" t="s">
        <v>54</v>
      </c>
      <c r="M603">
        <v>2014</v>
      </c>
      <c r="N603" s="5">
        <f>ROUNDUP(Clean_Data[[#This Row],[Year_Num]]/100,0)</f>
        <v>21</v>
      </c>
      <c r="O603" s="5" t="str" cm="1">
        <f t="array" ref="O603">_xlfn.LET(_xlpm.y,Clean_Data[[#This Row],[Year_Num]],_xlfn.IFS(_xlpm.y&lt;500,"Ancient",_xlpm.y&lt;1500,"Medieval",_xlpm.y&lt;1800,"Early Modern",_xlpm.y&lt;1946,"Modern",TRUE,"Contemporary"))</f>
        <v>Contemporary</v>
      </c>
      <c r="P603" s="5" t="str">
        <f>_xlfn.XLOOKUP(Clean_Data[[#This Row],[Country]],country_region[Country],country_region[Country_Standard],"Not found")</f>
        <v>Indonesia</v>
      </c>
      <c r="Q603" s="5" t="str">
        <f>_xlfn.XLOOKUP(Clean_Data[[#This Row],[Country]],country_region[Country],country_region[Region],"Not found")</f>
        <v>Southeast Asia</v>
      </c>
      <c r="R603" s="5" t="str">
        <f>_xlfn.XLOOKUP(Clean_Data[[#This Row],[Type of Event]],event_type_category[Type of Event],event_type_category[Category],"Not found")</f>
        <v>Science, Technology &amp; Exploration</v>
      </c>
    </row>
    <row r="604" spans="1:18">
      <c r="A604">
        <v>644</v>
      </c>
      <c r="B604" t="s">
        <v>2782</v>
      </c>
      <c r="C604" t="s">
        <v>362</v>
      </c>
      <c r="D604" t="s">
        <v>286</v>
      </c>
      <c r="E604" t="s">
        <v>893</v>
      </c>
      <c r="F604" t="s">
        <v>478</v>
      </c>
      <c r="G604" t="s">
        <v>2754</v>
      </c>
      <c r="H604" t="s">
        <v>2783</v>
      </c>
      <c r="I604" t="s">
        <v>2784</v>
      </c>
      <c r="J604" t="s">
        <v>2785</v>
      </c>
      <c r="K604" t="s">
        <v>5010</v>
      </c>
      <c r="L604" t="s">
        <v>54</v>
      </c>
      <c r="M604">
        <v>1992</v>
      </c>
      <c r="N604" s="5">
        <f>ROUNDUP(Clean_Data[[#This Row],[Year_Num]]/100,0)</f>
        <v>20</v>
      </c>
      <c r="O604" s="5" t="str" cm="1">
        <f t="array" ref="O604">_xlfn.LET(_xlpm.y,Clean_Data[[#This Row],[Year_Num]],_xlfn.IFS(_xlpm.y&lt;500,"Ancient",_xlpm.y&lt;1500,"Medieval",_xlpm.y&lt;1800,"Early Modern",_xlpm.y&lt;1946,"Modern",TRUE,"Contemporary"))</f>
        <v>Contemporary</v>
      </c>
      <c r="P604" s="5" t="str">
        <f>_xlfn.XLOOKUP(Clean_Data[[#This Row],[Country]],country_region[Country],country_region[Country_Standard],"Not found")</f>
        <v>Pakistan</v>
      </c>
      <c r="Q604" s="5" t="str">
        <f>_xlfn.XLOOKUP(Clean_Data[[#This Row],[Country]],country_region[Country],country_region[Region],"Not found")</f>
        <v>South Asia</v>
      </c>
      <c r="R604" s="5" t="str">
        <f>_xlfn.XLOOKUP(Clean_Data[[#This Row],[Type of Event]],event_type_category[Type of Event],event_type_category[Category],"Not found")</f>
        <v>Science, Technology &amp; Exploration</v>
      </c>
    </row>
    <row r="605" spans="1:18">
      <c r="A605">
        <v>645</v>
      </c>
      <c r="B605" t="s">
        <v>2787</v>
      </c>
      <c r="C605" t="s">
        <v>74</v>
      </c>
      <c r="D605" t="s">
        <v>66</v>
      </c>
      <c r="E605" t="s">
        <v>1917</v>
      </c>
      <c r="F605" t="s">
        <v>2788</v>
      </c>
      <c r="G605" t="s">
        <v>2754</v>
      </c>
      <c r="H605" t="s">
        <v>2789</v>
      </c>
      <c r="I605" t="s">
        <v>2790</v>
      </c>
      <c r="J605" t="s">
        <v>2791</v>
      </c>
      <c r="K605" t="s">
        <v>5011</v>
      </c>
      <c r="L605" t="s">
        <v>54</v>
      </c>
      <c r="M605">
        <v>1994</v>
      </c>
      <c r="N605" s="5">
        <f>ROUNDUP(Clean_Data[[#This Row],[Year_Num]]/100,0)</f>
        <v>20</v>
      </c>
      <c r="O605" s="5" t="str" cm="1">
        <f t="array" ref="O605">_xlfn.LET(_xlpm.y,Clean_Data[[#This Row],[Year_Num]],_xlfn.IFS(_xlpm.y&lt;500,"Ancient",_xlpm.y&lt;1500,"Medieval",_xlpm.y&lt;1800,"Early Modern",_xlpm.y&lt;1946,"Modern",TRUE,"Contemporary"))</f>
        <v>Contemporary</v>
      </c>
      <c r="P605" s="5" t="str">
        <f>_xlfn.XLOOKUP(Clean_Data[[#This Row],[Country]],country_region[Country],country_region[Country_Standard],"Not found")</f>
        <v>Philippines</v>
      </c>
      <c r="Q605" s="5" t="str">
        <f>_xlfn.XLOOKUP(Clean_Data[[#This Row],[Country]],country_region[Country],country_region[Region],"Not found")</f>
        <v>Southeast Asia</v>
      </c>
      <c r="R605" s="5" t="str">
        <f>_xlfn.XLOOKUP(Clean_Data[[#This Row],[Type of Event]],event_type_category[Type of Event],event_type_category[Category],"Not found")</f>
        <v>Science, Technology &amp; Exploration</v>
      </c>
    </row>
    <row r="606" spans="1:18">
      <c r="A606">
        <v>646</v>
      </c>
      <c r="B606" t="s">
        <v>2793</v>
      </c>
      <c r="C606" t="s">
        <v>580</v>
      </c>
      <c r="D606" t="s">
        <v>66</v>
      </c>
      <c r="E606" t="s">
        <v>600</v>
      </c>
      <c r="F606" t="s">
        <v>2278</v>
      </c>
      <c r="G606" t="s">
        <v>2754</v>
      </c>
      <c r="H606" t="s">
        <v>2794</v>
      </c>
      <c r="I606" t="s">
        <v>2795</v>
      </c>
      <c r="J606" t="s">
        <v>2796</v>
      </c>
      <c r="K606" t="s">
        <v>5012</v>
      </c>
      <c r="L606" t="s">
        <v>54</v>
      </c>
      <c r="M606">
        <v>1997</v>
      </c>
      <c r="N606" s="5">
        <f>ROUNDUP(Clean_Data[[#This Row],[Year_Num]]/100,0)</f>
        <v>20</v>
      </c>
      <c r="O606" s="5" t="str" cm="1">
        <f t="array" ref="O606">_xlfn.LET(_xlpm.y,Clean_Data[[#This Row],[Year_Num]],_xlfn.IFS(_xlpm.y&lt;500,"Ancient",_xlpm.y&lt;1500,"Medieval",_xlpm.y&lt;1800,"Early Modern",_xlpm.y&lt;1946,"Modern",TRUE,"Contemporary"))</f>
        <v>Contemporary</v>
      </c>
      <c r="P606" s="5" t="str">
        <f>_xlfn.XLOOKUP(Clean_Data[[#This Row],[Country]],country_region[Country],country_region[Country_Standard],"Not found")</f>
        <v>Singapore</v>
      </c>
      <c r="Q606" s="5" t="str">
        <f>_xlfn.XLOOKUP(Clean_Data[[#This Row],[Country]],country_region[Country],country_region[Region],"Not found")</f>
        <v>Southeast Asia</v>
      </c>
      <c r="R606" s="5" t="str">
        <f>_xlfn.XLOOKUP(Clean_Data[[#This Row],[Type of Event]],event_type_category[Type of Event],event_type_category[Category],"Not found")</f>
        <v>Science, Technology &amp; Exploration</v>
      </c>
    </row>
    <row r="607" spans="1:18">
      <c r="A607">
        <v>647</v>
      </c>
      <c r="B607" t="s">
        <v>5013</v>
      </c>
      <c r="C607" t="s">
        <v>150</v>
      </c>
      <c r="D607" t="s">
        <v>286</v>
      </c>
      <c r="E607" t="s">
        <v>294</v>
      </c>
      <c r="F607" t="s">
        <v>2799</v>
      </c>
      <c r="G607" t="s">
        <v>2754</v>
      </c>
      <c r="H607" t="s">
        <v>2800</v>
      </c>
      <c r="I607" t="s">
        <v>2801</v>
      </c>
      <c r="J607" t="s">
        <v>2802</v>
      </c>
      <c r="K607" t="s">
        <v>5014</v>
      </c>
      <c r="L607" t="s">
        <v>54</v>
      </c>
      <c r="M607">
        <v>2007</v>
      </c>
      <c r="N607" s="5">
        <f>ROUNDUP(Clean_Data[[#This Row],[Year_Num]]/100,0)</f>
        <v>21</v>
      </c>
      <c r="O607" s="5" t="str" cm="1">
        <f t="array" ref="O607">_xlfn.LET(_xlpm.y,Clean_Data[[#This Row],[Year_Num]],_xlfn.IFS(_xlpm.y&lt;500,"Ancient",_xlpm.y&lt;1500,"Medieval",_xlpm.y&lt;1800,"Early Modern",_xlpm.y&lt;1946,"Modern",TRUE,"Contemporary"))</f>
        <v>Contemporary</v>
      </c>
      <c r="P607" s="5" t="str">
        <f>_xlfn.XLOOKUP(Clean_Data[[#This Row],[Country]],country_region[Country],country_region[Country_Standard],"Not found")</f>
        <v>Thailand</v>
      </c>
      <c r="Q607" s="5" t="str">
        <f>_xlfn.XLOOKUP(Clean_Data[[#This Row],[Country]],country_region[Country],country_region[Region],"Not found")</f>
        <v>Southeast Asia</v>
      </c>
      <c r="R607" s="5" t="str">
        <f>_xlfn.XLOOKUP(Clean_Data[[#This Row],[Type of Event]],event_type_category[Type of Event],event_type_category[Category],"Not found")</f>
        <v>Science, Technology &amp; Exploration</v>
      </c>
    </row>
    <row r="608" spans="1:18">
      <c r="A608">
        <v>648</v>
      </c>
      <c r="B608" t="s">
        <v>2804</v>
      </c>
      <c r="C608" t="s">
        <v>150</v>
      </c>
      <c r="D608" t="s">
        <v>39</v>
      </c>
      <c r="E608" t="s">
        <v>287</v>
      </c>
      <c r="F608" t="s">
        <v>1875</v>
      </c>
      <c r="G608" t="s">
        <v>2805</v>
      </c>
      <c r="H608" t="s">
        <v>2806</v>
      </c>
      <c r="I608" t="s">
        <v>2807</v>
      </c>
      <c r="J608" t="s">
        <v>2808</v>
      </c>
      <c r="K608" t="s">
        <v>2809</v>
      </c>
      <c r="L608" t="s">
        <v>54</v>
      </c>
      <c r="M608">
        <v>2014</v>
      </c>
      <c r="N608" s="5">
        <f>ROUNDUP(Clean_Data[[#This Row],[Year_Num]]/100,0)</f>
        <v>21</v>
      </c>
      <c r="O608" s="5" t="str" cm="1">
        <f t="array" ref="O608">_xlfn.LET(_xlpm.y,Clean_Data[[#This Row],[Year_Num]],_xlfn.IFS(_xlpm.y&lt;500,"Ancient",_xlpm.y&lt;1500,"Medieval",_xlpm.y&lt;1800,"Early Modern",_xlpm.y&lt;1946,"Modern",TRUE,"Contemporary"))</f>
        <v>Contemporary</v>
      </c>
      <c r="P608" s="5" t="str">
        <f>_xlfn.XLOOKUP(Clean_Data[[#This Row],[Country]],country_region[Country],country_region[Country_Standard],"Not found")</f>
        <v>South Korea</v>
      </c>
      <c r="Q608" s="5" t="str">
        <f>_xlfn.XLOOKUP(Clean_Data[[#This Row],[Country]],country_region[Country],country_region[Region],"Not found")</f>
        <v>East Asia</v>
      </c>
      <c r="R608" s="5" t="str">
        <f>_xlfn.XLOOKUP(Clean_Data[[#This Row],[Type of Event]],event_type_category[Type of Event],event_type_category[Category],"Not found")</f>
        <v>Economy &amp; Infrastructure</v>
      </c>
    </row>
    <row r="609" spans="1:18">
      <c r="A609">
        <v>650</v>
      </c>
      <c r="B609" t="s">
        <v>2814</v>
      </c>
      <c r="C609" t="s">
        <v>99</v>
      </c>
      <c r="D609" t="s">
        <v>211</v>
      </c>
      <c r="E609" t="s">
        <v>1426</v>
      </c>
      <c r="F609" t="s">
        <v>749</v>
      </c>
      <c r="G609" t="s">
        <v>2815</v>
      </c>
      <c r="H609" t="s">
        <v>2816</v>
      </c>
      <c r="I609" t="s">
        <v>5015</v>
      </c>
      <c r="J609" t="s">
        <v>2818</v>
      </c>
      <c r="K609" t="s">
        <v>5016</v>
      </c>
      <c r="L609" t="s">
        <v>54</v>
      </c>
      <c r="M609">
        <v>2011</v>
      </c>
      <c r="N609" s="5">
        <f>ROUNDUP(Clean_Data[[#This Row],[Year_Num]]/100,0)</f>
        <v>21</v>
      </c>
      <c r="O609" s="5" t="str" cm="1">
        <f t="array" ref="O609">_xlfn.LET(_xlpm.y,Clean_Data[[#This Row],[Year_Num]],_xlfn.IFS(_xlpm.y&lt;500,"Ancient",_xlpm.y&lt;1500,"Medieval",_xlpm.y&lt;1800,"Early Modern",_xlpm.y&lt;1946,"Modern",TRUE,"Contemporary"))</f>
        <v>Contemporary</v>
      </c>
      <c r="P609" s="5" t="str">
        <f>_xlfn.XLOOKUP(Clean_Data[[#This Row],[Country]],country_region[Country],country_region[Country_Standard],"Not found")</f>
        <v>China</v>
      </c>
      <c r="Q609" s="5" t="str">
        <f>_xlfn.XLOOKUP(Clean_Data[[#This Row],[Country]],country_region[Country],country_region[Region],"Not found")</f>
        <v>East Asia</v>
      </c>
      <c r="R609" s="5" t="str">
        <f>_xlfn.XLOOKUP(Clean_Data[[#This Row],[Type of Event]],event_type_category[Type of Event],event_type_category[Category],"Not found")</f>
        <v>Economy &amp; Infrastructure</v>
      </c>
    </row>
    <row r="610" spans="1:18">
      <c r="A610">
        <v>651</v>
      </c>
      <c r="B610" t="s">
        <v>2820</v>
      </c>
      <c r="C610" t="s">
        <v>91</v>
      </c>
      <c r="D610" t="s">
        <v>66</v>
      </c>
      <c r="E610" t="s">
        <v>698</v>
      </c>
      <c r="F610" t="s">
        <v>2788</v>
      </c>
      <c r="G610" t="s">
        <v>2805</v>
      </c>
      <c r="H610" t="s">
        <v>2821</v>
      </c>
      <c r="I610" t="s">
        <v>2822</v>
      </c>
      <c r="J610" t="s">
        <v>2823</v>
      </c>
      <c r="K610" t="s">
        <v>2824</v>
      </c>
      <c r="L610" t="s">
        <v>54</v>
      </c>
      <c r="M610">
        <v>1987</v>
      </c>
      <c r="N610" s="5">
        <f>ROUNDUP(Clean_Data[[#This Row],[Year_Num]]/100,0)</f>
        <v>20</v>
      </c>
      <c r="O610" s="5" t="str" cm="1">
        <f t="array" ref="O610">_xlfn.LET(_xlpm.y,Clean_Data[[#This Row],[Year_Num]],_xlfn.IFS(_xlpm.y&lt;500,"Ancient",_xlpm.y&lt;1500,"Medieval",_xlpm.y&lt;1800,"Early Modern",_xlpm.y&lt;1946,"Modern",TRUE,"Contemporary"))</f>
        <v>Contemporary</v>
      </c>
      <c r="P610" s="5" t="str">
        <f>_xlfn.XLOOKUP(Clean_Data[[#This Row],[Country]],country_region[Country],country_region[Country_Standard],"Not found")</f>
        <v>Philippines</v>
      </c>
      <c r="Q610" s="5" t="str">
        <f>_xlfn.XLOOKUP(Clean_Data[[#This Row],[Country]],country_region[Country],country_region[Region],"Not found")</f>
        <v>Southeast Asia</v>
      </c>
      <c r="R610" s="5" t="str">
        <f>_xlfn.XLOOKUP(Clean_Data[[#This Row],[Type of Event]],event_type_category[Type of Event],event_type_category[Category],"Not found")</f>
        <v>Economy &amp; Infrastructure</v>
      </c>
    </row>
    <row r="611" spans="1:18">
      <c r="A611">
        <v>652</v>
      </c>
      <c r="B611" t="s">
        <v>2825</v>
      </c>
      <c r="C611" t="s">
        <v>218</v>
      </c>
      <c r="D611" t="s">
        <v>158</v>
      </c>
      <c r="E611" t="s">
        <v>123</v>
      </c>
      <c r="F611" t="s">
        <v>1021</v>
      </c>
      <c r="G611" t="s">
        <v>2826</v>
      </c>
      <c r="H611" t="s">
        <v>1151</v>
      </c>
      <c r="I611" t="s">
        <v>2827</v>
      </c>
      <c r="J611" t="s">
        <v>2828</v>
      </c>
      <c r="K611" t="s">
        <v>5017</v>
      </c>
      <c r="L611" t="s">
        <v>54</v>
      </c>
      <c r="M611">
        <v>1960</v>
      </c>
      <c r="N611" s="5">
        <f>ROUNDUP(Clean_Data[[#This Row],[Year_Num]]/100,0)</f>
        <v>20</v>
      </c>
      <c r="O611" s="5" t="str" cm="1">
        <f t="array" ref="O611">_xlfn.LET(_xlpm.y,Clean_Data[[#This Row],[Year_Num]],_xlfn.IFS(_xlpm.y&lt;500,"Ancient",_xlpm.y&lt;1500,"Medieval",_xlpm.y&lt;1800,"Early Modern",_xlpm.y&lt;1946,"Modern",TRUE,"Contemporary"))</f>
        <v>Contemporary</v>
      </c>
      <c r="P611" s="5" t="str">
        <f>_xlfn.XLOOKUP(Clean_Data[[#This Row],[Country]],country_region[Country],country_region[Country_Standard],"Not found")</f>
        <v>Russia</v>
      </c>
      <c r="Q611" s="5" t="str">
        <f>_xlfn.XLOOKUP(Clean_Data[[#This Row],[Country]],country_region[Country],country_region[Region],"Not found")</f>
        <v>Europe</v>
      </c>
      <c r="R611" s="5" t="str">
        <f>_xlfn.XLOOKUP(Clean_Data[[#This Row],[Type of Event]],event_type_category[Type of Event],event_type_category[Category],"Not found")</f>
        <v>Disasters &amp; Accidents</v>
      </c>
    </row>
    <row r="612" spans="1:18">
      <c r="A612">
        <v>653</v>
      </c>
      <c r="B612" t="s">
        <v>2830</v>
      </c>
      <c r="C612" t="s">
        <v>633</v>
      </c>
      <c r="D612" t="s">
        <v>47</v>
      </c>
      <c r="E612" t="s">
        <v>603</v>
      </c>
      <c r="F612" t="s">
        <v>2777</v>
      </c>
      <c r="G612" t="s">
        <v>2831</v>
      </c>
      <c r="H612" t="s">
        <v>2832</v>
      </c>
      <c r="I612" t="s">
        <v>2833</v>
      </c>
      <c r="J612" t="s">
        <v>2834</v>
      </c>
      <c r="K612" t="s">
        <v>2835</v>
      </c>
      <c r="L612" t="s">
        <v>54</v>
      </c>
      <c r="M612">
        <v>2006</v>
      </c>
      <c r="N612" s="5">
        <f>ROUNDUP(Clean_Data[[#This Row],[Year_Num]]/100,0)</f>
        <v>21</v>
      </c>
      <c r="O612" s="5" t="str" cm="1">
        <f t="array" ref="O612">_xlfn.LET(_xlpm.y,Clean_Data[[#This Row],[Year_Num]],_xlfn.IFS(_xlpm.y&lt;500,"Ancient",_xlpm.y&lt;1500,"Medieval",_xlpm.y&lt;1800,"Early Modern",_xlpm.y&lt;1946,"Modern",TRUE,"Contemporary"))</f>
        <v>Contemporary</v>
      </c>
      <c r="P612" s="5" t="str">
        <f>_xlfn.XLOOKUP(Clean_Data[[#This Row],[Country]],country_region[Country],country_region[Country_Standard],"Not found")</f>
        <v>Indonesia</v>
      </c>
      <c r="Q612" s="5" t="str">
        <f>_xlfn.XLOOKUP(Clean_Data[[#This Row],[Country]],country_region[Country],country_region[Region],"Not found")</f>
        <v>Southeast Asia</v>
      </c>
      <c r="R612" s="5" t="str">
        <f>_xlfn.XLOOKUP(Clean_Data[[#This Row],[Type of Event]],event_type_category[Type of Event],event_type_category[Category],"Not found")</f>
        <v>Disasters &amp; Accidents</v>
      </c>
    </row>
    <row r="613" spans="1:18">
      <c r="A613">
        <v>654</v>
      </c>
      <c r="B613" t="s">
        <v>2836</v>
      </c>
      <c r="C613" t="s">
        <v>99</v>
      </c>
      <c r="D613" t="s">
        <v>100</v>
      </c>
      <c r="E613" t="s">
        <v>174</v>
      </c>
      <c r="F613" t="s">
        <v>2799</v>
      </c>
      <c r="G613" t="s">
        <v>2837</v>
      </c>
      <c r="H613" t="s">
        <v>2838</v>
      </c>
      <c r="I613" t="s">
        <v>2839</v>
      </c>
      <c r="J613" t="s">
        <v>2840</v>
      </c>
      <c r="K613" t="s">
        <v>2841</v>
      </c>
      <c r="L613" t="s">
        <v>21</v>
      </c>
      <c r="M613">
        <v>2018</v>
      </c>
      <c r="N613" s="5">
        <f>ROUNDUP(Clean_Data[[#This Row],[Year_Num]]/100,0)</f>
        <v>21</v>
      </c>
      <c r="O613" s="5" t="str" cm="1">
        <f t="array" ref="O613">_xlfn.LET(_xlpm.y,Clean_Data[[#This Row],[Year_Num]],_xlfn.IFS(_xlpm.y&lt;500,"Ancient",_xlpm.y&lt;1500,"Medieval",_xlpm.y&lt;1800,"Early Modern",_xlpm.y&lt;1946,"Modern",TRUE,"Contemporary"))</f>
        <v>Contemporary</v>
      </c>
      <c r="P613" s="5" t="str">
        <f>_xlfn.XLOOKUP(Clean_Data[[#This Row],[Country]],country_region[Country],country_region[Country_Standard],"Not found")</f>
        <v>Thailand</v>
      </c>
      <c r="Q613" s="5" t="str">
        <f>_xlfn.XLOOKUP(Clean_Data[[#This Row],[Country]],country_region[Country],country_region[Region],"Not found")</f>
        <v>Southeast Asia</v>
      </c>
      <c r="R613" s="5" t="str">
        <f>_xlfn.XLOOKUP(Clean_Data[[#This Row],[Type of Event]],event_type_category[Type of Event],event_type_category[Category],"Not found")</f>
        <v>Disasters &amp; Accidents</v>
      </c>
    </row>
    <row r="614" spans="1:18">
      <c r="A614">
        <v>655</v>
      </c>
      <c r="B614" t="s">
        <v>2122</v>
      </c>
      <c r="C614" t="s">
        <v>230</v>
      </c>
      <c r="D614" t="s">
        <v>211</v>
      </c>
      <c r="E614" t="s">
        <v>2842</v>
      </c>
      <c r="F614" t="s">
        <v>2843</v>
      </c>
      <c r="G614" t="s">
        <v>31</v>
      </c>
      <c r="H614" t="s">
        <v>2844</v>
      </c>
      <c r="I614" t="s">
        <v>2845</v>
      </c>
      <c r="J614" t="s">
        <v>2846</v>
      </c>
      <c r="K614" t="s">
        <v>2847</v>
      </c>
      <c r="L614" t="s">
        <v>21</v>
      </c>
      <c r="M614">
        <v>1776</v>
      </c>
      <c r="N614" s="5">
        <f>ROUNDUP(Clean_Data[[#This Row],[Year_Num]]/100,0)</f>
        <v>18</v>
      </c>
      <c r="O614" s="5" t="str" cm="1">
        <f t="array" ref="O614">_xlfn.LET(_xlpm.y,Clean_Data[[#This Row],[Year_Num]],_xlfn.IFS(_xlpm.y&lt;500,"Ancient",_xlpm.y&lt;1500,"Medieval",_xlpm.y&lt;1800,"Early Modern",_xlpm.y&lt;1946,"Modern",TRUE,"Contemporary"))</f>
        <v>Early Modern</v>
      </c>
      <c r="P614" s="5" t="str">
        <f>_xlfn.XLOOKUP(Clean_Data[[#This Row],[Country]],country_region[Country],country_region[Country_Standard],"Not found")</f>
        <v>USA</v>
      </c>
      <c r="Q614" s="5" t="str">
        <f>_xlfn.XLOOKUP(Clean_Data[[#This Row],[Country]],country_region[Country],country_region[Region],"Not found")</f>
        <v>North America</v>
      </c>
      <c r="R614" s="5" t="str">
        <f>_xlfn.XLOOKUP(Clean_Data[[#This Row],[Type of Event]],event_type_category[Type of Event],event_type_category[Category],"Not found")</f>
        <v>Politics &amp; Law</v>
      </c>
    </row>
    <row r="615" spans="1:18">
      <c r="A615">
        <v>656</v>
      </c>
      <c r="B615" t="s">
        <v>2848</v>
      </c>
      <c r="C615" t="s">
        <v>246</v>
      </c>
      <c r="D615" t="s">
        <v>39</v>
      </c>
      <c r="E615" t="s">
        <v>1455</v>
      </c>
      <c r="F615" t="s">
        <v>2843</v>
      </c>
      <c r="G615" t="s">
        <v>2849</v>
      </c>
      <c r="H615" t="s">
        <v>2850</v>
      </c>
      <c r="I615" t="s">
        <v>2851</v>
      </c>
      <c r="J615" t="s">
        <v>2852</v>
      </c>
      <c r="K615" t="s">
        <v>2853</v>
      </c>
      <c r="L615" t="s">
        <v>21</v>
      </c>
      <c r="M615">
        <v>1803</v>
      </c>
      <c r="N615" s="5">
        <f>ROUNDUP(Clean_Data[[#This Row],[Year_Num]]/100,0)</f>
        <v>19</v>
      </c>
      <c r="O615" s="5" t="str" cm="1">
        <f t="array" ref="O615">_xlfn.LET(_xlpm.y,Clean_Data[[#This Row],[Year_Num]],_xlfn.IFS(_xlpm.y&lt;500,"Ancient",_xlpm.y&lt;1500,"Medieval",_xlpm.y&lt;1800,"Early Modern",_xlpm.y&lt;1946,"Modern",TRUE,"Contemporary"))</f>
        <v>Modern</v>
      </c>
      <c r="P615" s="5" t="str">
        <f>_xlfn.XLOOKUP(Clean_Data[[#This Row],[Country]],country_region[Country],country_region[Country_Standard],"Not found")</f>
        <v>USA</v>
      </c>
      <c r="Q615" s="5" t="str">
        <f>_xlfn.XLOOKUP(Clean_Data[[#This Row],[Country]],country_region[Country],country_region[Region],"Not found")</f>
        <v>North America</v>
      </c>
      <c r="R615" s="5" t="str">
        <f>_xlfn.XLOOKUP(Clean_Data[[#This Row],[Type of Event]],event_type_category[Type of Event],event_type_category[Category],"Not found")</f>
        <v>Independence &amp; Nation-Building</v>
      </c>
    </row>
    <row r="616" spans="1:18">
      <c r="A616">
        <v>657</v>
      </c>
      <c r="B616" t="s">
        <v>801</v>
      </c>
      <c r="C616" t="s">
        <v>353</v>
      </c>
      <c r="D616" t="s">
        <v>39</v>
      </c>
      <c r="E616" t="s">
        <v>1671</v>
      </c>
      <c r="F616" t="s">
        <v>2843</v>
      </c>
      <c r="G616" t="s">
        <v>68</v>
      </c>
      <c r="H616" t="s">
        <v>2854</v>
      </c>
      <c r="I616" t="s">
        <v>2855</v>
      </c>
      <c r="J616" t="s">
        <v>2856</v>
      </c>
      <c r="K616" t="s">
        <v>2857</v>
      </c>
      <c r="L616" t="s">
        <v>36</v>
      </c>
      <c r="M616">
        <v>1861</v>
      </c>
      <c r="N616" s="5">
        <f>ROUNDUP(Clean_Data[[#This Row],[Year_Num]]/100,0)</f>
        <v>19</v>
      </c>
      <c r="O616" s="5" t="str" cm="1">
        <f t="array" ref="O616">_xlfn.LET(_xlpm.y,Clean_Data[[#This Row],[Year_Num]],_xlfn.IFS(_xlpm.y&lt;500,"Ancient",_xlpm.y&lt;1500,"Medieval",_xlpm.y&lt;1800,"Early Modern",_xlpm.y&lt;1946,"Modern",TRUE,"Contemporary"))</f>
        <v>Modern</v>
      </c>
      <c r="P616" s="5" t="str">
        <f>_xlfn.XLOOKUP(Clean_Data[[#This Row],[Country]],country_region[Country],country_region[Country_Standard],"Not found")</f>
        <v>USA</v>
      </c>
      <c r="Q616" s="5" t="str">
        <f>_xlfn.XLOOKUP(Clean_Data[[#This Row],[Country]],country_region[Country],country_region[Region],"Not found")</f>
        <v>North America</v>
      </c>
      <c r="R616" s="5" t="str">
        <f>_xlfn.XLOOKUP(Clean_Data[[#This Row],[Type of Event]],event_type_category[Type of Event],event_type_category[Category],"Not found")</f>
        <v>War &amp; Conflict</v>
      </c>
    </row>
    <row r="617" spans="1:18">
      <c r="A617">
        <v>658</v>
      </c>
      <c r="B617" t="s">
        <v>2858</v>
      </c>
      <c r="C617" t="s">
        <v>195</v>
      </c>
      <c r="D617" t="s">
        <v>57</v>
      </c>
      <c r="E617" t="s">
        <v>381</v>
      </c>
      <c r="F617" t="s">
        <v>2843</v>
      </c>
      <c r="G617" t="s">
        <v>2859</v>
      </c>
      <c r="H617" t="s">
        <v>300</v>
      </c>
      <c r="I617" t="s">
        <v>2860</v>
      </c>
      <c r="J617" t="s">
        <v>2861</v>
      </c>
      <c r="K617" t="s">
        <v>2862</v>
      </c>
      <c r="L617" t="s">
        <v>21</v>
      </c>
      <c r="M617">
        <v>1920</v>
      </c>
      <c r="N617" s="5">
        <f>ROUNDUP(Clean_Data[[#This Row],[Year_Num]]/100,0)</f>
        <v>20</v>
      </c>
      <c r="O617" s="5" t="str" cm="1">
        <f t="array" ref="O617">_xlfn.LET(_xlpm.y,Clean_Data[[#This Row],[Year_Num]],_xlfn.IFS(_xlpm.y&lt;500,"Ancient",_xlpm.y&lt;1500,"Medieval",_xlpm.y&lt;1800,"Early Modern",_xlpm.y&lt;1946,"Modern",TRUE,"Contemporary"))</f>
        <v>Modern</v>
      </c>
      <c r="P617" s="5" t="str">
        <f>_xlfn.XLOOKUP(Clean_Data[[#This Row],[Country]],country_region[Country],country_region[Country_Standard],"Not found")</f>
        <v>USA</v>
      </c>
      <c r="Q617" s="5" t="str">
        <f>_xlfn.XLOOKUP(Clean_Data[[#This Row],[Country]],country_region[Country],country_region[Region],"Not found")</f>
        <v>North America</v>
      </c>
      <c r="R617" s="5" t="str">
        <f>_xlfn.XLOOKUP(Clean_Data[[#This Row],[Type of Event]],event_type_category[Type of Event],event_type_category[Category],"Not found")</f>
        <v>Politics &amp; Law</v>
      </c>
    </row>
    <row r="618" spans="1:18">
      <c r="A618">
        <v>659</v>
      </c>
      <c r="B618" t="s">
        <v>2863</v>
      </c>
      <c r="C618" t="s">
        <v>633</v>
      </c>
      <c r="D618" t="s">
        <v>158</v>
      </c>
      <c r="E618" t="s">
        <v>1109</v>
      </c>
      <c r="F618" t="s">
        <v>2843</v>
      </c>
      <c r="G618" t="s">
        <v>1463</v>
      </c>
      <c r="H618" t="s">
        <v>2864</v>
      </c>
      <c r="I618" t="s">
        <v>2865</v>
      </c>
      <c r="J618" t="s">
        <v>753</v>
      </c>
      <c r="L618" t="s">
        <v>54</v>
      </c>
      <c r="M618">
        <v>1929</v>
      </c>
      <c r="N618" s="5">
        <f>ROUNDUP(Clean_Data[[#This Row],[Year_Num]]/100,0)</f>
        <v>20</v>
      </c>
      <c r="O618" s="5" t="str" cm="1">
        <f t="array" ref="O618">_xlfn.LET(_xlpm.y,Clean_Data[[#This Row],[Year_Num]],_xlfn.IFS(_xlpm.y&lt;500,"Ancient",_xlpm.y&lt;1500,"Medieval",_xlpm.y&lt;1800,"Early Modern",_xlpm.y&lt;1946,"Modern",TRUE,"Contemporary"))</f>
        <v>Modern</v>
      </c>
      <c r="P618" s="5" t="str">
        <f>_xlfn.XLOOKUP(Clean_Data[[#This Row],[Country]],country_region[Country],country_region[Country_Standard],"Not found")</f>
        <v>USA</v>
      </c>
      <c r="Q618" s="5" t="str">
        <f>_xlfn.XLOOKUP(Clean_Data[[#This Row],[Country]],country_region[Country],country_region[Region],"Not found")</f>
        <v>North America</v>
      </c>
      <c r="R618" s="5" t="str">
        <f>_xlfn.XLOOKUP(Clean_Data[[#This Row],[Type of Event]],event_type_category[Type of Event],event_type_category[Category],"Not found")</f>
        <v>Economy &amp; Infrastructure</v>
      </c>
    </row>
    <row r="619" spans="1:18">
      <c r="A619">
        <v>660</v>
      </c>
      <c r="B619" t="s">
        <v>2866</v>
      </c>
      <c r="C619" t="s">
        <v>91</v>
      </c>
      <c r="D619" t="s">
        <v>211</v>
      </c>
      <c r="E619" t="s">
        <v>449</v>
      </c>
      <c r="F619" t="s">
        <v>2843</v>
      </c>
      <c r="G619" t="s">
        <v>288</v>
      </c>
      <c r="H619" t="s">
        <v>326</v>
      </c>
      <c r="I619" t="s">
        <v>2867</v>
      </c>
      <c r="J619" t="s">
        <v>753</v>
      </c>
      <c r="K619" t="s">
        <v>2868</v>
      </c>
      <c r="L619" t="s">
        <v>21</v>
      </c>
      <c r="M619">
        <v>1969</v>
      </c>
      <c r="N619" s="5">
        <f>ROUNDUP(Clean_Data[[#This Row],[Year_Num]]/100,0)</f>
        <v>20</v>
      </c>
      <c r="O619" s="5" t="str" cm="1">
        <f t="array" ref="O619">_xlfn.LET(_xlpm.y,Clean_Data[[#This Row],[Year_Num]],_xlfn.IFS(_xlpm.y&lt;500,"Ancient",_xlpm.y&lt;1500,"Medieval",_xlpm.y&lt;1800,"Early Modern",_xlpm.y&lt;1946,"Modern",TRUE,"Contemporary"))</f>
        <v>Contemporary</v>
      </c>
      <c r="P619" s="5" t="str">
        <f>_xlfn.XLOOKUP(Clean_Data[[#This Row],[Country]],country_region[Country],country_region[Country_Standard],"Not found")</f>
        <v>USA</v>
      </c>
      <c r="Q619" s="5" t="str">
        <f>_xlfn.XLOOKUP(Clean_Data[[#This Row],[Country]],country_region[Country],country_region[Region],"Not found")</f>
        <v>North America</v>
      </c>
      <c r="R619" s="5" t="str">
        <f>_xlfn.XLOOKUP(Clean_Data[[#This Row],[Type of Event]],event_type_category[Type of Event],event_type_category[Category],"Not found")</f>
        <v>Science, Technology &amp; Exploration</v>
      </c>
    </row>
    <row r="620" spans="1:18">
      <c r="A620">
        <v>661</v>
      </c>
      <c r="B620" t="s">
        <v>2869</v>
      </c>
      <c r="C620" t="s">
        <v>331</v>
      </c>
      <c r="D620" t="s">
        <v>211</v>
      </c>
      <c r="E620" t="s">
        <v>1387</v>
      </c>
      <c r="F620" t="s">
        <v>2843</v>
      </c>
      <c r="G620" t="s">
        <v>2859</v>
      </c>
      <c r="H620" t="s">
        <v>300</v>
      </c>
      <c r="I620" t="s">
        <v>2870</v>
      </c>
      <c r="J620" t="s">
        <v>2856</v>
      </c>
      <c r="K620" t="s">
        <v>2871</v>
      </c>
      <c r="L620" t="s">
        <v>21</v>
      </c>
      <c r="M620">
        <v>1964</v>
      </c>
      <c r="N620" s="5">
        <f>ROUNDUP(Clean_Data[[#This Row],[Year_Num]]/100,0)</f>
        <v>20</v>
      </c>
      <c r="O620" s="5" t="str" cm="1">
        <f t="array" ref="O620">_xlfn.LET(_xlpm.y,Clean_Data[[#This Row],[Year_Num]],_xlfn.IFS(_xlpm.y&lt;500,"Ancient",_xlpm.y&lt;1500,"Medieval",_xlpm.y&lt;1800,"Early Modern",_xlpm.y&lt;1946,"Modern",TRUE,"Contemporary"))</f>
        <v>Contemporary</v>
      </c>
      <c r="P620" s="5" t="str">
        <f>_xlfn.XLOOKUP(Clean_Data[[#This Row],[Country]],country_region[Country],country_region[Country_Standard],"Not found")</f>
        <v>USA</v>
      </c>
      <c r="Q620" s="5" t="str">
        <f>_xlfn.XLOOKUP(Clean_Data[[#This Row],[Country]],country_region[Country],country_region[Region],"Not found")</f>
        <v>North America</v>
      </c>
      <c r="R620" s="5" t="str">
        <f>_xlfn.XLOOKUP(Clean_Data[[#This Row],[Type of Event]],event_type_category[Type of Event],event_type_category[Category],"Not found")</f>
        <v>Politics &amp; Law</v>
      </c>
    </row>
    <row r="621" spans="1:18">
      <c r="A621">
        <v>662</v>
      </c>
      <c r="B621" t="s">
        <v>2872</v>
      </c>
      <c r="C621" t="s">
        <v>74</v>
      </c>
      <c r="D621" t="s">
        <v>286</v>
      </c>
      <c r="E621" t="s">
        <v>225</v>
      </c>
      <c r="F621" t="s">
        <v>2843</v>
      </c>
      <c r="G621" t="s">
        <v>85</v>
      </c>
      <c r="H621" t="s">
        <v>2873</v>
      </c>
      <c r="I621" t="s">
        <v>2874</v>
      </c>
      <c r="J621" t="s">
        <v>2875</v>
      </c>
      <c r="K621" t="s">
        <v>4971</v>
      </c>
      <c r="L621" t="s">
        <v>54</v>
      </c>
      <c r="M621">
        <v>2001</v>
      </c>
      <c r="N621" s="5">
        <f>ROUNDUP(Clean_Data[[#This Row],[Year_Num]]/100,0)</f>
        <v>21</v>
      </c>
      <c r="O621" s="5" t="str" cm="1">
        <f t="array" ref="O621">_xlfn.LET(_xlpm.y,Clean_Data[[#This Row],[Year_Num]],_xlfn.IFS(_xlpm.y&lt;500,"Ancient",_xlpm.y&lt;1500,"Medieval",_xlpm.y&lt;1800,"Early Modern",_xlpm.y&lt;1946,"Modern",TRUE,"Contemporary"))</f>
        <v>Contemporary</v>
      </c>
      <c r="P621" s="5" t="str">
        <f>_xlfn.XLOOKUP(Clean_Data[[#This Row],[Country]],country_region[Country],country_region[Country_Standard],"Not found")</f>
        <v>USA</v>
      </c>
      <c r="Q621" s="5" t="str">
        <f>_xlfn.XLOOKUP(Clean_Data[[#This Row],[Country]],country_region[Country],country_region[Region],"Not found")</f>
        <v>North America</v>
      </c>
      <c r="R621" s="5" t="str">
        <f>_xlfn.XLOOKUP(Clean_Data[[#This Row],[Type of Event]],event_type_category[Type of Event],event_type_category[Category],"Not found")</f>
        <v>War &amp; Conflict</v>
      </c>
    </row>
    <row r="622" spans="1:18">
      <c r="A622">
        <v>663</v>
      </c>
      <c r="B622" t="s">
        <v>2876</v>
      </c>
      <c r="C622" t="s">
        <v>580</v>
      </c>
      <c r="D622" t="s">
        <v>39</v>
      </c>
      <c r="E622" t="s">
        <v>2877</v>
      </c>
      <c r="F622" t="s">
        <v>2843</v>
      </c>
      <c r="G622" t="s">
        <v>288</v>
      </c>
      <c r="H622" t="s">
        <v>289</v>
      </c>
      <c r="I622" t="s">
        <v>2878</v>
      </c>
      <c r="J622" t="s">
        <v>753</v>
      </c>
      <c r="K622" t="s">
        <v>2879</v>
      </c>
      <c r="L622" t="s">
        <v>21</v>
      </c>
      <c r="M622">
        <v>2021</v>
      </c>
      <c r="N622" s="5">
        <f>ROUNDUP(Clean_Data[[#This Row],[Year_Num]]/100,0)</f>
        <v>21</v>
      </c>
      <c r="O622" s="5" t="str" cm="1">
        <f t="array" ref="O622">_xlfn.LET(_xlpm.y,Clean_Data[[#This Row],[Year_Num]],_xlfn.IFS(_xlpm.y&lt;500,"Ancient",_xlpm.y&lt;1500,"Medieval",_xlpm.y&lt;1800,"Early Modern",_xlpm.y&lt;1946,"Modern",TRUE,"Contemporary"))</f>
        <v>Contemporary</v>
      </c>
      <c r="P622" s="5" t="str">
        <f>_xlfn.XLOOKUP(Clean_Data[[#This Row],[Country]],country_region[Country],country_region[Country_Standard],"Not found")</f>
        <v>USA</v>
      </c>
      <c r="Q622" s="5" t="str">
        <f>_xlfn.XLOOKUP(Clean_Data[[#This Row],[Country]],country_region[Country],country_region[Region],"Not found")</f>
        <v>North America</v>
      </c>
      <c r="R622" s="5" t="str">
        <f>_xlfn.XLOOKUP(Clean_Data[[#This Row],[Type of Event]],event_type_category[Type of Event],event_type_category[Category],"Not found")</f>
        <v>Science, Technology &amp; Exploration</v>
      </c>
    </row>
    <row r="623" spans="1:18">
      <c r="A623">
        <v>664</v>
      </c>
      <c r="B623" t="s">
        <v>2880</v>
      </c>
      <c r="C623" t="s">
        <v>1129</v>
      </c>
      <c r="D623" t="s">
        <v>47</v>
      </c>
      <c r="E623" t="s">
        <v>1973</v>
      </c>
      <c r="F623" t="s">
        <v>2843</v>
      </c>
      <c r="G623" t="s">
        <v>2881</v>
      </c>
      <c r="H623" t="s">
        <v>2882</v>
      </c>
      <c r="I623" t="s">
        <v>2883</v>
      </c>
      <c r="J623" t="s">
        <v>2884</v>
      </c>
      <c r="K623" t="s">
        <v>2885</v>
      </c>
      <c r="L623" t="s">
        <v>21</v>
      </c>
      <c r="M623">
        <v>1954</v>
      </c>
      <c r="N623" s="5">
        <f>ROUNDUP(Clean_Data[[#This Row],[Year_Num]]/100,0)</f>
        <v>20</v>
      </c>
      <c r="O623" s="5" t="str" cm="1">
        <f t="array" ref="O623">_xlfn.LET(_xlpm.y,Clean_Data[[#This Row],[Year_Num]],_xlfn.IFS(_xlpm.y&lt;500,"Ancient",_xlpm.y&lt;1500,"Medieval",_xlpm.y&lt;1800,"Early Modern",_xlpm.y&lt;1946,"Modern",TRUE,"Contemporary"))</f>
        <v>Contemporary</v>
      </c>
      <c r="P623" s="5" t="str">
        <f>_xlfn.XLOOKUP(Clean_Data[[#This Row],[Country]],country_region[Country],country_region[Country_Standard],"Not found")</f>
        <v>USA</v>
      </c>
      <c r="Q623" s="5" t="str">
        <f>_xlfn.XLOOKUP(Clean_Data[[#This Row],[Country]],country_region[Country],country_region[Region],"Not found")</f>
        <v>North America</v>
      </c>
      <c r="R623" s="5" t="str">
        <f>_xlfn.XLOOKUP(Clean_Data[[#This Row],[Type of Event]],event_type_category[Type of Event],event_type_category[Category],"Not found")</f>
        <v>Politics &amp; Law</v>
      </c>
    </row>
    <row r="624" spans="1:18">
      <c r="A624">
        <v>665</v>
      </c>
      <c r="B624" t="s">
        <v>2886</v>
      </c>
      <c r="E624" t="s">
        <v>1907</v>
      </c>
      <c r="F624" t="s">
        <v>2843</v>
      </c>
      <c r="G624" t="s">
        <v>356</v>
      </c>
      <c r="H624" t="s">
        <v>1578</v>
      </c>
      <c r="I624" t="s">
        <v>2888</v>
      </c>
      <c r="J624" t="s">
        <v>2889</v>
      </c>
      <c r="K624" t="s">
        <v>2890</v>
      </c>
      <c r="L624" t="s">
        <v>54</v>
      </c>
      <c r="M624">
        <v>1955</v>
      </c>
      <c r="N624" s="5">
        <f>ROUNDUP(Clean_Data[[#This Row],[Year_Num]]/100,0)</f>
        <v>20</v>
      </c>
      <c r="O624" s="5" t="str" cm="1">
        <f t="array" ref="O624">_xlfn.LET(_xlpm.y,Clean_Data[[#This Row],[Year_Num]],_xlfn.IFS(_xlpm.y&lt;500,"Ancient",_xlpm.y&lt;1500,"Medieval",_xlpm.y&lt;1800,"Early Modern",_xlpm.y&lt;1946,"Modern",TRUE,"Contemporary"))</f>
        <v>Contemporary</v>
      </c>
      <c r="P624" s="5" t="str">
        <f>_xlfn.XLOOKUP(Clean_Data[[#This Row],[Country]],country_region[Country],country_region[Country_Standard],"Not found")</f>
        <v>USA</v>
      </c>
      <c r="Q624" s="5" t="str">
        <f>_xlfn.XLOOKUP(Clean_Data[[#This Row],[Country]],country_region[Country],country_region[Region],"Not found")</f>
        <v>North America</v>
      </c>
      <c r="R624" s="5" t="str">
        <f>_xlfn.XLOOKUP(Clean_Data[[#This Row],[Type of Event]],event_type_category[Type of Event],event_type_category[Category],"Not found")</f>
        <v>War &amp; Conflict</v>
      </c>
    </row>
    <row r="625" spans="1:18">
      <c r="A625">
        <v>666</v>
      </c>
      <c r="B625" t="s">
        <v>2891</v>
      </c>
      <c r="C625" t="s">
        <v>1129</v>
      </c>
      <c r="D625" t="s">
        <v>100</v>
      </c>
      <c r="E625" t="s">
        <v>591</v>
      </c>
      <c r="F625" t="s">
        <v>2843</v>
      </c>
      <c r="G625" t="s">
        <v>2892</v>
      </c>
      <c r="H625" t="s">
        <v>1359</v>
      </c>
      <c r="I625" t="s">
        <v>2893</v>
      </c>
      <c r="J625" t="s">
        <v>2894</v>
      </c>
      <c r="K625" t="s">
        <v>2895</v>
      </c>
      <c r="L625" t="s">
        <v>54</v>
      </c>
      <c r="M625">
        <v>1972</v>
      </c>
      <c r="N625" s="5">
        <f>ROUNDUP(Clean_Data[[#This Row],[Year_Num]]/100,0)</f>
        <v>20</v>
      </c>
      <c r="O625" s="5" t="str" cm="1">
        <f t="array" ref="O625">_xlfn.LET(_xlpm.y,Clean_Data[[#This Row],[Year_Num]],_xlfn.IFS(_xlpm.y&lt;500,"Ancient",_xlpm.y&lt;1500,"Medieval",_xlpm.y&lt;1800,"Early Modern",_xlpm.y&lt;1946,"Modern",TRUE,"Contemporary"))</f>
        <v>Contemporary</v>
      </c>
      <c r="P625" s="5" t="str">
        <f>_xlfn.XLOOKUP(Clean_Data[[#This Row],[Country]],country_region[Country],country_region[Country_Standard],"Not found")</f>
        <v>USA</v>
      </c>
      <c r="Q625" s="5" t="str">
        <f>_xlfn.XLOOKUP(Clean_Data[[#This Row],[Country]],country_region[Country],country_region[Region],"Not found")</f>
        <v>North America</v>
      </c>
      <c r="R625" s="5" t="str">
        <f>_xlfn.XLOOKUP(Clean_Data[[#This Row],[Type of Event]],event_type_category[Type of Event],event_type_category[Category],"Not found")</f>
        <v>Politics &amp; Law</v>
      </c>
    </row>
    <row r="626" spans="1:18">
      <c r="A626">
        <v>667</v>
      </c>
      <c r="B626" t="s">
        <v>2896</v>
      </c>
      <c r="C626" t="s">
        <v>362</v>
      </c>
      <c r="D626" t="s">
        <v>260</v>
      </c>
      <c r="E626" t="s">
        <v>613</v>
      </c>
      <c r="F626" t="s">
        <v>2843</v>
      </c>
      <c r="G626" t="s">
        <v>2897</v>
      </c>
      <c r="H626" t="s">
        <v>2898</v>
      </c>
      <c r="I626" t="s">
        <v>2899</v>
      </c>
      <c r="J626" t="s">
        <v>2900</v>
      </c>
      <c r="K626" t="s">
        <v>2879</v>
      </c>
      <c r="L626" t="s">
        <v>54</v>
      </c>
      <c r="M626">
        <v>1986</v>
      </c>
      <c r="N626" s="5">
        <f>ROUNDUP(Clean_Data[[#This Row],[Year_Num]]/100,0)</f>
        <v>20</v>
      </c>
      <c r="O626" s="5" t="str" cm="1">
        <f t="array" ref="O626">_xlfn.LET(_xlpm.y,Clean_Data[[#This Row],[Year_Num]],_xlfn.IFS(_xlpm.y&lt;500,"Ancient",_xlpm.y&lt;1500,"Medieval",_xlpm.y&lt;1800,"Early Modern",_xlpm.y&lt;1946,"Modern",TRUE,"Contemporary"))</f>
        <v>Contemporary</v>
      </c>
      <c r="P626" s="5" t="str">
        <f>_xlfn.XLOOKUP(Clean_Data[[#This Row],[Country]],country_region[Country],country_region[Country_Standard],"Not found")</f>
        <v>USA</v>
      </c>
      <c r="Q626" s="5" t="str">
        <f>_xlfn.XLOOKUP(Clean_Data[[#This Row],[Country]],country_region[Country],country_region[Region],"Not found")</f>
        <v>North America</v>
      </c>
      <c r="R626" s="5" t="str">
        <f>_xlfn.XLOOKUP(Clean_Data[[#This Row],[Type of Event]],event_type_category[Type of Event],event_type_category[Category],"Not found")</f>
        <v>Disasters &amp; Accidents</v>
      </c>
    </row>
    <row r="627" spans="1:18">
      <c r="A627">
        <v>668</v>
      </c>
      <c r="B627" t="s">
        <v>1182</v>
      </c>
      <c r="C627" t="s">
        <v>240</v>
      </c>
      <c r="D627" t="s">
        <v>83</v>
      </c>
      <c r="E627" t="s">
        <v>966</v>
      </c>
      <c r="F627" t="s">
        <v>2843</v>
      </c>
      <c r="G627" t="s">
        <v>2901</v>
      </c>
      <c r="H627" t="s">
        <v>1183</v>
      </c>
      <c r="I627" t="s">
        <v>2902</v>
      </c>
      <c r="J627" t="s">
        <v>753</v>
      </c>
      <c r="K627" t="s">
        <v>2903</v>
      </c>
      <c r="L627" t="s">
        <v>21</v>
      </c>
      <c r="M627">
        <v>1989</v>
      </c>
      <c r="N627" s="5">
        <f>ROUNDUP(Clean_Data[[#This Row],[Year_Num]]/100,0)</f>
        <v>20</v>
      </c>
      <c r="O627" s="5" t="str" cm="1">
        <f t="array" ref="O627">_xlfn.LET(_xlpm.y,Clean_Data[[#This Row],[Year_Num]],_xlfn.IFS(_xlpm.y&lt;500,"Ancient",_xlpm.y&lt;1500,"Medieval",_xlpm.y&lt;1800,"Early Modern",_xlpm.y&lt;1946,"Modern",TRUE,"Contemporary"))</f>
        <v>Contemporary</v>
      </c>
      <c r="P627" s="5" t="str">
        <f>_xlfn.XLOOKUP(Clean_Data[[#This Row],[Country]],country_region[Country],country_region[Country_Standard],"Not found")</f>
        <v>USA</v>
      </c>
      <c r="Q627" s="5" t="str">
        <f>_xlfn.XLOOKUP(Clean_Data[[#This Row],[Country]],country_region[Country],country_region[Region],"Not found")</f>
        <v>North America</v>
      </c>
      <c r="R627" s="5" t="str">
        <f>_xlfn.XLOOKUP(Clean_Data[[#This Row],[Type of Event]],event_type_category[Type of Event],event_type_category[Category],"Not found")</f>
        <v>Diplomacy &amp; International Relations</v>
      </c>
    </row>
    <row r="628" spans="1:18">
      <c r="A628">
        <v>669</v>
      </c>
      <c r="B628" t="s">
        <v>2904</v>
      </c>
      <c r="C628" t="s">
        <v>580</v>
      </c>
      <c r="D628" t="s">
        <v>39</v>
      </c>
      <c r="E628" t="s">
        <v>1409</v>
      </c>
      <c r="F628" t="s">
        <v>2843</v>
      </c>
      <c r="G628" t="s">
        <v>2905</v>
      </c>
      <c r="H628" t="s">
        <v>2906</v>
      </c>
      <c r="I628" t="s">
        <v>2907</v>
      </c>
      <c r="J628" t="s">
        <v>2856</v>
      </c>
      <c r="K628" t="s">
        <v>2908</v>
      </c>
      <c r="L628" t="s">
        <v>54</v>
      </c>
      <c r="M628">
        <v>1995</v>
      </c>
      <c r="N628" s="5">
        <f>ROUNDUP(Clean_Data[[#This Row],[Year_Num]]/100,0)</f>
        <v>20</v>
      </c>
      <c r="O628" s="5" t="str" cm="1">
        <f t="array" ref="O628">_xlfn.LET(_xlpm.y,Clean_Data[[#This Row],[Year_Num]],_xlfn.IFS(_xlpm.y&lt;500,"Ancient",_xlpm.y&lt;1500,"Medieval",_xlpm.y&lt;1800,"Early Modern",_xlpm.y&lt;1946,"Modern",TRUE,"Contemporary"))</f>
        <v>Contemporary</v>
      </c>
      <c r="P628" s="5" t="str">
        <f>_xlfn.XLOOKUP(Clean_Data[[#This Row],[Country]],country_region[Country],country_region[Country_Standard],"Not found")</f>
        <v>USA</v>
      </c>
      <c r="Q628" s="5" t="str">
        <f>_xlfn.XLOOKUP(Clean_Data[[#This Row],[Country]],country_region[Country],country_region[Region],"Not found")</f>
        <v>North America</v>
      </c>
      <c r="R628" s="5" t="str">
        <f>_xlfn.XLOOKUP(Clean_Data[[#This Row],[Type of Event]],event_type_category[Type of Event],event_type_category[Category],"Not found")</f>
        <v>War &amp; Conflict</v>
      </c>
    </row>
    <row r="629" spans="1:18">
      <c r="A629">
        <v>670</v>
      </c>
      <c r="B629" t="s">
        <v>2909</v>
      </c>
      <c r="C629" t="s">
        <v>633</v>
      </c>
      <c r="D629" t="s">
        <v>57</v>
      </c>
      <c r="E629" t="s">
        <v>144</v>
      </c>
      <c r="F629" t="s">
        <v>2843</v>
      </c>
      <c r="G629" t="s">
        <v>280</v>
      </c>
      <c r="H629" t="s">
        <v>2910</v>
      </c>
      <c r="I629" t="s">
        <v>2911</v>
      </c>
      <c r="J629" t="s">
        <v>2912</v>
      </c>
      <c r="L629" t="s">
        <v>54</v>
      </c>
      <c r="M629">
        <v>2005</v>
      </c>
      <c r="N629" s="5">
        <f>ROUNDUP(Clean_Data[[#This Row],[Year_Num]]/100,0)</f>
        <v>21</v>
      </c>
      <c r="O629" s="5" t="str" cm="1">
        <f t="array" ref="O629">_xlfn.LET(_xlpm.y,Clean_Data[[#This Row],[Year_Num]],_xlfn.IFS(_xlpm.y&lt;500,"Ancient",_xlpm.y&lt;1500,"Medieval",_xlpm.y&lt;1800,"Early Modern",_xlpm.y&lt;1946,"Modern",TRUE,"Contemporary"))</f>
        <v>Contemporary</v>
      </c>
      <c r="P629" s="5" t="str">
        <f>_xlfn.XLOOKUP(Clean_Data[[#This Row],[Country]],country_region[Country],country_region[Country_Standard],"Not found")</f>
        <v>USA</v>
      </c>
      <c r="Q629" s="5" t="str">
        <f>_xlfn.XLOOKUP(Clean_Data[[#This Row],[Country]],country_region[Country],country_region[Region],"Not found")</f>
        <v>North America</v>
      </c>
      <c r="R629" s="5" t="str">
        <f>_xlfn.XLOOKUP(Clean_Data[[#This Row],[Type of Event]],event_type_category[Type of Event],event_type_category[Category],"Not found")</f>
        <v>Disasters &amp; Accidents</v>
      </c>
    </row>
    <row r="630" spans="1:18">
      <c r="A630">
        <v>671</v>
      </c>
      <c r="B630" t="s">
        <v>2913</v>
      </c>
      <c r="E630" t="s">
        <v>279</v>
      </c>
      <c r="F630" t="s">
        <v>2843</v>
      </c>
      <c r="G630" t="s">
        <v>2914</v>
      </c>
      <c r="H630" t="s">
        <v>300</v>
      </c>
      <c r="I630" t="s">
        <v>2915</v>
      </c>
      <c r="J630" t="s">
        <v>2916</v>
      </c>
      <c r="K630" t="s">
        <v>2917</v>
      </c>
      <c r="L630" t="s">
        <v>21</v>
      </c>
      <c r="M630">
        <v>2013</v>
      </c>
      <c r="N630" s="5">
        <f>ROUNDUP(Clean_Data[[#This Row],[Year_Num]]/100,0)</f>
        <v>21</v>
      </c>
      <c r="O630" s="5" t="str" cm="1">
        <f t="array" ref="O630">_xlfn.LET(_xlpm.y,Clean_Data[[#This Row],[Year_Num]],_xlfn.IFS(_xlpm.y&lt;500,"Ancient",_xlpm.y&lt;1500,"Medieval",_xlpm.y&lt;1800,"Early Modern",_xlpm.y&lt;1946,"Modern",TRUE,"Contemporary"))</f>
        <v>Contemporary</v>
      </c>
      <c r="P630" s="5" t="str">
        <f>_xlfn.XLOOKUP(Clean_Data[[#This Row],[Country]],country_region[Country],country_region[Country_Standard],"Not found")</f>
        <v>USA</v>
      </c>
      <c r="Q630" s="5" t="str">
        <f>_xlfn.XLOOKUP(Clean_Data[[#This Row],[Country]],country_region[Country],country_region[Region],"Not found")</f>
        <v>North America</v>
      </c>
      <c r="R630" s="5" t="str">
        <f>_xlfn.XLOOKUP(Clean_Data[[#This Row],[Type of Event]],event_type_category[Type of Event],event_type_category[Category],"Not found")</f>
        <v>Society &amp; Health</v>
      </c>
    </row>
    <row r="631" spans="1:18">
      <c r="A631">
        <v>672</v>
      </c>
      <c r="B631" t="s">
        <v>2918</v>
      </c>
      <c r="C631" t="s">
        <v>362</v>
      </c>
      <c r="D631" t="s">
        <v>100</v>
      </c>
      <c r="E631" t="s">
        <v>151</v>
      </c>
      <c r="F631" t="s">
        <v>2843</v>
      </c>
      <c r="G631" t="s">
        <v>2881</v>
      </c>
      <c r="H631" t="s">
        <v>1359</v>
      </c>
      <c r="I631" t="s">
        <v>2919</v>
      </c>
      <c r="J631" t="s">
        <v>2856</v>
      </c>
      <c r="K631" t="s">
        <v>2920</v>
      </c>
      <c r="L631" t="s">
        <v>21</v>
      </c>
      <c r="M631">
        <v>2012</v>
      </c>
      <c r="N631" s="5">
        <f>ROUNDUP(Clean_Data[[#This Row],[Year_Num]]/100,0)</f>
        <v>21</v>
      </c>
      <c r="O631" s="5" t="str" cm="1">
        <f t="array" ref="O631">_xlfn.LET(_xlpm.y,Clean_Data[[#This Row],[Year_Num]],_xlfn.IFS(_xlpm.y&lt;500,"Ancient",_xlpm.y&lt;1500,"Medieval",_xlpm.y&lt;1800,"Early Modern",_xlpm.y&lt;1946,"Modern",TRUE,"Contemporary"))</f>
        <v>Contemporary</v>
      </c>
      <c r="P631" s="5" t="str">
        <f>_xlfn.XLOOKUP(Clean_Data[[#This Row],[Country]],country_region[Country],country_region[Country_Standard],"Not found")</f>
        <v>USA</v>
      </c>
      <c r="Q631" s="5" t="str">
        <f>_xlfn.XLOOKUP(Clean_Data[[#This Row],[Country]],country_region[Country],country_region[Region],"Not found")</f>
        <v>North America</v>
      </c>
      <c r="R631" s="5" t="str">
        <f>_xlfn.XLOOKUP(Clean_Data[[#This Row],[Type of Event]],event_type_category[Type of Event],event_type_category[Category],"Not found")</f>
        <v>Politics &amp; Law</v>
      </c>
    </row>
    <row r="632" spans="1:18">
      <c r="A632">
        <v>673</v>
      </c>
      <c r="B632" t="s">
        <v>5018</v>
      </c>
      <c r="E632" t="s">
        <v>348</v>
      </c>
      <c r="F632" t="s">
        <v>2843</v>
      </c>
      <c r="G632" t="s">
        <v>2922</v>
      </c>
      <c r="H632" t="s">
        <v>5019</v>
      </c>
      <c r="I632" t="s">
        <v>2924</v>
      </c>
      <c r="J632" t="s">
        <v>2925</v>
      </c>
      <c r="K632" t="s">
        <v>2731</v>
      </c>
      <c r="L632" t="s">
        <v>36</v>
      </c>
      <c r="M632">
        <v>2017</v>
      </c>
      <c r="N632" s="5">
        <f>ROUNDUP(Clean_Data[[#This Row],[Year_Num]]/100,0)</f>
        <v>21</v>
      </c>
      <c r="O632" s="5" t="str" cm="1">
        <f t="array" ref="O632">_xlfn.LET(_xlpm.y,Clean_Data[[#This Row],[Year_Num]],_xlfn.IFS(_xlpm.y&lt;500,"Ancient",_xlpm.y&lt;1500,"Medieval",_xlpm.y&lt;1800,"Early Modern",_xlpm.y&lt;1946,"Modern",TRUE,"Contemporary"))</f>
        <v>Contemporary</v>
      </c>
      <c r="P632" s="5" t="str">
        <f>_xlfn.XLOOKUP(Clean_Data[[#This Row],[Country]],country_region[Country],country_region[Country_Standard],"Not found")</f>
        <v>USA</v>
      </c>
      <c r="Q632" s="5" t="str">
        <f>_xlfn.XLOOKUP(Clean_Data[[#This Row],[Country]],country_region[Country],country_region[Region],"Not found")</f>
        <v>North America</v>
      </c>
      <c r="R632" s="5" t="str">
        <f>_xlfn.XLOOKUP(Clean_Data[[#This Row],[Type of Event]],event_type_category[Type of Event],event_type_category[Category],"Not found")</f>
        <v>Economy &amp; Infrastructure</v>
      </c>
    </row>
    <row r="633" spans="1:18">
      <c r="A633">
        <v>674</v>
      </c>
      <c r="B633" t="s">
        <v>4914</v>
      </c>
      <c r="C633" t="s">
        <v>82</v>
      </c>
      <c r="D633" t="s">
        <v>100</v>
      </c>
      <c r="E633" t="s">
        <v>341</v>
      </c>
      <c r="F633" t="s">
        <v>2843</v>
      </c>
      <c r="G633" t="s">
        <v>313</v>
      </c>
      <c r="H633" t="s">
        <v>300</v>
      </c>
      <c r="I633" t="s">
        <v>5020</v>
      </c>
      <c r="J633" t="s">
        <v>2927</v>
      </c>
      <c r="K633" t="s">
        <v>2928</v>
      </c>
      <c r="L633" t="s">
        <v>21</v>
      </c>
      <c r="M633">
        <v>2015</v>
      </c>
      <c r="N633" s="5">
        <f>ROUNDUP(Clean_Data[[#This Row],[Year_Num]]/100,0)</f>
        <v>21</v>
      </c>
      <c r="O633" s="5" t="str" cm="1">
        <f t="array" ref="O633">_xlfn.LET(_xlpm.y,Clean_Data[[#This Row],[Year_Num]],_xlfn.IFS(_xlpm.y&lt;500,"Ancient",_xlpm.y&lt;1500,"Medieval",_xlpm.y&lt;1800,"Early Modern",_xlpm.y&lt;1946,"Modern",TRUE,"Contemporary"))</f>
        <v>Contemporary</v>
      </c>
      <c r="P633" s="5" t="str">
        <f>_xlfn.XLOOKUP(Clean_Data[[#This Row],[Country]],country_region[Country],country_region[Country_Standard],"Not found")</f>
        <v>USA</v>
      </c>
      <c r="Q633" s="5" t="str">
        <f>_xlfn.XLOOKUP(Clean_Data[[#This Row],[Country]],country_region[Country],country_region[Region],"Not found")</f>
        <v>North America</v>
      </c>
      <c r="R633" s="5" t="str">
        <f>_xlfn.XLOOKUP(Clean_Data[[#This Row],[Type of Event]],event_type_category[Type of Event],event_type_category[Category],"Not found")</f>
        <v>Politics &amp; Law</v>
      </c>
    </row>
    <row r="634" spans="1:18">
      <c r="A634">
        <v>675</v>
      </c>
      <c r="B634" t="s">
        <v>2929</v>
      </c>
      <c r="E634" t="s">
        <v>348</v>
      </c>
      <c r="F634" t="s">
        <v>2843</v>
      </c>
      <c r="G634" t="s">
        <v>2914</v>
      </c>
      <c r="H634" t="s">
        <v>300</v>
      </c>
      <c r="I634" t="s">
        <v>2930</v>
      </c>
      <c r="J634" t="s">
        <v>2931</v>
      </c>
      <c r="K634" t="s">
        <v>2932</v>
      </c>
      <c r="L634" t="s">
        <v>21</v>
      </c>
      <c r="M634">
        <v>2017</v>
      </c>
      <c r="N634" s="5">
        <f>ROUNDUP(Clean_Data[[#This Row],[Year_Num]]/100,0)</f>
        <v>21</v>
      </c>
      <c r="O634" s="5" t="str" cm="1">
        <f t="array" ref="O634">_xlfn.LET(_xlpm.y,Clean_Data[[#This Row],[Year_Num]],_xlfn.IFS(_xlpm.y&lt;500,"Ancient",_xlpm.y&lt;1500,"Medieval",_xlpm.y&lt;1800,"Early Modern",_xlpm.y&lt;1946,"Modern",TRUE,"Contemporary"))</f>
        <v>Contemporary</v>
      </c>
      <c r="P634" s="5" t="str">
        <f>_xlfn.XLOOKUP(Clean_Data[[#This Row],[Country]],country_region[Country],country_region[Country_Standard],"Not found")</f>
        <v>USA</v>
      </c>
      <c r="Q634" s="5" t="str">
        <f>_xlfn.XLOOKUP(Clean_Data[[#This Row],[Country]],country_region[Country],country_region[Region],"Not found")</f>
        <v>North America</v>
      </c>
      <c r="R634" s="5" t="str">
        <f>_xlfn.XLOOKUP(Clean_Data[[#This Row],[Type of Event]],event_type_category[Type of Event],event_type_category[Category],"Not found")</f>
        <v>Society &amp; Health</v>
      </c>
    </row>
    <row r="635" spans="1:18">
      <c r="A635">
        <v>676</v>
      </c>
      <c r="B635" t="s">
        <v>2933</v>
      </c>
      <c r="C635" t="s">
        <v>321</v>
      </c>
      <c r="D635" t="s">
        <v>260</v>
      </c>
      <c r="E635" t="s">
        <v>2877</v>
      </c>
      <c r="F635" t="s">
        <v>2843</v>
      </c>
      <c r="G635" t="s">
        <v>31</v>
      </c>
      <c r="H635" t="s">
        <v>1359</v>
      </c>
      <c r="I635" t="s">
        <v>2934</v>
      </c>
      <c r="J635" t="s">
        <v>2856</v>
      </c>
      <c r="K635" t="s">
        <v>2935</v>
      </c>
      <c r="L635" t="s">
        <v>54</v>
      </c>
      <c r="M635">
        <v>2021</v>
      </c>
      <c r="N635" s="5">
        <f>ROUNDUP(Clean_Data[[#This Row],[Year_Num]]/100,0)</f>
        <v>21</v>
      </c>
      <c r="O635" s="5" t="str" cm="1">
        <f t="array" ref="O635">_xlfn.LET(_xlpm.y,Clean_Data[[#This Row],[Year_Num]],_xlfn.IFS(_xlpm.y&lt;500,"Ancient",_xlpm.y&lt;1500,"Medieval",_xlpm.y&lt;1800,"Early Modern",_xlpm.y&lt;1946,"Modern",TRUE,"Contemporary"))</f>
        <v>Contemporary</v>
      </c>
      <c r="P635" s="5" t="str">
        <f>_xlfn.XLOOKUP(Clean_Data[[#This Row],[Country]],country_region[Country],country_region[Country_Standard],"Not found")</f>
        <v>USA</v>
      </c>
      <c r="Q635" s="5" t="str">
        <f>_xlfn.XLOOKUP(Clean_Data[[#This Row],[Country]],country_region[Country],country_region[Region],"Not found")</f>
        <v>North America</v>
      </c>
      <c r="R635" s="5" t="str">
        <f>_xlfn.XLOOKUP(Clean_Data[[#This Row],[Type of Event]],event_type_category[Type of Event],event_type_category[Category],"Not found")</f>
        <v>Politics &amp; Law</v>
      </c>
    </row>
    <row r="636" spans="1:18">
      <c r="A636">
        <v>677</v>
      </c>
      <c r="B636" t="s">
        <v>2936</v>
      </c>
      <c r="E636" t="s">
        <v>166</v>
      </c>
      <c r="F636" t="s">
        <v>2843</v>
      </c>
      <c r="G636" t="s">
        <v>2937</v>
      </c>
      <c r="H636" t="s">
        <v>300</v>
      </c>
      <c r="I636" t="s">
        <v>2938</v>
      </c>
      <c r="J636" t="s">
        <v>2939</v>
      </c>
      <c r="K636" t="s">
        <v>2940</v>
      </c>
      <c r="L636" t="s">
        <v>36</v>
      </c>
      <c r="M636">
        <v>2020</v>
      </c>
      <c r="N636" s="5">
        <f>ROUNDUP(Clean_Data[[#This Row],[Year_Num]]/100,0)</f>
        <v>21</v>
      </c>
      <c r="O636" s="5" t="str" cm="1">
        <f t="array" ref="O636">_xlfn.LET(_xlpm.y,Clean_Data[[#This Row],[Year_Num]],_xlfn.IFS(_xlpm.y&lt;500,"Ancient",_xlpm.y&lt;1500,"Medieval",_xlpm.y&lt;1800,"Early Modern",_xlpm.y&lt;1946,"Modern",TRUE,"Contemporary"))</f>
        <v>Contemporary</v>
      </c>
      <c r="P636" s="5" t="str">
        <f>_xlfn.XLOOKUP(Clean_Data[[#This Row],[Country]],country_region[Country],country_region[Country_Standard],"Not found")</f>
        <v>USA</v>
      </c>
      <c r="Q636" s="5" t="str">
        <f>_xlfn.XLOOKUP(Clean_Data[[#This Row],[Country]],country_region[Country],country_region[Region],"Not found")</f>
        <v>North America</v>
      </c>
      <c r="R636" s="5" t="str">
        <f>_xlfn.XLOOKUP(Clean_Data[[#This Row],[Type of Event]],event_type_category[Type of Event],event_type_category[Category],"Not found")</f>
        <v>Society &amp; Health</v>
      </c>
    </row>
    <row r="637" spans="1:18">
      <c r="A637">
        <v>678</v>
      </c>
      <c r="B637" t="s">
        <v>2941</v>
      </c>
      <c r="C637" t="s">
        <v>91</v>
      </c>
      <c r="D637" t="s">
        <v>260</v>
      </c>
      <c r="E637" t="s">
        <v>2877</v>
      </c>
      <c r="F637" t="s">
        <v>2843</v>
      </c>
      <c r="G637" t="s">
        <v>2942</v>
      </c>
      <c r="H637" t="s">
        <v>2901</v>
      </c>
      <c r="I637" t="s">
        <v>2943</v>
      </c>
      <c r="J637" t="s">
        <v>345</v>
      </c>
      <c r="K637" t="s">
        <v>2944</v>
      </c>
      <c r="L637" t="s">
        <v>21</v>
      </c>
      <c r="M637">
        <v>2021</v>
      </c>
      <c r="N637" s="5">
        <f>ROUNDUP(Clean_Data[[#This Row],[Year_Num]]/100,0)</f>
        <v>21</v>
      </c>
      <c r="O637" s="5" t="str" cm="1">
        <f t="array" ref="O637">_xlfn.LET(_xlpm.y,Clean_Data[[#This Row],[Year_Num]],_xlfn.IFS(_xlpm.y&lt;500,"Ancient",_xlpm.y&lt;1500,"Medieval",_xlpm.y&lt;1800,"Early Modern",_xlpm.y&lt;1946,"Modern",TRUE,"Contemporary"))</f>
        <v>Contemporary</v>
      </c>
      <c r="P637" s="5" t="str">
        <f>_xlfn.XLOOKUP(Clean_Data[[#This Row],[Country]],country_region[Country],country_region[Country_Standard],"Not found")</f>
        <v>USA</v>
      </c>
      <c r="Q637" s="5" t="str">
        <f>_xlfn.XLOOKUP(Clean_Data[[#This Row],[Country]],country_region[Country],country_region[Region],"Not found")</f>
        <v>North America</v>
      </c>
      <c r="R637" s="5" t="str">
        <f>_xlfn.XLOOKUP(Clean_Data[[#This Row],[Type of Event]],event_type_category[Type of Event],event_type_category[Category],"Not found")</f>
        <v>Society &amp; Health</v>
      </c>
    </row>
    <row r="638" spans="1:18">
      <c r="A638">
        <v>679</v>
      </c>
      <c r="B638" t="s">
        <v>2945</v>
      </c>
      <c r="C638" t="s">
        <v>633</v>
      </c>
      <c r="D638" t="s">
        <v>158</v>
      </c>
      <c r="E638" t="s">
        <v>151</v>
      </c>
      <c r="F638" t="s">
        <v>2843</v>
      </c>
      <c r="G638" t="s">
        <v>280</v>
      </c>
      <c r="H638" t="s">
        <v>2946</v>
      </c>
      <c r="I638" t="s">
        <v>2947</v>
      </c>
      <c r="J638" t="s">
        <v>2948</v>
      </c>
      <c r="K638" t="s">
        <v>2949</v>
      </c>
      <c r="L638" t="s">
        <v>54</v>
      </c>
      <c r="M638">
        <v>2012</v>
      </c>
      <c r="N638" s="5">
        <f>ROUNDUP(Clean_Data[[#This Row],[Year_Num]]/100,0)</f>
        <v>21</v>
      </c>
      <c r="O638" s="5" t="str" cm="1">
        <f t="array" ref="O638">_xlfn.LET(_xlpm.y,Clean_Data[[#This Row],[Year_Num]],_xlfn.IFS(_xlpm.y&lt;500,"Ancient",_xlpm.y&lt;1500,"Medieval",_xlpm.y&lt;1800,"Early Modern",_xlpm.y&lt;1946,"Modern",TRUE,"Contemporary"))</f>
        <v>Contemporary</v>
      </c>
      <c r="P638" s="5" t="str">
        <f>_xlfn.XLOOKUP(Clean_Data[[#This Row],[Country]],country_region[Country],country_region[Country_Standard],"Not found")</f>
        <v>USA</v>
      </c>
      <c r="Q638" s="5" t="str">
        <f>_xlfn.XLOOKUP(Clean_Data[[#This Row],[Country]],country_region[Country],country_region[Region],"Not found")</f>
        <v>North America</v>
      </c>
      <c r="R638" s="5" t="str">
        <f>_xlfn.XLOOKUP(Clean_Data[[#This Row],[Type of Event]],event_type_category[Type of Event],event_type_category[Category],"Not found")</f>
        <v>Disasters &amp; Accidents</v>
      </c>
    </row>
    <row r="639" spans="1:18">
      <c r="A639">
        <v>680</v>
      </c>
      <c r="B639" t="s">
        <v>2950</v>
      </c>
      <c r="E639" t="s">
        <v>623</v>
      </c>
      <c r="F639" t="s">
        <v>2843</v>
      </c>
      <c r="G639" t="s">
        <v>2951</v>
      </c>
      <c r="H639" t="s">
        <v>300</v>
      </c>
      <c r="I639" t="s">
        <v>2952</v>
      </c>
      <c r="J639" t="s">
        <v>2856</v>
      </c>
      <c r="K639" t="s">
        <v>2953</v>
      </c>
      <c r="L639" t="s">
        <v>21</v>
      </c>
      <c r="M639">
        <v>2010</v>
      </c>
      <c r="N639" s="5">
        <f>ROUNDUP(Clean_Data[[#This Row],[Year_Num]]/100,0)</f>
        <v>21</v>
      </c>
      <c r="O639" s="5" t="str" cm="1">
        <f t="array" ref="O639">_xlfn.LET(_xlpm.y,Clean_Data[[#This Row],[Year_Num]],_xlfn.IFS(_xlpm.y&lt;500,"Ancient",_xlpm.y&lt;1500,"Medieval",_xlpm.y&lt;1800,"Early Modern",_xlpm.y&lt;1946,"Modern",TRUE,"Contemporary"))</f>
        <v>Contemporary</v>
      </c>
      <c r="P639" s="5" t="str">
        <f>_xlfn.XLOOKUP(Clean_Data[[#This Row],[Country]],country_region[Country],country_region[Country_Standard],"Not found")</f>
        <v>USA</v>
      </c>
      <c r="Q639" s="5" t="str">
        <f>_xlfn.XLOOKUP(Clean_Data[[#This Row],[Country]],country_region[Country],country_region[Region],"Not found")</f>
        <v>North America</v>
      </c>
      <c r="R639" s="5" t="str">
        <f>_xlfn.XLOOKUP(Clean_Data[[#This Row],[Type of Event]],event_type_category[Type of Event],event_type_category[Category],"Not found")</f>
        <v>Society &amp; Health</v>
      </c>
    </row>
    <row r="640" spans="1:18">
      <c r="A640">
        <v>681</v>
      </c>
      <c r="B640" t="s">
        <v>2954</v>
      </c>
      <c r="C640" t="s">
        <v>362</v>
      </c>
      <c r="D640" t="s">
        <v>57</v>
      </c>
      <c r="E640" t="s">
        <v>2320</v>
      </c>
      <c r="F640" t="s">
        <v>2843</v>
      </c>
      <c r="G640" t="s">
        <v>2914</v>
      </c>
      <c r="H640" t="s">
        <v>1359</v>
      </c>
      <c r="I640" t="s">
        <v>2955</v>
      </c>
      <c r="J640" t="s">
        <v>2956</v>
      </c>
      <c r="K640" t="s">
        <v>2957</v>
      </c>
      <c r="L640" t="s">
        <v>21</v>
      </c>
      <c r="M640">
        <v>1963</v>
      </c>
      <c r="N640" s="5">
        <f>ROUNDUP(Clean_Data[[#This Row],[Year_Num]]/100,0)</f>
        <v>20</v>
      </c>
      <c r="O640" s="5" t="str" cm="1">
        <f t="array" ref="O640">_xlfn.LET(_xlpm.y,Clean_Data[[#This Row],[Year_Num]],_xlfn.IFS(_xlpm.y&lt;500,"Ancient",_xlpm.y&lt;1500,"Medieval",_xlpm.y&lt;1800,"Early Modern",_xlpm.y&lt;1946,"Modern",TRUE,"Contemporary"))</f>
        <v>Contemporary</v>
      </c>
      <c r="P640" s="5" t="str">
        <f>_xlfn.XLOOKUP(Clean_Data[[#This Row],[Country]],country_region[Country],country_region[Country_Standard],"Not found")</f>
        <v>USA</v>
      </c>
      <c r="Q640" s="5" t="str">
        <f>_xlfn.XLOOKUP(Clean_Data[[#This Row],[Country]],country_region[Country],country_region[Region],"Not found")</f>
        <v>North America</v>
      </c>
      <c r="R640" s="5" t="str">
        <f>_xlfn.XLOOKUP(Clean_Data[[#This Row],[Type of Event]],event_type_category[Type of Event],event_type_category[Category],"Not found")</f>
        <v>Society &amp; Health</v>
      </c>
    </row>
    <row r="641" spans="1:18">
      <c r="A641">
        <v>682</v>
      </c>
      <c r="B641" t="s">
        <v>2958</v>
      </c>
      <c r="C641" t="s">
        <v>325</v>
      </c>
      <c r="D641" t="s">
        <v>83</v>
      </c>
      <c r="E641" t="s">
        <v>2320</v>
      </c>
      <c r="F641" t="s">
        <v>2843</v>
      </c>
      <c r="G641" t="s">
        <v>31</v>
      </c>
      <c r="H641" t="s">
        <v>2959</v>
      </c>
      <c r="I641" t="s">
        <v>2960</v>
      </c>
      <c r="J641" t="s">
        <v>2894</v>
      </c>
      <c r="K641" t="s">
        <v>2961</v>
      </c>
      <c r="L641" t="s">
        <v>54</v>
      </c>
      <c r="M641">
        <v>1963</v>
      </c>
      <c r="N641" s="5">
        <f>ROUNDUP(Clean_Data[[#This Row],[Year_Num]]/100,0)</f>
        <v>20</v>
      </c>
      <c r="O641" s="5" t="str" cm="1">
        <f t="array" ref="O641">_xlfn.LET(_xlpm.y,Clean_Data[[#This Row],[Year_Num]],_xlfn.IFS(_xlpm.y&lt;500,"Ancient",_xlpm.y&lt;1500,"Medieval",_xlpm.y&lt;1800,"Early Modern",_xlpm.y&lt;1946,"Modern",TRUE,"Contemporary"))</f>
        <v>Contemporary</v>
      </c>
      <c r="P641" s="5" t="str">
        <f>_xlfn.XLOOKUP(Clean_Data[[#This Row],[Country]],country_region[Country],country_region[Country_Standard],"Not found")</f>
        <v>USA</v>
      </c>
      <c r="Q641" s="5" t="str">
        <f>_xlfn.XLOOKUP(Clean_Data[[#This Row],[Country]],country_region[Country],country_region[Region],"Not found")</f>
        <v>North America</v>
      </c>
      <c r="R641" s="5" t="str">
        <f>_xlfn.XLOOKUP(Clean_Data[[#This Row],[Type of Event]],event_type_category[Type of Event],event_type_category[Category],"Not found")</f>
        <v>Politics &amp; Law</v>
      </c>
    </row>
    <row r="642" spans="1:18">
      <c r="A642">
        <v>683</v>
      </c>
      <c r="B642" t="s">
        <v>2962</v>
      </c>
      <c r="C642" t="s">
        <v>362</v>
      </c>
      <c r="D642" t="s">
        <v>100</v>
      </c>
      <c r="E642" t="s">
        <v>449</v>
      </c>
      <c r="F642" t="s">
        <v>2843</v>
      </c>
      <c r="G642" t="s">
        <v>2914</v>
      </c>
      <c r="H642" t="s">
        <v>2963</v>
      </c>
      <c r="I642" t="s">
        <v>2964</v>
      </c>
      <c r="J642" t="s">
        <v>323</v>
      </c>
      <c r="K642" t="s">
        <v>2965</v>
      </c>
      <c r="L642" t="s">
        <v>21</v>
      </c>
      <c r="M642">
        <v>1969</v>
      </c>
      <c r="N642" s="5">
        <f>ROUNDUP(Clean_Data[[#This Row],[Year_Num]]/100,0)</f>
        <v>20</v>
      </c>
      <c r="O642" s="5" t="str" cm="1">
        <f t="array" ref="O642">_xlfn.LET(_xlpm.y,Clean_Data[[#This Row],[Year_Num]],_xlfn.IFS(_xlpm.y&lt;500,"Ancient",_xlpm.y&lt;1500,"Medieval",_xlpm.y&lt;1800,"Early Modern",_xlpm.y&lt;1946,"Modern",TRUE,"Contemporary"))</f>
        <v>Contemporary</v>
      </c>
      <c r="P642" s="5" t="str">
        <f>_xlfn.XLOOKUP(Clean_Data[[#This Row],[Country]],country_region[Country],country_region[Country_Standard],"Not found")</f>
        <v>USA</v>
      </c>
      <c r="Q642" s="5" t="str">
        <f>_xlfn.XLOOKUP(Clean_Data[[#This Row],[Country]],country_region[Country],country_region[Region],"Not found")</f>
        <v>North America</v>
      </c>
      <c r="R642" s="5" t="str">
        <f>_xlfn.XLOOKUP(Clean_Data[[#This Row],[Type of Event]],event_type_category[Type of Event],event_type_category[Category],"Not found")</f>
        <v>Society &amp; Health</v>
      </c>
    </row>
    <row r="643" spans="1:18">
      <c r="A643">
        <v>684</v>
      </c>
      <c r="B643" t="s">
        <v>2966</v>
      </c>
      <c r="C643" t="s">
        <v>325</v>
      </c>
      <c r="D643" t="s">
        <v>260</v>
      </c>
      <c r="E643" t="s">
        <v>1396</v>
      </c>
      <c r="F643" t="s">
        <v>2843</v>
      </c>
      <c r="G643" t="s">
        <v>2881</v>
      </c>
      <c r="H643" t="s">
        <v>1359</v>
      </c>
      <c r="I643" t="s">
        <v>2967</v>
      </c>
      <c r="J643" t="s">
        <v>2968</v>
      </c>
      <c r="K643" t="s">
        <v>2920</v>
      </c>
      <c r="L643" t="s">
        <v>21</v>
      </c>
      <c r="M643">
        <v>1973</v>
      </c>
      <c r="N643" s="5">
        <f>ROUNDUP(Clean_Data[[#This Row],[Year_Num]]/100,0)</f>
        <v>20</v>
      </c>
      <c r="O643" s="5" t="str" cm="1">
        <f t="array" ref="O643">_xlfn.LET(_xlpm.y,Clean_Data[[#This Row],[Year_Num]],_xlfn.IFS(_xlpm.y&lt;500,"Ancient",_xlpm.y&lt;1500,"Medieval",_xlpm.y&lt;1800,"Early Modern",_xlpm.y&lt;1946,"Modern",TRUE,"Contemporary"))</f>
        <v>Contemporary</v>
      </c>
      <c r="P643" s="5" t="str">
        <f>_xlfn.XLOOKUP(Clean_Data[[#This Row],[Country]],country_region[Country],country_region[Country_Standard],"Not found")</f>
        <v>USA</v>
      </c>
      <c r="Q643" s="5" t="str">
        <f>_xlfn.XLOOKUP(Clean_Data[[#This Row],[Country]],country_region[Country],country_region[Region],"Not found")</f>
        <v>North America</v>
      </c>
      <c r="R643" s="5" t="str">
        <f>_xlfn.XLOOKUP(Clean_Data[[#This Row],[Type of Event]],event_type_category[Type of Event],event_type_category[Category],"Not found")</f>
        <v>Politics &amp; Law</v>
      </c>
    </row>
    <row r="644" spans="1:18">
      <c r="A644">
        <v>685</v>
      </c>
      <c r="B644" t="s">
        <v>5021</v>
      </c>
      <c r="E644" t="s">
        <v>627</v>
      </c>
      <c r="F644" t="s">
        <v>2843</v>
      </c>
      <c r="G644" t="s">
        <v>1463</v>
      </c>
      <c r="H644" t="s">
        <v>2970</v>
      </c>
      <c r="I644" t="s">
        <v>2971</v>
      </c>
      <c r="J644" t="s">
        <v>2972</v>
      </c>
      <c r="K644" t="s">
        <v>2973</v>
      </c>
      <c r="L644" t="s">
        <v>36</v>
      </c>
      <c r="M644">
        <v>1990</v>
      </c>
      <c r="N644" s="5">
        <f>ROUNDUP(Clean_Data[[#This Row],[Year_Num]]/100,0)</f>
        <v>20</v>
      </c>
      <c r="O644" s="5" t="str" cm="1">
        <f t="array" ref="O644">_xlfn.LET(_xlpm.y,Clean_Data[[#This Row],[Year_Num]],_xlfn.IFS(_xlpm.y&lt;500,"Ancient",_xlpm.y&lt;1500,"Medieval",_xlpm.y&lt;1800,"Early Modern",_xlpm.y&lt;1946,"Modern",TRUE,"Contemporary"))</f>
        <v>Contemporary</v>
      </c>
      <c r="P644" s="5" t="str">
        <f>_xlfn.XLOOKUP(Clean_Data[[#This Row],[Country]],country_region[Country],country_region[Country_Standard],"Not found")</f>
        <v>USA</v>
      </c>
      <c r="Q644" s="5" t="str">
        <f>_xlfn.XLOOKUP(Clean_Data[[#This Row],[Country]],country_region[Country],country_region[Region],"Not found")</f>
        <v>North America</v>
      </c>
      <c r="R644" s="5" t="str">
        <f>_xlfn.XLOOKUP(Clean_Data[[#This Row],[Type of Event]],event_type_category[Type of Event],event_type_category[Category],"Not found")</f>
        <v>Economy &amp; Infrastructure</v>
      </c>
    </row>
    <row r="645" spans="1:18">
      <c r="A645">
        <v>686</v>
      </c>
      <c r="B645" t="s">
        <v>2974</v>
      </c>
      <c r="C645" t="s">
        <v>82</v>
      </c>
      <c r="D645" t="s">
        <v>158</v>
      </c>
      <c r="E645" t="s">
        <v>225</v>
      </c>
      <c r="F645" t="s">
        <v>2843</v>
      </c>
      <c r="G645" t="s">
        <v>2859</v>
      </c>
      <c r="H645" t="s">
        <v>300</v>
      </c>
      <c r="I645" t="s">
        <v>5022</v>
      </c>
      <c r="J645" t="s">
        <v>2856</v>
      </c>
      <c r="K645" t="s">
        <v>2976</v>
      </c>
      <c r="L645" t="s">
        <v>36</v>
      </c>
      <c r="M645">
        <v>2001</v>
      </c>
      <c r="N645" s="5">
        <f>ROUNDUP(Clean_Data[[#This Row],[Year_Num]]/100,0)</f>
        <v>21</v>
      </c>
      <c r="O645" s="5" t="str" cm="1">
        <f t="array" ref="O645">_xlfn.LET(_xlpm.y,Clean_Data[[#This Row],[Year_Num]],_xlfn.IFS(_xlpm.y&lt;500,"Ancient",_xlpm.y&lt;1500,"Medieval",_xlpm.y&lt;1800,"Early Modern",_xlpm.y&lt;1946,"Modern",TRUE,"Contemporary"))</f>
        <v>Contemporary</v>
      </c>
      <c r="P645" s="5" t="str">
        <f>_xlfn.XLOOKUP(Clean_Data[[#This Row],[Country]],country_region[Country],country_region[Country_Standard],"Not found")</f>
        <v>USA</v>
      </c>
      <c r="Q645" s="5" t="str">
        <f>_xlfn.XLOOKUP(Clean_Data[[#This Row],[Country]],country_region[Country],country_region[Region],"Not found")</f>
        <v>North America</v>
      </c>
      <c r="R645" s="5" t="str">
        <f>_xlfn.XLOOKUP(Clean_Data[[#This Row],[Type of Event]],event_type_category[Type of Event],event_type_category[Category],"Not found")</f>
        <v>Politics &amp; Law</v>
      </c>
    </row>
    <row r="646" spans="1:18">
      <c r="A646">
        <v>687</v>
      </c>
      <c r="B646" t="s">
        <v>2977</v>
      </c>
      <c r="E646" t="s">
        <v>84</v>
      </c>
      <c r="F646" t="s">
        <v>2843</v>
      </c>
      <c r="G646" t="s">
        <v>1463</v>
      </c>
      <c r="H646" t="s">
        <v>300</v>
      </c>
      <c r="I646" t="s">
        <v>2978</v>
      </c>
      <c r="J646" t="s">
        <v>2979</v>
      </c>
      <c r="K646" t="s">
        <v>2980</v>
      </c>
      <c r="L646" t="s">
        <v>54</v>
      </c>
      <c r="M646">
        <v>2008</v>
      </c>
      <c r="N646" s="5">
        <f>ROUNDUP(Clean_Data[[#This Row],[Year_Num]]/100,0)</f>
        <v>21</v>
      </c>
      <c r="O646" s="5" t="str" cm="1">
        <f t="array" ref="O646">_xlfn.LET(_xlpm.y,Clean_Data[[#This Row],[Year_Num]],_xlfn.IFS(_xlpm.y&lt;500,"Ancient",_xlpm.y&lt;1500,"Medieval",_xlpm.y&lt;1800,"Early Modern",_xlpm.y&lt;1946,"Modern",TRUE,"Contemporary"))</f>
        <v>Contemporary</v>
      </c>
      <c r="P646" s="5" t="str">
        <f>_xlfn.XLOOKUP(Clean_Data[[#This Row],[Country]],country_region[Country],country_region[Country_Standard],"Not found")</f>
        <v>USA</v>
      </c>
      <c r="Q646" s="5" t="str">
        <f>_xlfn.XLOOKUP(Clean_Data[[#This Row],[Country]],country_region[Country],country_region[Region],"Not found")</f>
        <v>North America</v>
      </c>
      <c r="R646" s="5" t="str">
        <f>_xlfn.XLOOKUP(Clean_Data[[#This Row],[Type of Event]],event_type_category[Type of Event],event_type_category[Category],"Not found")</f>
        <v>Economy &amp; Infrastructure</v>
      </c>
    </row>
    <row r="647" spans="1:18">
      <c r="A647">
        <v>688</v>
      </c>
      <c r="B647" t="s">
        <v>2981</v>
      </c>
      <c r="C647" t="s">
        <v>353</v>
      </c>
      <c r="D647" t="s">
        <v>57</v>
      </c>
      <c r="E647" t="s">
        <v>348</v>
      </c>
      <c r="F647" t="s">
        <v>2843</v>
      </c>
      <c r="G647" t="s">
        <v>1768</v>
      </c>
      <c r="H647" t="s">
        <v>2982</v>
      </c>
      <c r="I647" t="s">
        <v>2983</v>
      </c>
      <c r="J647" t="s">
        <v>2984</v>
      </c>
      <c r="K647" t="s">
        <v>2985</v>
      </c>
      <c r="L647" t="s">
        <v>54</v>
      </c>
      <c r="M647">
        <v>2017</v>
      </c>
      <c r="N647" s="5">
        <f>ROUNDUP(Clean_Data[[#This Row],[Year_Num]]/100,0)</f>
        <v>21</v>
      </c>
      <c r="O647" s="5" t="str" cm="1">
        <f t="array" ref="O647">_xlfn.LET(_xlpm.y,Clean_Data[[#This Row],[Year_Num]],_xlfn.IFS(_xlpm.y&lt;500,"Ancient",_xlpm.y&lt;1500,"Medieval",_xlpm.y&lt;1800,"Early Modern",_xlpm.y&lt;1946,"Modern",TRUE,"Contemporary"))</f>
        <v>Contemporary</v>
      </c>
      <c r="P647" s="5" t="str">
        <f>_xlfn.XLOOKUP(Clean_Data[[#This Row],[Country]],country_region[Country],country_region[Country_Standard],"Not found")</f>
        <v>USA</v>
      </c>
      <c r="Q647" s="5" t="str">
        <f>_xlfn.XLOOKUP(Clean_Data[[#This Row],[Country]],country_region[Country],country_region[Region],"Not found")</f>
        <v>North America</v>
      </c>
      <c r="R647" s="5" t="str">
        <f>_xlfn.XLOOKUP(Clean_Data[[#This Row],[Type of Event]],event_type_category[Type of Event],event_type_category[Category],"Not found")</f>
        <v>Society &amp; Health</v>
      </c>
    </row>
    <row r="648" spans="1:18">
      <c r="A648">
        <v>689</v>
      </c>
      <c r="B648" t="s">
        <v>2986</v>
      </c>
      <c r="C648" t="s">
        <v>321</v>
      </c>
      <c r="D648" t="s">
        <v>66</v>
      </c>
      <c r="E648" t="s">
        <v>348</v>
      </c>
      <c r="F648" t="s">
        <v>2843</v>
      </c>
      <c r="G648" t="s">
        <v>2987</v>
      </c>
      <c r="H648" t="s">
        <v>2901</v>
      </c>
      <c r="I648" t="s">
        <v>2988</v>
      </c>
      <c r="J648" t="s">
        <v>79</v>
      </c>
      <c r="K648" t="s">
        <v>2989</v>
      </c>
      <c r="L648" t="s">
        <v>36</v>
      </c>
      <c r="M648">
        <v>2017</v>
      </c>
      <c r="N648" s="5">
        <f>ROUNDUP(Clean_Data[[#This Row],[Year_Num]]/100,0)</f>
        <v>21</v>
      </c>
      <c r="O648" s="5" t="str" cm="1">
        <f t="array" ref="O648">_xlfn.LET(_xlpm.y,Clean_Data[[#This Row],[Year_Num]],_xlfn.IFS(_xlpm.y&lt;500,"Ancient",_xlpm.y&lt;1500,"Medieval",_xlpm.y&lt;1800,"Early Modern",_xlpm.y&lt;1946,"Modern",TRUE,"Contemporary"))</f>
        <v>Contemporary</v>
      </c>
      <c r="P648" s="5" t="str">
        <f>_xlfn.XLOOKUP(Clean_Data[[#This Row],[Country]],country_region[Country],country_region[Country_Standard],"Not found")</f>
        <v>USA</v>
      </c>
      <c r="Q648" s="5" t="str">
        <f>_xlfn.XLOOKUP(Clean_Data[[#This Row],[Country]],country_region[Country],country_region[Region],"Not found")</f>
        <v>North America</v>
      </c>
      <c r="R648" s="5" t="str">
        <f>_xlfn.XLOOKUP(Clean_Data[[#This Row],[Type of Event]],event_type_category[Type of Event],event_type_category[Category],"Not found")</f>
        <v>Diplomacy &amp; International Relations</v>
      </c>
    </row>
    <row r="649" spans="1:18">
      <c r="A649">
        <v>690</v>
      </c>
      <c r="B649" t="s">
        <v>2990</v>
      </c>
      <c r="C649" t="s">
        <v>321</v>
      </c>
      <c r="D649" t="s">
        <v>260</v>
      </c>
      <c r="E649" t="s">
        <v>2877</v>
      </c>
      <c r="F649" t="s">
        <v>2843</v>
      </c>
      <c r="G649" t="s">
        <v>2905</v>
      </c>
      <c r="H649" t="s">
        <v>1359</v>
      </c>
      <c r="I649" t="s">
        <v>2991</v>
      </c>
      <c r="J649" t="s">
        <v>2894</v>
      </c>
      <c r="K649" t="s">
        <v>5023</v>
      </c>
      <c r="L649" t="s">
        <v>54</v>
      </c>
      <c r="M649">
        <v>2021</v>
      </c>
      <c r="N649" s="5">
        <f>ROUNDUP(Clean_Data[[#This Row],[Year_Num]]/100,0)</f>
        <v>21</v>
      </c>
      <c r="O649" s="5" t="str" cm="1">
        <f t="array" ref="O649">_xlfn.LET(_xlpm.y,Clean_Data[[#This Row],[Year_Num]],_xlfn.IFS(_xlpm.y&lt;500,"Ancient",_xlpm.y&lt;1500,"Medieval",_xlpm.y&lt;1800,"Early Modern",_xlpm.y&lt;1946,"Modern",TRUE,"Contemporary"))</f>
        <v>Contemporary</v>
      </c>
      <c r="P649" s="5" t="str">
        <f>_xlfn.XLOOKUP(Clean_Data[[#This Row],[Country]],country_region[Country],country_region[Country_Standard],"Not found")</f>
        <v>USA</v>
      </c>
      <c r="Q649" s="5" t="str">
        <f>_xlfn.XLOOKUP(Clean_Data[[#This Row],[Country]],country_region[Country],country_region[Region],"Not found")</f>
        <v>North America</v>
      </c>
      <c r="R649" s="5" t="str">
        <f>_xlfn.XLOOKUP(Clean_Data[[#This Row],[Type of Event]],event_type_category[Type of Event],event_type_category[Category],"Not found")</f>
        <v>War &amp; Conflict</v>
      </c>
    </row>
    <row r="650" spans="1:18">
      <c r="A650">
        <v>691</v>
      </c>
      <c r="B650" t="s">
        <v>2993</v>
      </c>
      <c r="C650" t="s">
        <v>246</v>
      </c>
      <c r="D650" t="s">
        <v>57</v>
      </c>
      <c r="E650" t="s">
        <v>2877</v>
      </c>
      <c r="F650" t="s">
        <v>2843</v>
      </c>
      <c r="G650" t="s">
        <v>356</v>
      </c>
      <c r="H650" t="s">
        <v>1171</v>
      </c>
      <c r="I650" t="s">
        <v>2994</v>
      </c>
      <c r="J650" t="s">
        <v>2995</v>
      </c>
      <c r="K650" t="s">
        <v>2996</v>
      </c>
      <c r="L650" t="s">
        <v>54</v>
      </c>
      <c r="M650">
        <v>2021</v>
      </c>
      <c r="N650" s="5">
        <f>ROUNDUP(Clean_Data[[#This Row],[Year_Num]]/100,0)</f>
        <v>21</v>
      </c>
      <c r="O650" s="5" t="str" cm="1">
        <f t="array" ref="O650">_xlfn.LET(_xlpm.y,Clean_Data[[#This Row],[Year_Num]],_xlfn.IFS(_xlpm.y&lt;500,"Ancient",_xlpm.y&lt;1500,"Medieval",_xlpm.y&lt;1800,"Early Modern",_xlpm.y&lt;1946,"Modern",TRUE,"Contemporary"))</f>
        <v>Contemporary</v>
      </c>
      <c r="P650" s="5" t="str">
        <f>_xlfn.XLOOKUP(Clean_Data[[#This Row],[Country]],country_region[Country],country_region[Country_Standard],"Not found")</f>
        <v>USA</v>
      </c>
      <c r="Q650" s="5" t="str">
        <f>_xlfn.XLOOKUP(Clean_Data[[#This Row],[Country]],country_region[Country],country_region[Region],"Not found")</f>
        <v>North America</v>
      </c>
      <c r="R650" s="5" t="str">
        <f>_xlfn.XLOOKUP(Clean_Data[[#This Row],[Type of Event]],event_type_category[Type of Event],event_type_category[Category],"Not found")</f>
        <v>War &amp; Conflict</v>
      </c>
    </row>
    <row r="651" spans="1:18">
      <c r="A651">
        <v>692</v>
      </c>
      <c r="B651" t="s">
        <v>2997</v>
      </c>
      <c r="C651" t="s">
        <v>91</v>
      </c>
      <c r="D651" t="s">
        <v>260</v>
      </c>
      <c r="E651" t="s">
        <v>2877</v>
      </c>
      <c r="F651" t="s">
        <v>2843</v>
      </c>
      <c r="G651" t="s">
        <v>31</v>
      </c>
      <c r="H651" t="s">
        <v>300</v>
      </c>
      <c r="I651" t="s">
        <v>2998</v>
      </c>
      <c r="J651" t="s">
        <v>2856</v>
      </c>
      <c r="K651" t="s">
        <v>2999</v>
      </c>
      <c r="L651" t="s">
        <v>21</v>
      </c>
      <c r="M651">
        <v>2021</v>
      </c>
      <c r="N651" s="5">
        <f>ROUNDUP(Clean_Data[[#This Row],[Year_Num]]/100,0)</f>
        <v>21</v>
      </c>
      <c r="O651" s="5" t="str" cm="1">
        <f t="array" ref="O651">_xlfn.LET(_xlpm.y,Clean_Data[[#This Row],[Year_Num]],_xlfn.IFS(_xlpm.y&lt;500,"Ancient",_xlpm.y&lt;1500,"Medieval",_xlpm.y&lt;1800,"Early Modern",_xlpm.y&lt;1946,"Modern",TRUE,"Contemporary"))</f>
        <v>Contemporary</v>
      </c>
      <c r="P651" s="5" t="str">
        <f>_xlfn.XLOOKUP(Clean_Data[[#This Row],[Country]],country_region[Country],country_region[Country_Standard],"Not found")</f>
        <v>USA</v>
      </c>
      <c r="Q651" s="5" t="str">
        <f>_xlfn.XLOOKUP(Clean_Data[[#This Row],[Country]],country_region[Country],country_region[Region],"Not found")</f>
        <v>North America</v>
      </c>
      <c r="R651" s="5" t="str">
        <f>_xlfn.XLOOKUP(Clean_Data[[#This Row],[Type of Event]],event_type_category[Type of Event],event_type_category[Category],"Not found")</f>
        <v>Politics &amp; Law</v>
      </c>
    </row>
    <row r="652" spans="1:18">
      <c r="A652">
        <v>693</v>
      </c>
      <c r="B652" t="s">
        <v>3000</v>
      </c>
      <c r="C652" t="s">
        <v>218</v>
      </c>
      <c r="D652" t="s">
        <v>100</v>
      </c>
      <c r="E652" t="s">
        <v>159</v>
      </c>
      <c r="F652" t="s">
        <v>2843</v>
      </c>
      <c r="G652" t="s">
        <v>2881</v>
      </c>
      <c r="H652" t="s">
        <v>300</v>
      </c>
      <c r="I652" t="s">
        <v>3001</v>
      </c>
      <c r="J652" t="s">
        <v>2968</v>
      </c>
      <c r="K652" t="s">
        <v>3002</v>
      </c>
      <c r="L652" t="s">
        <v>54</v>
      </c>
      <c r="M652">
        <v>2022</v>
      </c>
      <c r="N652" s="5">
        <f>ROUNDUP(Clean_Data[[#This Row],[Year_Num]]/100,0)</f>
        <v>21</v>
      </c>
      <c r="O652" s="5" t="str" cm="1">
        <f t="array" ref="O652">_xlfn.LET(_xlpm.y,Clean_Data[[#This Row],[Year_Num]],_xlfn.IFS(_xlpm.y&lt;500,"Ancient",_xlpm.y&lt;1500,"Medieval",_xlpm.y&lt;1800,"Early Modern",_xlpm.y&lt;1946,"Modern",TRUE,"Contemporary"))</f>
        <v>Contemporary</v>
      </c>
      <c r="P652" s="5" t="str">
        <f>_xlfn.XLOOKUP(Clean_Data[[#This Row],[Country]],country_region[Country],country_region[Country_Standard],"Not found")</f>
        <v>USA</v>
      </c>
      <c r="Q652" s="5" t="str">
        <f>_xlfn.XLOOKUP(Clean_Data[[#This Row],[Country]],country_region[Country],country_region[Region],"Not found")</f>
        <v>North America</v>
      </c>
      <c r="R652" s="5" t="str">
        <f>_xlfn.XLOOKUP(Clean_Data[[#This Row],[Type of Event]],event_type_category[Type of Event],event_type_category[Category],"Not found")</f>
        <v>Politics &amp; Law</v>
      </c>
    </row>
    <row r="653" spans="1:18">
      <c r="A653">
        <v>694</v>
      </c>
      <c r="B653" t="s">
        <v>3003</v>
      </c>
      <c r="C653" t="s">
        <v>200</v>
      </c>
      <c r="D653" t="s">
        <v>66</v>
      </c>
      <c r="E653" t="s">
        <v>2877</v>
      </c>
      <c r="F653" t="s">
        <v>2843</v>
      </c>
      <c r="G653" t="s">
        <v>288</v>
      </c>
      <c r="H653" t="s">
        <v>2041</v>
      </c>
      <c r="I653" t="s">
        <v>3004</v>
      </c>
      <c r="J653" t="s">
        <v>345</v>
      </c>
      <c r="K653" t="s">
        <v>3005</v>
      </c>
      <c r="L653" t="s">
        <v>21</v>
      </c>
      <c r="M653">
        <v>2021</v>
      </c>
      <c r="N653" s="5">
        <f>ROUNDUP(Clean_Data[[#This Row],[Year_Num]]/100,0)</f>
        <v>21</v>
      </c>
      <c r="O653" s="5" t="str" cm="1">
        <f t="array" ref="O653">_xlfn.LET(_xlpm.y,Clean_Data[[#This Row],[Year_Num]],_xlfn.IFS(_xlpm.y&lt;500,"Ancient",_xlpm.y&lt;1500,"Medieval",_xlpm.y&lt;1800,"Early Modern",_xlpm.y&lt;1946,"Modern",TRUE,"Contemporary"))</f>
        <v>Contemporary</v>
      </c>
      <c r="P653" s="5" t="str">
        <f>_xlfn.XLOOKUP(Clean_Data[[#This Row],[Country]],country_region[Country],country_region[Country_Standard],"Not found")</f>
        <v>USA</v>
      </c>
      <c r="Q653" s="5" t="str">
        <f>_xlfn.XLOOKUP(Clean_Data[[#This Row],[Country]],country_region[Country],country_region[Region],"Not found")</f>
        <v>North America</v>
      </c>
      <c r="R653" s="5" t="str">
        <f>_xlfn.XLOOKUP(Clean_Data[[#This Row],[Type of Event]],event_type_category[Type of Event],event_type_category[Category],"Not found")</f>
        <v>Science, Technology &amp; Exploration</v>
      </c>
    </row>
    <row r="654" spans="1:18">
      <c r="A654">
        <v>695</v>
      </c>
      <c r="B654" t="s">
        <v>3006</v>
      </c>
      <c r="C654" t="s">
        <v>150</v>
      </c>
      <c r="D654" t="s">
        <v>66</v>
      </c>
      <c r="E654" t="s">
        <v>3007</v>
      </c>
      <c r="F654" t="s">
        <v>2843</v>
      </c>
      <c r="G654" t="s">
        <v>3008</v>
      </c>
      <c r="H654" t="s">
        <v>3009</v>
      </c>
      <c r="I654" t="s">
        <v>3010</v>
      </c>
      <c r="J654" t="s">
        <v>3011</v>
      </c>
      <c r="K654" t="s">
        <v>3012</v>
      </c>
      <c r="L654" t="s">
        <v>21</v>
      </c>
      <c r="M654">
        <v>1773</v>
      </c>
      <c r="N654" s="5">
        <f>ROUNDUP(Clean_Data[[#This Row],[Year_Num]]/100,0)</f>
        <v>18</v>
      </c>
      <c r="O654" s="5" t="str" cm="1">
        <f t="array" ref="O654">_xlfn.LET(_xlpm.y,Clean_Data[[#This Row],[Year_Num]],_xlfn.IFS(_xlpm.y&lt;500,"Ancient",_xlpm.y&lt;1500,"Medieval",_xlpm.y&lt;1800,"Early Modern",_xlpm.y&lt;1946,"Modern",TRUE,"Contemporary"))</f>
        <v>Early Modern</v>
      </c>
      <c r="P654" s="5" t="str">
        <f>_xlfn.XLOOKUP(Clean_Data[[#This Row],[Country]],country_region[Country],country_region[Country_Standard],"Not found")</f>
        <v>USA</v>
      </c>
      <c r="Q654" s="5" t="str">
        <f>_xlfn.XLOOKUP(Clean_Data[[#This Row],[Country]],country_region[Country],country_region[Region],"Not found")</f>
        <v>North America</v>
      </c>
      <c r="R654" s="5" t="str">
        <f>_xlfn.XLOOKUP(Clean_Data[[#This Row],[Type of Event]],event_type_category[Type of Event],event_type_category[Category],"Not found")</f>
        <v>Society &amp; Health</v>
      </c>
    </row>
    <row r="655" spans="1:18">
      <c r="A655">
        <v>696</v>
      </c>
      <c r="B655" t="s">
        <v>3013</v>
      </c>
      <c r="D655" t="s">
        <v>47</v>
      </c>
      <c r="E655" t="s">
        <v>3014</v>
      </c>
      <c r="F655" t="s">
        <v>2843</v>
      </c>
      <c r="G655" t="s">
        <v>93</v>
      </c>
      <c r="H655" t="s">
        <v>3015</v>
      </c>
      <c r="I655" t="s">
        <v>3016</v>
      </c>
      <c r="J655" t="s">
        <v>3017</v>
      </c>
      <c r="K655" t="s">
        <v>3018</v>
      </c>
      <c r="L655" t="s">
        <v>21</v>
      </c>
      <c r="M655">
        <v>1804</v>
      </c>
      <c r="N655" s="5">
        <f>ROUNDUP(Clean_Data[[#This Row],[Year_Num]]/100,0)</f>
        <v>19</v>
      </c>
      <c r="O655" s="5" t="str" cm="1">
        <f t="array" ref="O655">_xlfn.LET(_xlpm.y,Clean_Data[[#This Row],[Year_Num]],_xlfn.IFS(_xlpm.y&lt;500,"Ancient",_xlpm.y&lt;1500,"Medieval",_xlpm.y&lt;1800,"Early Modern",_xlpm.y&lt;1946,"Modern",TRUE,"Contemporary"))</f>
        <v>Modern</v>
      </c>
      <c r="P655" s="5" t="str">
        <f>_xlfn.XLOOKUP(Clean_Data[[#This Row],[Country]],country_region[Country],country_region[Country_Standard],"Not found")</f>
        <v>USA</v>
      </c>
      <c r="Q655" s="5" t="str">
        <f>_xlfn.XLOOKUP(Clean_Data[[#This Row],[Country]],country_region[Country],country_region[Region],"Not found")</f>
        <v>North America</v>
      </c>
      <c r="R655" s="5" t="str">
        <f>_xlfn.XLOOKUP(Clean_Data[[#This Row],[Type of Event]],event_type_category[Type of Event],event_type_category[Category],"Not found")</f>
        <v>Science, Technology &amp; Exploration</v>
      </c>
    </row>
    <row r="656" spans="1:18">
      <c r="A656">
        <v>697</v>
      </c>
      <c r="B656" t="s">
        <v>3019</v>
      </c>
      <c r="D656" t="s">
        <v>260</v>
      </c>
      <c r="E656" t="s">
        <v>3020</v>
      </c>
      <c r="F656" t="s">
        <v>2843</v>
      </c>
      <c r="G656" t="s">
        <v>1463</v>
      </c>
      <c r="H656" t="s">
        <v>3021</v>
      </c>
      <c r="I656" t="s">
        <v>3022</v>
      </c>
      <c r="J656" t="s">
        <v>3023</v>
      </c>
      <c r="K656" t="s">
        <v>3024</v>
      </c>
      <c r="L656" t="s">
        <v>21</v>
      </c>
      <c r="M656">
        <v>1848</v>
      </c>
      <c r="N656" s="5">
        <f>ROUNDUP(Clean_Data[[#This Row],[Year_Num]]/100,0)</f>
        <v>19</v>
      </c>
      <c r="O656" s="5" t="str" cm="1">
        <f t="array" ref="O656">_xlfn.LET(_xlpm.y,Clean_Data[[#This Row],[Year_Num]],_xlfn.IFS(_xlpm.y&lt;500,"Ancient",_xlpm.y&lt;1500,"Medieval",_xlpm.y&lt;1800,"Early Modern",_xlpm.y&lt;1946,"Modern",TRUE,"Contemporary"))</f>
        <v>Modern</v>
      </c>
      <c r="P656" s="5" t="str">
        <f>_xlfn.XLOOKUP(Clean_Data[[#This Row],[Country]],country_region[Country],country_region[Country_Standard],"Not found")</f>
        <v>USA</v>
      </c>
      <c r="Q656" s="5" t="str">
        <f>_xlfn.XLOOKUP(Clean_Data[[#This Row],[Country]],country_region[Country],country_region[Region],"Not found")</f>
        <v>North America</v>
      </c>
      <c r="R656" s="5" t="str">
        <f>_xlfn.XLOOKUP(Clean_Data[[#This Row],[Type of Event]],event_type_category[Type of Event],event_type_category[Category],"Not found")</f>
        <v>Economy &amp; Infrastructure</v>
      </c>
    </row>
    <row r="657" spans="1:18">
      <c r="A657">
        <v>698</v>
      </c>
      <c r="B657" t="s">
        <v>3025</v>
      </c>
      <c r="C657" t="s">
        <v>580</v>
      </c>
      <c r="D657" t="s">
        <v>211</v>
      </c>
      <c r="E657" t="s">
        <v>3020</v>
      </c>
      <c r="F657" t="s">
        <v>2843</v>
      </c>
      <c r="G657" t="s">
        <v>2914</v>
      </c>
      <c r="H657" t="s">
        <v>3026</v>
      </c>
      <c r="I657" t="s">
        <v>3027</v>
      </c>
      <c r="J657" t="s">
        <v>3028</v>
      </c>
      <c r="K657" t="s">
        <v>3029</v>
      </c>
      <c r="L657" t="s">
        <v>21</v>
      </c>
      <c r="M657">
        <v>1848</v>
      </c>
      <c r="N657" s="5">
        <f>ROUNDUP(Clean_Data[[#This Row],[Year_Num]]/100,0)</f>
        <v>19</v>
      </c>
      <c r="O657" s="5" t="str" cm="1">
        <f t="array" ref="O657">_xlfn.LET(_xlpm.y,Clean_Data[[#This Row],[Year_Num]],_xlfn.IFS(_xlpm.y&lt;500,"Ancient",_xlpm.y&lt;1500,"Medieval",_xlpm.y&lt;1800,"Early Modern",_xlpm.y&lt;1946,"Modern",TRUE,"Contemporary"))</f>
        <v>Modern</v>
      </c>
      <c r="P657" s="5" t="str">
        <f>_xlfn.XLOOKUP(Clean_Data[[#This Row],[Country]],country_region[Country],country_region[Country_Standard],"Not found")</f>
        <v>USA</v>
      </c>
      <c r="Q657" s="5" t="str">
        <f>_xlfn.XLOOKUP(Clean_Data[[#This Row],[Country]],country_region[Country],country_region[Region],"Not found")</f>
        <v>North America</v>
      </c>
      <c r="R657" s="5" t="str">
        <f>_xlfn.XLOOKUP(Clean_Data[[#This Row],[Type of Event]],event_type_category[Type of Event],event_type_category[Category],"Not found")</f>
        <v>Society &amp; Health</v>
      </c>
    </row>
    <row r="658" spans="1:18">
      <c r="A658">
        <v>699</v>
      </c>
      <c r="B658" t="s">
        <v>3030</v>
      </c>
      <c r="C658" t="s">
        <v>46</v>
      </c>
      <c r="D658" t="s">
        <v>260</v>
      </c>
      <c r="E658" t="s">
        <v>3031</v>
      </c>
      <c r="F658" t="s">
        <v>2843</v>
      </c>
      <c r="G658" t="s">
        <v>2859</v>
      </c>
      <c r="H658" t="s">
        <v>3032</v>
      </c>
      <c r="I658" t="s">
        <v>5024</v>
      </c>
      <c r="J658" t="s">
        <v>3034</v>
      </c>
      <c r="K658" t="s">
        <v>3035</v>
      </c>
      <c r="L658" t="s">
        <v>21</v>
      </c>
      <c r="M658">
        <v>1863</v>
      </c>
      <c r="N658" s="5">
        <f>ROUNDUP(Clean_Data[[#This Row],[Year_Num]]/100,0)</f>
        <v>19</v>
      </c>
      <c r="O658" s="5" t="str" cm="1">
        <f t="array" ref="O658">_xlfn.LET(_xlpm.y,Clean_Data[[#This Row],[Year_Num]],_xlfn.IFS(_xlpm.y&lt;500,"Ancient",_xlpm.y&lt;1500,"Medieval",_xlpm.y&lt;1800,"Early Modern",_xlpm.y&lt;1946,"Modern",TRUE,"Contemporary"))</f>
        <v>Modern</v>
      </c>
      <c r="P658" s="5" t="str">
        <f>_xlfn.XLOOKUP(Clean_Data[[#This Row],[Country]],country_region[Country],country_region[Country_Standard],"Not found")</f>
        <v>USA</v>
      </c>
      <c r="Q658" s="5" t="str">
        <f>_xlfn.XLOOKUP(Clean_Data[[#This Row],[Country]],country_region[Country],country_region[Region],"Not found")</f>
        <v>North America</v>
      </c>
      <c r="R658" s="5" t="str">
        <f>_xlfn.XLOOKUP(Clean_Data[[#This Row],[Type of Event]],event_type_category[Type of Event],event_type_category[Category],"Not found")</f>
        <v>Politics &amp; Law</v>
      </c>
    </row>
    <row r="659" spans="1:18">
      <c r="A659">
        <v>700</v>
      </c>
      <c r="B659" t="s">
        <v>3036</v>
      </c>
      <c r="C659" t="s">
        <v>107</v>
      </c>
      <c r="D659" t="s">
        <v>47</v>
      </c>
      <c r="E659" t="s">
        <v>3037</v>
      </c>
      <c r="F659" t="s">
        <v>2843</v>
      </c>
      <c r="G659" t="s">
        <v>175</v>
      </c>
      <c r="H659" t="s">
        <v>3038</v>
      </c>
      <c r="I659" t="s">
        <v>3039</v>
      </c>
      <c r="J659" t="s">
        <v>2852</v>
      </c>
      <c r="K659" t="s">
        <v>3040</v>
      </c>
      <c r="L659" t="s">
        <v>21</v>
      </c>
      <c r="M659">
        <v>1869</v>
      </c>
      <c r="N659" s="5">
        <f>ROUNDUP(Clean_Data[[#This Row],[Year_Num]]/100,0)</f>
        <v>19</v>
      </c>
      <c r="O659" s="5" t="str" cm="1">
        <f t="array" ref="O659">_xlfn.LET(_xlpm.y,Clean_Data[[#This Row],[Year_Num]],_xlfn.IFS(_xlpm.y&lt;500,"Ancient",_xlpm.y&lt;1500,"Medieval",_xlpm.y&lt;1800,"Early Modern",_xlpm.y&lt;1946,"Modern",TRUE,"Contemporary"))</f>
        <v>Modern</v>
      </c>
      <c r="P659" s="5" t="str">
        <f>_xlfn.XLOOKUP(Clean_Data[[#This Row],[Country]],country_region[Country],country_region[Country_Standard],"Not found")</f>
        <v>USA</v>
      </c>
      <c r="Q659" s="5" t="str">
        <f>_xlfn.XLOOKUP(Clean_Data[[#This Row],[Country]],country_region[Country],country_region[Region],"Not found")</f>
        <v>North America</v>
      </c>
      <c r="R659" s="5" t="str">
        <f>_xlfn.XLOOKUP(Clean_Data[[#This Row],[Type of Event]],event_type_category[Type of Event],event_type_category[Category],"Not found")</f>
        <v>Economy &amp; Infrastructure</v>
      </c>
    </row>
    <row r="660" spans="1:18">
      <c r="A660">
        <v>701</v>
      </c>
      <c r="B660" t="s">
        <v>5025</v>
      </c>
      <c r="D660" t="s">
        <v>39</v>
      </c>
      <c r="E660" t="s">
        <v>3042</v>
      </c>
      <c r="F660" t="s">
        <v>2843</v>
      </c>
      <c r="G660" t="s">
        <v>356</v>
      </c>
      <c r="H660" t="s">
        <v>3043</v>
      </c>
      <c r="I660" t="s">
        <v>3044</v>
      </c>
      <c r="J660" t="s">
        <v>3045</v>
      </c>
      <c r="K660" t="s">
        <v>3046</v>
      </c>
      <c r="L660" t="s">
        <v>21</v>
      </c>
      <c r="M660">
        <v>1898</v>
      </c>
      <c r="N660" s="5">
        <f>ROUNDUP(Clean_Data[[#This Row],[Year_Num]]/100,0)</f>
        <v>19</v>
      </c>
      <c r="O660" s="5" t="str" cm="1">
        <f t="array" ref="O660">_xlfn.LET(_xlpm.y,Clean_Data[[#This Row],[Year_Num]],_xlfn.IFS(_xlpm.y&lt;500,"Ancient",_xlpm.y&lt;1500,"Medieval",_xlpm.y&lt;1800,"Early Modern",_xlpm.y&lt;1946,"Modern",TRUE,"Contemporary"))</f>
        <v>Modern</v>
      </c>
      <c r="P660" s="5" t="str">
        <f>_xlfn.XLOOKUP(Clean_Data[[#This Row],[Country]],country_region[Country],country_region[Country_Standard],"Not found")</f>
        <v>USA</v>
      </c>
      <c r="Q660" s="5" t="str">
        <f>_xlfn.XLOOKUP(Clean_Data[[#This Row],[Country]],country_region[Country],country_region[Region],"Not found")</f>
        <v>North America</v>
      </c>
      <c r="R660" s="5" t="str">
        <f>_xlfn.XLOOKUP(Clean_Data[[#This Row],[Type of Event]],event_type_category[Type of Event],event_type_category[Category],"Not found")</f>
        <v>War &amp; Conflict</v>
      </c>
    </row>
    <row r="661" spans="1:18">
      <c r="A661">
        <v>702</v>
      </c>
      <c r="B661" t="s">
        <v>3047</v>
      </c>
      <c r="C661" t="s">
        <v>1129</v>
      </c>
      <c r="D661" t="s">
        <v>66</v>
      </c>
      <c r="E661" t="s">
        <v>3048</v>
      </c>
      <c r="F661" t="s">
        <v>2843</v>
      </c>
      <c r="G661" t="s">
        <v>2754</v>
      </c>
      <c r="H661" t="s">
        <v>3049</v>
      </c>
      <c r="I661" t="s">
        <v>3050</v>
      </c>
      <c r="J661" t="s">
        <v>753</v>
      </c>
      <c r="K661" t="s">
        <v>3051</v>
      </c>
      <c r="L661" t="s">
        <v>21</v>
      </c>
      <c r="M661">
        <v>1903</v>
      </c>
      <c r="N661" s="5">
        <f>ROUNDUP(Clean_Data[[#This Row],[Year_Num]]/100,0)</f>
        <v>20</v>
      </c>
      <c r="O661" s="5" t="str" cm="1">
        <f t="array" ref="O661">_xlfn.LET(_xlpm.y,Clean_Data[[#This Row],[Year_Num]],_xlfn.IFS(_xlpm.y&lt;500,"Ancient",_xlpm.y&lt;1500,"Medieval",_xlpm.y&lt;1800,"Early Modern",_xlpm.y&lt;1946,"Modern",TRUE,"Contemporary"))</f>
        <v>Modern</v>
      </c>
      <c r="P661" s="5" t="str">
        <f>_xlfn.XLOOKUP(Clean_Data[[#This Row],[Country]],country_region[Country],country_region[Country_Standard],"Not found")</f>
        <v>USA</v>
      </c>
      <c r="Q661" s="5" t="str">
        <f>_xlfn.XLOOKUP(Clean_Data[[#This Row],[Country]],country_region[Country],country_region[Region],"Not found")</f>
        <v>North America</v>
      </c>
      <c r="R661" s="5" t="str">
        <f>_xlfn.XLOOKUP(Clean_Data[[#This Row],[Type of Event]],event_type_category[Type of Event],event_type_category[Category],"Not found")</f>
        <v>Science, Technology &amp; Exploration</v>
      </c>
    </row>
    <row r="662" spans="1:18">
      <c r="A662">
        <v>703</v>
      </c>
      <c r="B662" t="s">
        <v>5026</v>
      </c>
      <c r="D662" t="s">
        <v>39</v>
      </c>
      <c r="E662" t="s">
        <v>3053</v>
      </c>
      <c r="F662" t="s">
        <v>2843</v>
      </c>
      <c r="G662" t="s">
        <v>356</v>
      </c>
      <c r="H662" t="s">
        <v>3054</v>
      </c>
      <c r="I662" t="s">
        <v>3055</v>
      </c>
      <c r="J662" t="s">
        <v>3056</v>
      </c>
      <c r="K662" t="s">
        <v>3057</v>
      </c>
      <c r="L662" t="s">
        <v>21</v>
      </c>
      <c r="M662">
        <v>1846</v>
      </c>
      <c r="N662" s="5">
        <f>ROUNDUP(Clean_Data[[#This Row],[Year_Num]]/100,0)</f>
        <v>19</v>
      </c>
      <c r="O662" s="5" t="str" cm="1">
        <f t="array" ref="O662">_xlfn.LET(_xlpm.y,Clean_Data[[#This Row],[Year_Num]],_xlfn.IFS(_xlpm.y&lt;500,"Ancient",_xlpm.y&lt;1500,"Medieval",_xlpm.y&lt;1800,"Early Modern",_xlpm.y&lt;1946,"Modern",TRUE,"Contemporary"))</f>
        <v>Modern</v>
      </c>
      <c r="P662" s="5" t="str">
        <f>_xlfn.XLOOKUP(Clean_Data[[#This Row],[Country]],country_region[Country],country_region[Country_Standard],"Not found")</f>
        <v>USA</v>
      </c>
      <c r="Q662" s="5" t="str">
        <f>_xlfn.XLOOKUP(Clean_Data[[#This Row],[Country]],country_region[Country],country_region[Region],"Not found")</f>
        <v>North America</v>
      </c>
      <c r="R662" s="5" t="str">
        <f>_xlfn.XLOOKUP(Clean_Data[[#This Row],[Type of Event]],event_type_category[Type of Event],event_type_category[Category],"Not found")</f>
        <v>War &amp; Conflict</v>
      </c>
    </row>
    <row r="663" spans="1:18">
      <c r="A663">
        <v>704</v>
      </c>
      <c r="B663" t="s">
        <v>3058</v>
      </c>
      <c r="C663" t="s">
        <v>321</v>
      </c>
      <c r="D663" t="s">
        <v>267</v>
      </c>
      <c r="E663" t="s">
        <v>108</v>
      </c>
      <c r="F663" t="s">
        <v>2843</v>
      </c>
      <c r="G663" t="s">
        <v>2881</v>
      </c>
      <c r="H663" t="s">
        <v>2920</v>
      </c>
      <c r="I663" t="s">
        <v>3059</v>
      </c>
      <c r="J663" t="s">
        <v>3060</v>
      </c>
      <c r="K663" t="s">
        <v>2920</v>
      </c>
      <c r="L663" t="s">
        <v>54</v>
      </c>
      <c r="M663">
        <v>1857</v>
      </c>
      <c r="N663" s="5">
        <f>ROUNDUP(Clean_Data[[#This Row],[Year_Num]]/100,0)</f>
        <v>19</v>
      </c>
      <c r="O663" s="5" t="str" cm="1">
        <f t="array" ref="O663">_xlfn.LET(_xlpm.y,Clean_Data[[#This Row],[Year_Num]],_xlfn.IFS(_xlpm.y&lt;500,"Ancient",_xlpm.y&lt;1500,"Medieval",_xlpm.y&lt;1800,"Early Modern",_xlpm.y&lt;1946,"Modern",TRUE,"Contemporary"))</f>
        <v>Modern</v>
      </c>
      <c r="P663" s="5" t="str">
        <f>_xlfn.XLOOKUP(Clean_Data[[#This Row],[Country]],country_region[Country],country_region[Country_Standard],"Not found")</f>
        <v>USA</v>
      </c>
      <c r="Q663" s="5" t="str">
        <f>_xlfn.XLOOKUP(Clean_Data[[#This Row],[Country]],country_region[Country],country_region[Region],"Not found")</f>
        <v>North America</v>
      </c>
      <c r="R663" s="5" t="str">
        <f>_xlfn.XLOOKUP(Clean_Data[[#This Row],[Type of Event]],event_type_category[Type of Event],event_type_category[Category],"Not found")</f>
        <v>Politics &amp; Law</v>
      </c>
    </row>
    <row r="664" spans="1:18">
      <c r="A664">
        <v>705</v>
      </c>
      <c r="B664" t="s">
        <v>3061</v>
      </c>
      <c r="C664" t="s">
        <v>91</v>
      </c>
      <c r="D664" t="s">
        <v>47</v>
      </c>
      <c r="E664" t="s">
        <v>3062</v>
      </c>
      <c r="F664" t="s">
        <v>2843</v>
      </c>
      <c r="G664" t="s">
        <v>2859</v>
      </c>
      <c r="H664" t="s">
        <v>3063</v>
      </c>
      <c r="I664" t="s">
        <v>3064</v>
      </c>
      <c r="J664" t="s">
        <v>2852</v>
      </c>
      <c r="K664" t="s">
        <v>3035</v>
      </c>
      <c r="L664" t="s">
        <v>21</v>
      </c>
      <c r="M664">
        <v>1862</v>
      </c>
      <c r="N664" s="5">
        <f>ROUNDUP(Clean_Data[[#This Row],[Year_Num]]/100,0)</f>
        <v>19</v>
      </c>
      <c r="O664" s="5" t="str" cm="1">
        <f t="array" ref="O664">_xlfn.LET(_xlpm.y,Clean_Data[[#This Row],[Year_Num]],_xlfn.IFS(_xlpm.y&lt;500,"Ancient",_xlpm.y&lt;1500,"Medieval",_xlpm.y&lt;1800,"Early Modern",_xlpm.y&lt;1946,"Modern",TRUE,"Contemporary"))</f>
        <v>Modern</v>
      </c>
      <c r="P664" s="5" t="str">
        <f>_xlfn.XLOOKUP(Clean_Data[[#This Row],[Country]],country_region[Country],country_region[Country_Standard],"Not found")</f>
        <v>USA</v>
      </c>
      <c r="Q664" s="5" t="str">
        <f>_xlfn.XLOOKUP(Clean_Data[[#This Row],[Country]],country_region[Country],country_region[Region],"Not found")</f>
        <v>North America</v>
      </c>
      <c r="R664" s="5" t="str">
        <f>_xlfn.XLOOKUP(Clean_Data[[#This Row],[Type of Event]],event_type_category[Type of Event],event_type_category[Category],"Not found")</f>
        <v>Politics &amp; Law</v>
      </c>
    </row>
    <row r="665" spans="1:18">
      <c r="A665">
        <v>706</v>
      </c>
      <c r="B665" t="s">
        <v>3065</v>
      </c>
      <c r="C665" t="s">
        <v>56</v>
      </c>
      <c r="D665" t="s">
        <v>57</v>
      </c>
      <c r="E665" t="s">
        <v>1547</v>
      </c>
      <c r="F665" t="s">
        <v>2843</v>
      </c>
      <c r="G665" t="s">
        <v>3066</v>
      </c>
      <c r="H665" t="s">
        <v>3067</v>
      </c>
      <c r="I665" t="s">
        <v>3068</v>
      </c>
      <c r="J665" t="s">
        <v>3069</v>
      </c>
      <c r="K665" t="s">
        <v>3070</v>
      </c>
      <c r="L665" t="s">
        <v>21</v>
      </c>
      <c r="M665">
        <v>1914</v>
      </c>
      <c r="N665" s="5">
        <f>ROUNDUP(Clean_Data[[#This Row],[Year_Num]]/100,0)</f>
        <v>20</v>
      </c>
      <c r="O665" s="5" t="str" cm="1">
        <f t="array" ref="O665">_xlfn.LET(_xlpm.y,Clean_Data[[#This Row],[Year_Num]],_xlfn.IFS(_xlpm.y&lt;500,"Ancient",_xlpm.y&lt;1500,"Medieval",_xlpm.y&lt;1800,"Early Modern",_xlpm.y&lt;1946,"Modern",TRUE,"Contemporary"))</f>
        <v>Modern</v>
      </c>
      <c r="P665" s="5" t="str">
        <f>_xlfn.XLOOKUP(Clean_Data[[#This Row],[Country]],country_region[Country],country_region[Country_Standard],"Not found")</f>
        <v>USA</v>
      </c>
      <c r="Q665" s="5" t="str">
        <f>_xlfn.XLOOKUP(Clean_Data[[#This Row],[Country]],country_region[Country],country_region[Region],"Not found")</f>
        <v>North America</v>
      </c>
      <c r="R665" s="5" t="str">
        <f>_xlfn.XLOOKUP(Clean_Data[[#This Row],[Type of Event]],event_type_category[Type of Event],event_type_category[Category],"Not found")</f>
        <v>Economy &amp; Infrastructure</v>
      </c>
    </row>
    <row r="666" spans="1:18">
      <c r="A666">
        <v>707</v>
      </c>
      <c r="B666" t="s">
        <v>3071</v>
      </c>
      <c r="C666" t="s">
        <v>321</v>
      </c>
      <c r="D666" t="s">
        <v>39</v>
      </c>
      <c r="E666" t="s">
        <v>1066</v>
      </c>
      <c r="F666" t="s">
        <v>2843</v>
      </c>
      <c r="G666" t="s">
        <v>356</v>
      </c>
      <c r="H666" t="s">
        <v>3072</v>
      </c>
      <c r="I666" t="s">
        <v>3073</v>
      </c>
      <c r="J666" t="s">
        <v>3074</v>
      </c>
      <c r="K666" t="s">
        <v>3075</v>
      </c>
      <c r="L666" t="s">
        <v>36</v>
      </c>
      <c r="M666">
        <v>1917</v>
      </c>
      <c r="N666" s="5">
        <f>ROUNDUP(Clean_Data[[#This Row],[Year_Num]]/100,0)</f>
        <v>20</v>
      </c>
      <c r="O666" s="5" t="str" cm="1">
        <f t="array" ref="O666">_xlfn.LET(_xlpm.y,Clean_Data[[#This Row],[Year_Num]],_xlfn.IFS(_xlpm.y&lt;500,"Ancient",_xlpm.y&lt;1500,"Medieval",_xlpm.y&lt;1800,"Early Modern",_xlpm.y&lt;1946,"Modern",TRUE,"Contemporary"))</f>
        <v>Modern</v>
      </c>
      <c r="P666" s="5" t="str">
        <f>_xlfn.XLOOKUP(Clean_Data[[#This Row],[Country]],country_region[Country],country_region[Country_Standard],"Not found")</f>
        <v>USA</v>
      </c>
      <c r="Q666" s="5" t="str">
        <f>_xlfn.XLOOKUP(Clean_Data[[#This Row],[Country]],country_region[Country],country_region[Region],"Not found")</f>
        <v>North America</v>
      </c>
      <c r="R666" s="5" t="str">
        <f>_xlfn.XLOOKUP(Clean_Data[[#This Row],[Type of Event]],event_type_category[Type of Event],event_type_category[Category],"Not found")</f>
        <v>War &amp; Conflict</v>
      </c>
    </row>
    <row r="667" spans="1:18">
      <c r="A667">
        <v>708</v>
      </c>
      <c r="B667" t="s">
        <v>3076</v>
      </c>
      <c r="C667" t="s">
        <v>1129</v>
      </c>
      <c r="D667" t="s">
        <v>260</v>
      </c>
      <c r="E667" t="s">
        <v>381</v>
      </c>
      <c r="F667" t="s">
        <v>2843</v>
      </c>
      <c r="G667" t="s">
        <v>2859</v>
      </c>
      <c r="H667" t="s">
        <v>300</v>
      </c>
      <c r="I667" t="s">
        <v>3077</v>
      </c>
      <c r="J667" t="s">
        <v>2856</v>
      </c>
      <c r="K667" t="s">
        <v>3078</v>
      </c>
      <c r="L667" t="s">
        <v>54</v>
      </c>
      <c r="M667">
        <v>1920</v>
      </c>
      <c r="N667" s="5">
        <f>ROUNDUP(Clean_Data[[#This Row],[Year_Num]]/100,0)</f>
        <v>20</v>
      </c>
      <c r="O667" s="5" t="str" cm="1">
        <f t="array" ref="O667">_xlfn.LET(_xlpm.y,Clean_Data[[#This Row],[Year_Num]],_xlfn.IFS(_xlpm.y&lt;500,"Ancient",_xlpm.y&lt;1500,"Medieval",_xlpm.y&lt;1800,"Early Modern",_xlpm.y&lt;1946,"Modern",TRUE,"Contemporary"))</f>
        <v>Modern</v>
      </c>
      <c r="P667" s="5" t="str">
        <f>_xlfn.XLOOKUP(Clean_Data[[#This Row],[Country]],country_region[Country],country_region[Country_Standard],"Not found")</f>
        <v>USA</v>
      </c>
      <c r="Q667" s="5" t="str">
        <f>_xlfn.XLOOKUP(Clean_Data[[#This Row],[Country]],country_region[Country],country_region[Region],"Not found")</f>
        <v>North America</v>
      </c>
      <c r="R667" s="5" t="str">
        <f>_xlfn.XLOOKUP(Clean_Data[[#This Row],[Type of Event]],event_type_category[Type of Event],event_type_category[Category],"Not found")</f>
        <v>Politics &amp; Law</v>
      </c>
    </row>
    <row r="668" spans="1:18">
      <c r="A668">
        <v>709</v>
      </c>
      <c r="B668" t="s">
        <v>3079</v>
      </c>
      <c r="C668" t="s">
        <v>335</v>
      </c>
      <c r="D668" t="s">
        <v>57</v>
      </c>
      <c r="E668" t="s">
        <v>443</v>
      </c>
      <c r="F668" t="s">
        <v>2843</v>
      </c>
      <c r="G668" t="s">
        <v>3080</v>
      </c>
      <c r="H668" t="s">
        <v>300</v>
      </c>
      <c r="I668" t="s">
        <v>5027</v>
      </c>
      <c r="J668" t="s">
        <v>3082</v>
      </c>
      <c r="K668" t="s">
        <v>3083</v>
      </c>
      <c r="L668" t="s">
        <v>21</v>
      </c>
      <c r="M668">
        <v>1935</v>
      </c>
      <c r="N668" s="5">
        <f>ROUNDUP(Clean_Data[[#This Row],[Year_Num]]/100,0)</f>
        <v>20</v>
      </c>
      <c r="O668" s="5" t="str" cm="1">
        <f t="array" ref="O668">_xlfn.LET(_xlpm.y,Clean_Data[[#This Row],[Year_Num]],_xlfn.IFS(_xlpm.y&lt;500,"Ancient",_xlpm.y&lt;1500,"Medieval",_xlpm.y&lt;1800,"Early Modern",_xlpm.y&lt;1946,"Modern",TRUE,"Contemporary"))</f>
        <v>Modern</v>
      </c>
      <c r="P668" s="5" t="str">
        <f>_xlfn.XLOOKUP(Clean_Data[[#This Row],[Country]],country_region[Country],country_region[Country_Standard],"Not found")</f>
        <v>USA</v>
      </c>
      <c r="Q668" s="5" t="str">
        <f>_xlfn.XLOOKUP(Clean_Data[[#This Row],[Country]],country_region[Country],country_region[Region],"Not found")</f>
        <v>North America</v>
      </c>
      <c r="R668" s="5" t="str">
        <f>_xlfn.XLOOKUP(Clean_Data[[#This Row],[Type of Event]],event_type_category[Type of Event],event_type_category[Category],"Not found")</f>
        <v>Society &amp; Health</v>
      </c>
    </row>
    <row r="669" spans="1:18">
      <c r="A669">
        <v>710</v>
      </c>
      <c r="B669" t="s">
        <v>3084</v>
      </c>
      <c r="C669" t="s">
        <v>115</v>
      </c>
      <c r="D669" t="s">
        <v>66</v>
      </c>
      <c r="E669" t="s">
        <v>1084</v>
      </c>
      <c r="F669" t="s">
        <v>2843</v>
      </c>
      <c r="G669" t="s">
        <v>356</v>
      </c>
      <c r="H669" t="s">
        <v>3085</v>
      </c>
      <c r="I669" t="s">
        <v>3086</v>
      </c>
      <c r="J669" t="s">
        <v>3087</v>
      </c>
      <c r="K669" t="s">
        <v>1513</v>
      </c>
      <c r="L669" t="s">
        <v>54</v>
      </c>
      <c r="M669">
        <v>1941</v>
      </c>
      <c r="N669" s="5">
        <f>ROUNDUP(Clean_Data[[#This Row],[Year_Num]]/100,0)</f>
        <v>20</v>
      </c>
      <c r="O669" s="5" t="str" cm="1">
        <f t="array" ref="O669">_xlfn.LET(_xlpm.y,Clean_Data[[#This Row],[Year_Num]],_xlfn.IFS(_xlpm.y&lt;500,"Ancient",_xlpm.y&lt;1500,"Medieval",_xlpm.y&lt;1800,"Early Modern",_xlpm.y&lt;1946,"Modern",TRUE,"Contemporary"))</f>
        <v>Modern</v>
      </c>
      <c r="P669" s="5" t="str">
        <f>_xlfn.XLOOKUP(Clean_Data[[#This Row],[Country]],country_region[Country],country_region[Country_Standard],"Not found")</f>
        <v>USA</v>
      </c>
      <c r="Q669" s="5" t="str">
        <f>_xlfn.XLOOKUP(Clean_Data[[#This Row],[Country]],country_region[Country],country_region[Region],"Not found")</f>
        <v>North America</v>
      </c>
      <c r="R669" s="5" t="str">
        <f>_xlfn.XLOOKUP(Clean_Data[[#This Row],[Type of Event]],event_type_category[Type of Event],event_type_category[Category],"Not found")</f>
        <v>War &amp; Conflict</v>
      </c>
    </row>
    <row r="670" spans="1:18">
      <c r="A670">
        <v>711</v>
      </c>
      <c r="B670" t="s">
        <v>3088</v>
      </c>
      <c r="D670" t="s">
        <v>211</v>
      </c>
      <c r="E670" t="s">
        <v>682</v>
      </c>
      <c r="F670" t="s">
        <v>2843</v>
      </c>
      <c r="G670" t="s">
        <v>3089</v>
      </c>
      <c r="H670" t="s">
        <v>1327</v>
      </c>
      <c r="I670" t="s">
        <v>3090</v>
      </c>
      <c r="J670" t="s">
        <v>3091</v>
      </c>
      <c r="K670" t="s">
        <v>3092</v>
      </c>
      <c r="L670" t="s">
        <v>36</v>
      </c>
      <c r="M670">
        <v>1945</v>
      </c>
      <c r="N670" s="5">
        <f>ROUNDUP(Clean_Data[[#This Row],[Year_Num]]/100,0)</f>
        <v>20</v>
      </c>
      <c r="O670" s="5" t="str" cm="1">
        <f t="array" ref="O670">_xlfn.LET(_xlpm.y,Clean_Data[[#This Row],[Year_Num]],_xlfn.IFS(_xlpm.y&lt;500,"Ancient",_xlpm.y&lt;1500,"Medieval",_xlpm.y&lt;1800,"Early Modern",_xlpm.y&lt;1946,"Modern",TRUE,"Contemporary"))</f>
        <v>Modern</v>
      </c>
      <c r="P670" s="5" t="str">
        <f>_xlfn.XLOOKUP(Clean_Data[[#This Row],[Country]],country_region[Country],country_region[Country_Standard],"Not found")</f>
        <v>USA</v>
      </c>
      <c r="Q670" s="5" t="str">
        <f>_xlfn.XLOOKUP(Clean_Data[[#This Row],[Country]],country_region[Country],country_region[Region],"Not found")</f>
        <v>North America</v>
      </c>
      <c r="R670" s="5" t="str">
        <f>_xlfn.XLOOKUP(Clean_Data[[#This Row],[Type of Event]],event_type_category[Type of Event],event_type_category[Category],"Not found")</f>
        <v>Science, Technology &amp; Exploration</v>
      </c>
    </row>
    <row r="671" spans="1:18">
      <c r="A671">
        <v>712</v>
      </c>
      <c r="B671" t="s">
        <v>3093</v>
      </c>
      <c r="E671" t="s">
        <v>656</v>
      </c>
      <c r="F671" t="s">
        <v>2843</v>
      </c>
      <c r="G671" t="s">
        <v>3094</v>
      </c>
      <c r="H671" t="s">
        <v>3095</v>
      </c>
      <c r="I671" t="s">
        <v>5028</v>
      </c>
      <c r="J671" t="s">
        <v>3097</v>
      </c>
      <c r="K671" t="s">
        <v>3098</v>
      </c>
      <c r="L671" t="s">
        <v>21</v>
      </c>
      <c r="M671">
        <v>1948</v>
      </c>
      <c r="N671" s="5">
        <f>ROUNDUP(Clean_Data[[#This Row],[Year_Num]]/100,0)</f>
        <v>20</v>
      </c>
      <c r="O671" s="5" t="str" cm="1">
        <f t="array" ref="O671">_xlfn.LET(_xlpm.y,Clean_Data[[#This Row],[Year_Num]],_xlfn.IFS(_xlpm.y&lt;500,"Ancient",_xlpm.y&lt;1500,"Medieval",_xlpm.y&lt;1800,"Early Modern",_xlpm.y&lt;1946,"Modern",TRUE,"Contemporary"))</f>
        <v>Contemporary</v>
      </c>
      <c r="P671" s="5" t="str">
        <f>_xlfn.XLOOKUP(Clean_Data[[#This Row],[Country]],country_region[Country],country_region[Country_Standard],"Not found")</f>
        <v>USA</v>
      </c>
      <c r="Q671" s="5" t="str">
        <f>_xlfn.XLOOKUP(Clean_Data[[#This Row],[Country]],country_region[Country],country_region[Region],"Not found")</f>
        <v>North America</v>
      </c>
      <c r="R671" s="5" t="str">
        <f>_xlfn.XLOOKUP(Clean_Data[[#This Row],[Type of Event]],event_type_category[Type of Event],event_type_category[Category],"Not found")</f>
        <v>Economy &amp; Infrastructure</v>
      </c>
    </row>
    <row r="672" spans="1:18">
      <c r="A672">
        <v>713</v>
      </c>
      <c r="B672" t="s">
        <v>3099</v>
      </c>
      <c r="C672" t="s">
        <v>82</v>
      </c>
      <c r="D672" t="s">
        <v>100</v>
      </c>
      <c r="E672" t="s">
        <v>682</v>
      </c>
      <c r="F672" t="s">
        <v>2843</v>
      </c>
      <c r="G672" t="s">
        <v>489</v>
      </c>
      <c r="H672" t="s">
        <v>3100</v>
      </c>
      <c r="I672" t="s">
        <v>3101</v>
      </c>
      <c r="J672" t="s">
        <v>345</v>
      </c>
      <c r="K672" t="s">
        <v>3102</v>
      </c>
      <c r="L672" t="s">
        <v>21</v>
      </c>
      <c r="M672">
        <v>1945</v>
      </c>
      <c r="N672" s="5">
        <f>ROUNDUP(Clean_Data[[#This Row],[Year_Num]]/100,0)</f>
        <v>20</v>
      </c>
      <c r="O672" s="5" t="str" cm="1">
        <f t="array" ref="O672">_xlfn.LET(_xlpm.y,Clean_Data[[#This Row],[Year_Num]],_xlfn.IFS(_xlpm.y&lt;500,"Ancient",_xlpm.y&lt;1500,"Medieval",_xlpm.y&lt;1800,"Early Modern",_xlpm.y&lt;1946,"Modern",TRUE,"Contemporary"))</f>
        <v>Modern</v>
      </c>
      <c r="P672" s="5" t="str">
        <f>_xlfn.XLOOKUP(Clean_Data[[#This Row],[Country]],country_region[Country],country_region[Country_Standard],"Not found")</f>
        <v>USA</v>
      </c>
      <c r="Q672" s="5" t="str">
        <f>_xlfn.XLOOKUP(Clean_Data[[#This Row],[Country]],country_region[Country],country_region[Region],"Not found")</f>
        <v>North America</v>
      </c>
      <c r="R672" s="5" t="str">
        <f>_xlfn.XLOOKUP(Clean_Data[[#This Row],[Type of Event]],event_type_category[Type of Event],event_type_category[Category],"Not found")</f>
        <v>Diplomacy &amp; International Relations</v>
      </c>
    </row>
    <row r="673" spans="1:18">
      <c r="A673">
        <v>714</v>
      </c>
      <c r="B673" t="s">
        <v>3103</v>
      </c>
      <c r="C673" t="s">
        <v>335</v>
      </c>
      <c r="D673" t="s">
        <v>47</v>
      </c>
      <c r="E673" t="s">
        <v>3104</v>
      </c>
      <c r="F673" t="s">
        <v>2843</v>
      </c>
      <c r="G673" t="s">
        <v>1532</v>
      </c>
      <c r="H673" t="s">
        <v>3105</v>
      </c>
      <c r="I673" t="s">
        <v>3106</v>
      </c>
      <c r="J673" t="s">
        <v>3107</v>
      </c>
      <c r="K673" t="s">
        <v>3108</v>
      </c>
      <c r="L673" t="s">
        <v>21</v>
      </c>
      <c r="M673">
        <v>1607</v>
      </c>
      <c r="N673" s="5">
        <f>ROUNDUP(Clean_Data[[#This Row],[Year_Num]]/100,0)</f>
        <v>17</v>
      </c>
      <c r="O673" s="5" t="str" cm="1">
        <f t="array" ref="O673">_xlfn.LET(_xlpm.y,Clean_Data[[#This Row],[Year_Num]],_xlfn.IFS(_xlpm.y&lt;500,"Ancient",_xlpm.y&lt;1500,"Medieval",_xlpm.y&lt;1800,"Early Modern",_xlpm.y&lt;1946,"Modern",TRUE,"Contemporary"))</f>
        <v>Early Modern</v>
      </c>
      <c r="P673" s="5" t="str">
        <f>_xlfn.XLOOKUP(Clean_Data[[#This Row],[Country]],country_region[Country],country_region[Country_Standard],"Not found")</f>
        <v>USA</v>
      </c>
      <c r="Q673" s="5" t="str">
        <f>_xlfn.XLOOKUP(Clean_Data[[#This Row],[Country]],country_region[Country],country_region[Region],"Not found")</f>
        <v>North America</v>
      </c>
      <c r="R673" s="5" t="str">
        <f>_xlfn.XLOOKUP(Clean_Data[[#This Row],[Type of Event]],event_type_category[Type of Event],event_type_category[Category],"Not found")</f>
        <v>Independence &amp; Nation-Building</v>
      </c>
    </row>
    <row r="674" spans="1:18">
      <c r="A674">
        <v>715</v>
      </c>
      <c r="B674" t="s">
        <v>3109</v>
      </c>
      <c r="D674" t="s">
        <v>173</v>
      </c>
      <c r="E674" t="s">
        <v>3110</v>
      </c>
      <c r="F674" t="s">
        <v>2843</v>
      </c>
      <c r="G674" t="s">
        <v>313</v>
      </c>
      <c r="H674" t="s">
        <v>3111</v>
      </c>
      <c r="I674" t="s">
        <v>3112</v>
      </c>
      <c r="J674" t="s">
        <v>3113</v>
      </c>
      <c r="K674" t="s">
        <v>3114</v>
      </c>
      <c r="L674" t="s">
        <v>54</v>
      </c>
      <c r="M674">
        <v>1692</v>
      </c>
      <c r="N674" s="5">
        <f>ROUNDUP(Clean_Data[[#This Row],[Year_Num]]/100,0)</f>
        <v>17</v>
      </c>
      <c r="O674" s="5" t="str" cm="1">
        <f t="array" ref="O674">_xlfn.LET(_xlpm.y,Clean_Data[[#This Row],[Year_Num]],_xlfn.IFS(_xlpm.y&lt;500,"Ancient",_xlpm.y&lt;1500,"Medieval",_xlpm.y&lt;1800,"Early Modern",_xlpm.y&lt;1946,"Modern",TRUE,"Contemporary"))</f>
        <v>Early Modern</v>
      </c>
      <c r="P674" s="5" t="str">
        <f>_xlfn.XLOOKUP(Clean_Data[[#This Row],[Country]],country_region[Country],country_region[Country_Standard],"Not found")</f>
        <v>USA</v>
      </c>
      <c r="Q674" s="5" t="str">
        <f>_xlfn.XLOOKUP(Clean_Data[[#This Row],[Country]],country_region[Country],country_region[Region],"Not found")</f>
        <v>North America</v>
      </c>
      <c r="R674" s="5" t="str">
        <f>_xlfn.XLOOKUP(Clean_Data[[#This Row],[Type of Event]],event_type_category[Type of Event],event_type_category[Category],"Not found")</f>
        <v>Politics &amp; Law</v>
      </c>
    </row>
    <row r="675" spans="1:18">
      <c r="A675">
        <v>716</v>
      </c>
      <c r="B675" t="s">
        <v>3115</v>
      </c>
      <c r="E675" t="s">
        <v>3116</v>
      </c>
      <c r="F675" t="s">
        <v>2843</v>
      </c>
      <c r="G675" t="s">
        <v>356</v>
      </c>
      <c r="H675" t="s">
        <v>3117</v>
      </c>
      <c r="I675" t="s">
        <v>3118</v>
      </c>
      <c r="J675" t="s">
        <v>3119</v>
      </c>
      <c r="K675" t="s">
        <v>3120</v>
      </c>
      <c r="L675" t="s">
        <v>36</v>
      </c>
      <c r="M675">
        <v>1754</v>
      </c>
      <c r="N675" s="5">
        <f>ROUNDUP(Clean_Data[[#This Row],[Year_Num]]/100,0)</f>
        <v>18</v>
      </c>
      <c r="O675" s="5" t="str" cm="1">
        <f t="array" ref="O675">_xlfn.LET(_xlpm.y,Clean_Data[[#This Row],[Year_Num]],_xlfn.IFS(_xlpm.y&lt;500,"Ancient",_xlpm.y&lt;1500,"Medieval",_xlpm.y&lt;1800,"Early Modern",_xlpm.y&lt;1946,"Modern",TRUE,"Contemporary"))</f>
        <v>Early Modern</v>
      </c>
      <c r="P675" s="5" t="str">
        <f>_xlfn.XLOOKUP(Clean_Data[[#This Row],[Country]],country_region[Country],country_region[Country_Standard],"Not found")</f>
        <v>USA</v>
      </c>
      <c r="Q675" s="5" t="str">
        <f>_xlfn.XLOOKUP(Clean_Data[[#This Row],[Country]],country_region[Country],country_region[Region],"Not found")</f>
        <v>North America</v>
      </c>
      <c r="R675" s="5" t="str">
        <f>_xlfn.XLOOKUP(Clean_Data[[#This Row],[Type of Event]],event_type_category[Type of Event],event_type_category[Category],"Not found")</f>
        <v>War &amp; Conflict</v>
      </c>
    </row>
    <row r="676" spans="1:18">
      <c r="A676">
        <v>717</v>
      </c>
      <c r="B676" t="s">
        <v>3121</v>
      </c>
      <c r="C676" t="s">
        <v>165</v>
      </c>
      <c r="D676" t="s">
        <v>267</v>
      </c>
      <c r="E676" t="s">
        <v>3122</v>
      </c>
      <c r="F676" t="s">
        <v>2843</v>
      </c>
      <c r="G676" t="s">
        <v>5029</v>
      </c>
      <c r="H676" t="s">
        <v>3009</v>
      </c>
      <c r="I676" t="s">
        <v>3124</v>
      </c>
      <c r="J676" t="s">
        <v>3125</v>
      </c>
      <c r="K676" t="s">
        <v>3126</v>
      </c>
      <c r="L676" t="s">
        <v>54</v>
      </c>
      <c r="M676">
        <v>1770</v>
      </c>
      <c r="N676" s="5">
        <f>ROUNDUP(Clean_Data[[#This Row],[Year_Num]]/100,0)</f>
        <v>18</v>
      </c>
      <c r="O676" s="5" t="str" cm="1">
        <f t="array" ref="O676">_xlfn.LET(_xlpm.y,Clean_Data[[#This Row],[Year_Num]],_xlfn.IFS(_xlpm.y&lt;500,"Ancient",_xlpm.y&lt;1500,"Medieval",_xlpm.y&lt;1800,"Early Modern",_xlpm.y&lt;1946,"Modern",TRUE,"Contemporary"))</f>
        <v>Early Modern</v>
      </c>
      <c r="P676" s="5" t="str">
        <f>_xlfn.XLOOKUP(Clean_Data[[#This Row],[Country]],country_region[Country],country_region[Country_Standard],"Not found")</f>
        <v>USA</v>
      </c>
      <c r="Q676" s="5" t="str">
        <f>_xlfn.XLOOKUP(Clean_Data[[#This Row],[Country]],country_region[Country],country_region[Region],"Not found")</f>
        <v>North America</v>
      </c>
      <c r="R676" s="5" t="str">
        <f>_xlfn.XLOOKUP(Clean_Data[[#This Row],[Type of Event]],event_type_category[Type of Event],event_type_category[Category],"Not found")</f>
        <v>War &amp; Conflict</v>
      </c>
    </row>
    <row r="677" spans="1:18">
      <c r="A677">
        <v>718</v>
      </c>
      <c r="B677" t="s">
        <v>3127</v>
      </c>
      <c r="D677" t="s">
        <v>158</v>
      </c>
      <c r="E677" t="s">
        <v>3128</v>
      </c>
      <c r="F677" t="s">
        <v>2843</v>
      </c>
      <c r="G677" t="s">
        <v>31</v>
      </c>
      <c r="H677" t="s">
        <v>2963</v>
      </c>
      <c r="I677" t="s">
        <v>3129</v>
      </c>
      <c r="J677" t="s">
        <v>2894</v>
      </c>
      <c r="K677" t="s">
        <v>3130</v>
      </c>
      <c r="L677" t="s">
        <v>21</v>
      </c>
      <c r="M677">
        <v>1787</v>
      </c>
      <c r="N677" s="5">
        <f>ROUNDUP(Clean_Data[[#This Row],[Year_Num]]/100,0)</f>
        <v>18</v>
      </c>
      <c r="O677" s="5" t="str" cm="1">
        <f t="array" ref="O677">_xlfn.LET(_xlpm.y,Clean_Data[[#This Row],[Year_Num]],_xlfn.IFS(_xlpm.y&lt;500,"Ancient",_xlpm.y&lt;1500,"Medieval",_xlpm.y&lt;1800,"Early Modern",_xlpm.y&lt;1946,"Modern",TRUE,"Contemporary"))</f>
        <v>Early Modern</v>
      </c>
      <c r="P677" s="5" t="str">
        <f>_xlfn.XLOOKUP(Clean_Data[[#This Row],[Country]],country_region[Country],country_region[Country_Standard],"Not found")</f>
        <v>USA</v>
      </c>
      <c r="Q677" s="5" t="str">
        <f>_xlfn.XLOOKUP(Clean_Data[[#This Row],[Country]],country_region[Country],country_region[Region],"Not found")</f>
        <v>North America</v>
      </c>
      <c r="R677" s="5" t="str">
        <f>_xlfn.XLOOKUP(Clean_Data[[#This Row],[Type of Event]],event_type_category[Type of Event],event_type_category[Category],"Not found")</f>
        <v>Politics &amp; Law</v>
      </c>
    </row>
    <row r="678" spans="1:18">
      <c r="A678">
        <v>719</v>
      </c>
      <c r="B678" t="s">
        <v>3131</v>
      </c>
      <c r="D678" t="s">
        <v>100</v>
      </c>
      <c r="E678" t="s">
        <v>3132</v>
      </c>
      <c r="F678" t="s">
        <v>2843</v>
      </c>
      <c r="G678" t="s">
        <v>356</v>
      </c>
      <c r="H678" t="s">
        <v>3133</v>
      </c>
      <c r="I678" t="s">
        <v>3134</v>
      </c>
      <c r="J678" t="s">
        <v>3135</v>
      </c>
      <c r="K678" t="s">
        <v>3136</v>
      </c>
      <c r="L678" t="s">
        <v>36</v>
      </c>
      <c r="M678">
        <v>1812</v>
      </c>
      <c r="N678" s="5">
        <f>ROUNDUP(Clean_Data[[#This Row],[Year_Num]]/100,0)</f>
        <v>19</v>
      </c>
      <c r="O678" s="5" t="str" cm="1">
        <f t="array" ref="O678">_xlfn.LET(_xlpm.y,Clean_Data[[#This Row],[Year_Num]],_xlfn.IFS(_xlpm.y&lt;500,"Ancient",_xlpm.y&lt;1500,"Medieval",_xlpm.y&lt;1800,"Early Modern",_xlpm.y&lt;1946,"Modern",TRUE,"Contemporary"))</f>
        <v>Modern</v>
      </c>
      <c r="P678" s="5" t="str">
        <f>_xlfn.XLOOKUP(Clean_Data[[#This Row],[Country]],country_region[Country],country_region[Country_Standard],"Not found")</f>
        <v>USA</v>
      </c>
      <c r="Q678" s="5" t="str">
        <f>_xlfn.XLOOKUP(Clean_Data[[#This Row],[Country]],country_region[Country],country_region[Region],"Not found")</f>
        <v>North America</v>
      </c>
      <c r="R678" s="5" t="str">
        <f>_xlfn.XLOOKUP(Clean_Data[[#This Row],[Type of Event]],event_type_category[Type of Event],event_type_category[Category],"Not found")</f>
        <v>War &amp; Conflict</v>
      </c>
    </row>
    <row r="679" spans="1:18">
      <c r="A679">
        <v>720</v>
      </c>
      <c r="B679" t="s">
        <v>3137</v>
      </c>
      <c r="D679" t="s">
        <v>267</v>
      </c>
      <c r="E679" t="s">
        <v>3138</v>
      </c>
      <c r="F679" t="s">
        <v>2843</v>
      </c>
      <c r="G679" t="s">
        <v>2859</v>
      </c>
      <c r="H679" t="s">
        <v>3139</v>
      </c>
      <c r="I679" t="s">
        <v>3140</v>
      </c>
      <c r="J679" t="s">
        <v>3141</v>
      </c>
      <c r="K679" t="s">
        <v>3142</v>
      </c>
      <c r="L679" t="s">
        <v>36</v>
      </c>
      <c r="M679">
        <v>1820</v>
      </c>
      <c r="N679" s="5">
        <f>ROUNDUP(Clean_Data[[#This Row],[Year_Num]]/100,0)</f>
        <v>19</v>
      </c>
      <c r="O679" s="5" t="str" cm="1">
        <f t="array" ref="O679">_xlfn.LET(_xlpm.y,Clean_Data[[#This Row],[Year_Num]],_xlfn.IFS(_xlpm.y&lt;500,"Ancient",_xlpm.y&lt;1500,"Medieval",_xlpm.y&lt;1800,"Early Modern",_xlpm.y&lt;1946,"Modern",TRUE,"Contemporary"))</f>
        <v>Modern</v>
      </c>
      <c r="P679" s="5" t="str">
        <f>_xlfn.XLOOKUP(Clean_Data[[#This Row],[Country]],country_region[Country],country_region[Country_Standard],"Not found")</f>
        <v>USA</v>
      </c>
      <c r="Q679" s="5" t="str">
        <f>_xlfn.XLOOKUP(Clean_Data[[#This Row],[Country]],country_region[Country],country_region[Region],"Not found")</f>
        <v>North America</v>
      </c>
      <c r="R679" s="5" t="str">
        <f>_xlfn.XLOOKUP(Clean_Data[[#This Row],[Type of Event]],event_type_category[Type of Event],event_type_category[Category],"Not found")</f>
        <v>Politics &amp; Law</v>
      </c>
    </row>
    <row r="680" spans="1:18">
      <c r="A680">
        <v>721</v>
      </c>
      <c r="B680" t="s">
        <v>3143</v>
      </c>
      <c r="E680" t="s">
        <v>1525</v>
      </c>
      <c r="F680" t="s">
        <v>2843</v>
      </c>
      <c r="G680" t="s">
        <v>3144</v>
      </c>
      <c r="H680" t="s">
        <v>3145</v>
      </c>
      <c r="I680" t="s">
        <v>3146</v>
      </c>
      <c r="J680" t="s">
        <v>3147</v>
      </c>
      <c r="K680" t="s">
        <v>3148</v>
      </c>
      <c r="L680" t="s">
        <v>54</v>
      </c>
      <c r="M680">
        <v>1838</v>
      </c>
      <c r="N680" s="5">
        <f>ROUNDUP(Clean_Data[[#This Row],[Year_Num]]/100,0)</f>
        <v>19</v>
      </c>
      <c r="O680" s="5" t="str" cm="1">
        <f t="array" ref="O680">_xlfn.LET(_xlpm.y,Clean_Data[[#This Row],[Year_Num]],_xlfn.IFS(_xlpm.y&lt;500,"Ancient",_xlpm.y&lt;1500,"Medieval",_xlpm.y&lt;1800,"Early Modern",_xlpm.y&lt;1946,"Modern",TRUE,"Contemporary"))</f>
        <v>Modern</v>
      </c>
      <c r="P680" s="5" t="str">
        <f>_xlfn.XLOOKUP(Clean_Data[[#This Row],[Country]],country_region[Country],country_region[Country_Standard],"Not found")</f>
        <v>USA</v>
      </c>
      <c r="Q680" s="5" t="str">
        <f>_xlfn.XLOOKUP(Clean_Data[[#This Row],[Country]],country_region[Country],country_region[Region],"Not found")</f>
        <v>North America</v>
      </c>
      <c r="R680" s="5" t="str">
        <f>_xlfn.XLOOKUP(Clean_Data[[#This Row],[Type of Event]],event_type_category[Type of Event],event_type_category[Category],"Not found")</f>
        <v>Society &amp; Health</v>
      </c>
    </row>
    <row r="681" spans="1:18">
      <c r="A681">
        <v>722</v>
      </c>
      <c r="B681" t="s">
        <v>3149</v>
      </c>
      <c r="D681" t="s">
        <v>286</v>
      </c>
      <c r="E681" t="s">
        <v>800</v>
      </c>
      <c r="F681" t="s">
        <v>2843</v>
      </c>
      <c r="G681" t="s">
        <v>2859</v>
      </c>
      <c r="H681" t="s">
        <v>1359</v>
      </c>
      <c r="I681" t="s">
        <v>3150</v>
      </c>
      <c r="J681" t="s">
        <v>3151</v>
      </c>
      <c r="K681" t="s">
        <v>3152</v>
      </c>
      <c r="L681" t="s">
        <v>36</v>
      </c>
      <c r="M681">
        <v>1850</v>
      </c>
      <c r="N681" s="5">
        <f>ROUNDUP(Clean_Data[[#This Row],[Year_Num]]/100,0)</f>
        <v>19</v>
      </c>
      <c r="O681" s="5" t="str" cm="1">
        <f t="array" ref="O681">_xlfn.LET(_xlpm.y,Clean_Data[[#This Row],[Year_Num]],_xlfn.IFS(_xlpm.y&lt;500,"Ancient",_xlpm.y&lt;1500,"Medieval",_xlpm.y&lt;1800,"Early Modern",_xlpm.y&lt;1946,"Modern",TRUE,"Contemporary"))</f>
        <v>Modern</v>
      </c>
      <c r="P681" s="5" t="str">
        <f>_xlfn.XLOOKUP(Clean_Data[[#This Row],[Country]],country_region[Country],country_region[Country_Standard],"Not found")</f>
        <v>USA</v>
      </c>
      <c r="Q681" s="5" t="str">
        <f>_xlfn.XLOOKUP(Clean_Data[[#This Row],[Country]],country_region[Country],country_region[Region],"Not found")</f>
        <v>North America</v>
      </c>
      <c r="R681" s="5" t="str">
        <f>_xlfn.XLOOKUP(Clean_Data[[#This Row],[Type of Event]],event_type_category[Type of Event],event_type_category[Category],"Not found")</f>
        <v>Politics &amp; Law</v>
      </c>
    </row>
    <row r="682" spans="1:18">
      <c r="A682">
        <v>723</v>
      </c>
      <c r="B682" t="s">
        <v>5030</v>
      </c>
      <c r="C682" t="s">
        <v>246</v>
      </c>
      <c r="D682" t="s">
        <v>47</v>
      </c>
      <c r="E682" t="s">
        <v>1469</v>
      </c>
      <c r="F682" t="s">
        <v>2843</v>
      </c>
      <c r="G682" t="s">
        <v>2859</v>
      </c>
      <c r="H682" t="s">
        <v>3154</v>
      </c>
      <c r="I682" t="s">
        <v>3155</v>
      </c>
      <c r="J682" t="s">
        <v>3141</v>
      </c>
      <c r="K682" t="s">
        <v>3156</v>
      </c>
      <c r="L682" t="s">
        <v>54</v>
      </c>
      <c r="M682">
        <v>1854</v>
      </c>
      <c r="N682" s="5">
        <f>ROUNDUP(Clean_Data[[#This Row],[Year_Num]]/100,0)</f>
        <v>19</v>
      </c>
      <c r="O682" s="5" t="str" cm="1">
        <f t="array" ref="O682">_xlfn.LET(_xlpm.y,Clean_Data[[#This Row],[Year_Num]],_xlfn.IFS(_xlpm.y&lt;500,"Ancient",_xlpm.y&lt;1500,"Medieval",_xlpm.y&lt;1800,"Early Modern",_xlpm.y&lt;1946,"Modern",TRUE,"Contemporary"))</f>
        <v>Modern</v>
      </c>
      <c r="P682" s="5" t="str">
        <f>_xlfn.XLOOKUP(Clean_Data[[#This Row],[Country]],country_region[Country],country_region[Country_Standard],"Not found")</f>
        <v>USA</v>
      </c>
      <c r="Q682" s="5" t="str">
        <f>_xlfn.XLOOKUP(Clean_Data[[#This Row],[Country]],country_region[Country],country_region[Region],"Not found")</f>
        <v>North America</v>
      </c>
      <c r="R682" s="5" t="str">
        <f>_xlfn.XLOOKUP(Clean_Data[[#This Row],[Type of Event]],event_type_category[Type of Event],event_type_category[Category],"Not found")</f>
        <v>Politics &amp; Law</v>
      </c>
    </row>
    <row r="683" spans="1:18">
      <c r="A683">
        <v>724</v>
      </c>
      <c r="B683" t="s">
        <v>3157</v>
      </c>
      <c r="C683" t="s">
        <v>246</v>
      </c>
      <c r="D683" t="s">
        <v>267</v>
      </c>
      <c r="E683" t="s">
        <v>1692</v>
      </c>
      <c r="F683" t="s">
        <v>2843</v>
      </c>
      <c r="G683" t="s">
        <v>2849</v>
      </c>
      <c r="H683" t="s">
        <v>3158</v>
      </c>
      <c r="I683" t="s">
        <v>3159</v>
      </c>
      <c r="J683" t="s">
        <v>2852</v>
      </c>
      <c r="K683" t="s">
        <v>3160</v>
      </c>
      <c r="L683" t="s">
        <v>21</v>
      </c>
      <c r="M683">
        <v>1867</v>
      </c>
      <c r="N683" s="5">
        <f>ROUNDUP(Clean_Data[[#This Row],[Year_Num]]/100,0)</f>
        <v>19</v>
      </c>
      <c r="O683" s="5" t="str" cm="1">
        <f t="array" ref="O683">_xlfn.LET(_xlpm.y,Clean_Data[[#This Row],[Year_Num]],_xlfn.IFS(_xlpm.y&lt;500,"Ancient",_xlpm.y&lt;1500,"Medieval",_xlpm.y&lt;1800,"Early Modern",_xlpm.y&lt;1946,"Modern",TRUE,"Contemporary"))</f>
        <v>Modern</v>
      </c>
      <c r="P683" s="5" t="str">
        <f>_xlfn.XLOOKUP(Clean_Data[[#This Row],[Country]],country_region[Country],country_region[Country_Standard],"Not found")</f>
        <v>USA</v>
      </c>
      <c r="Q683" s="5" t="str">
        <f>_xlfn.XLOOKUP(Clean_Data[[#This Row],[Country]],country_region[Country],country_region[Region],"Not found")</f>
        <v>North America</v>
      </c>
      <c r="R683" s="5" t="str">
        <f>_xlfn.XLOOKUP(Clean_Data[[#This Row],[Type of Event]],event_type_category[Type of Event],event_type_category[Category],"Not found")</f>
        <v>Independence &amp; Nation-Building</v>
      </c>
    </row>
    <row r="684" spans="1:18">
      <c r="A684">
        <v>725</v>
      </c>
      <c r="B684" t="s">
        <v>3161</v>
      </c>
      <c r="E684" t="s">
        <v>2519</v>
      </c>
      <c r="F684" t="s">
        <v>2843</v>
      </c>
      <c r="G684" t="s">
        <v>5031</v>
      </c>
      <c r="H684" t="s">
        <v>2854</v>
      </c>
      <c r="I684" t="s">
        <v>5032</v>
      </c>
      <c r="J684" t="s">
        <v>3164</v>
      </c>
      <c r="K684" t="s">
        <v>3165</v>
      </c>
      <c r="L684" t="s">
        <v>36</v>
      </c>
      <c r="M684">
        <v>1865</v>
      </c>
      <c r="N684" s="5">
        <f>ROUNDUP(Clean_Data[[#This Row],[Year_Num]]/100,0)</f>
        <v>19</v>
      </c>
      <c r="O684" s="5" t="str" cm="1">
        <f t="array" ref="O684">_xlfn.LET(_xlpm.y,Clean_Data[[#This Row],[Year_Num]],_xlfn.IFS(_xlpm.y&lt;500,"Ancient",_xlpm.y&lt;1500,"Medieval",_xlpm.y&lt;1800,"Early Modern",_xlpm.y&lt;1946,"Modern",TRUE,"Contemporary"))</f>
        <v>Modern</v>
      </c>
      <c r="P684" s="5" t="str">
        <f>_xlfn.XLOOKUP(Clean_Data[[#This Row],[Country]],country_region[Country],country_region[Country_Standard],"Not found")</f>
        <v>USA</v>
      </c>
      <c r="Q684" s="5" t="str">
        <f>_xlfn.XLOOKUP(Clean_Data[[#This Row],[Country]],country_region[Country],country_region[Region],"Not found")</f>
        <v>North America</v>
      </c>
      <c r="R684" s="5" t="str">
        <f>_xlfn.XLOOKUP(Clean_Data[[#This Row],[Type of Event]],event_type_category[Type of Event],event_type_category[Category],"Not found")</f>
        <v>Economy &amp; Infrastructure</v>
      </c>
    </row>
    <row r="685" spans="1:18">
      <c r="A685">
        <v>726</v>
      </c>
      <c r="B685" t="s">
        <v>3166</v>
      </c>
      <c r="E685" t="s">
        <v>3167</v>
      </c>
      <c r="F685" t="s">
        <v>2843</v>
      </c>
      <c r="G685" t="s">
        <v>3168</v>
      </c>
      <c r="H685" t="s">
        <v>300</v>
      </c>
      <c r="I685" t="s">
        <v>3169</v>
      </c>
      <c r="J685" t="s">
        <v>2856</v>
      </c>
      <c r="K685" t="s">
        <v>3170</v>
      </c>
      <c r="L685" t="s">
        <v>36</v>
      </c>
      <c r="M685">
        <v>1870</v>
      </c>
      <c r="N685" s="5">
        <f>ROUNDUP(Clean_Data[[#This Row],[Year_Num]]/100,0)</f>
        <v>19</v>
      </c>
      <c r="O685" s="5" t="str" cm="1">
        <f t="array" ref="O685">_xlfn.LET(_xlpm.y,Clean_Data[[#This Row],[Year_Num]],_xlfn.IFS(_xlpm.y&lt;500,"Ancient",_xlpm.y&lt;1500,"Medieval",_xlpm.y&lt;1800,"Early Modern",_xlpm.y&lt;1946,"Modern",TRUE,"Contemporary"))</f>
        <v>Modern</v>
      </c>
      <c r="P685" s="5" t="str">
        <f>_xlfn.XLOOKUP(Clean_Data[[#This Row],[Country]],country_region[Country],country_region[Country_Standard],"Not found")</f>
        <v>USA</v>
      </c>
      <c r="Q685" s="5" t="str">
        <f>_xlfn.XLOOKUP(Clean_Data[[#This Row],[Country]],country_region[Country],country_region[Region],"Not found")</f>
        <v>North America</v>
      </c>
      <c r="R685" s="5" t="str">
        <f>_xlfn.XLOOKUP(Clean_Data[[#This Row],[Type of Event]],event_type_category[Type of Event],event_type_category[Category],"Not found")</f>
        <v>Economy &amp; Infrastructure</v>
      </c>
    </row>
    <row r="686" spans="1:18">
      <c r="A686">
        <v>727</v>
      </c>
      <c r="B686" t="s">
        <v>3171</v>
      </c>
      <c r="C686" t="s">
        <v>46</v>
      </c>
      <c r="D686" t="s">
        <v>211</v>
      </c>
      <c r="E686" t="s">
        <v>1692</v>
      </c>
      <c r="F686" t="s">
        <v>3172</v>
      </c>
      <c r="G686" t="s">
        <v>31</v>
      </c>
      <c r="H686" t="s">
        <v>3173</v>
      </c>
      <c r="I686" t="s">
        <v>3174</v>
      </c>
      <c r="J686" t="s">
        <v>3175</v>
      </c>
      <c r="K686" t="s">
        <v>5033</v>
      </c>
      <c r="L686" t="s">
        <v>21</v>
      </c>
      <c r="M686">
        <v>1867</v>
      </c>
      <c r="N686" s="5">
        <f>ROUNDUP(Clean_Data[[#This Row],[Year_Num]]/100,0)</f>
        <v>19</v>
      </c>
      <c r="O686" s="5" t="str" cm="1">
        <f t="array" ref="O686">_xlfn.LET(_xlpm.y,Clean_Data[[#This Row],[Year_Num]],_xlfn.IFS(_xlpm.y&lt;500,"Ancient",_xlpm.y&lt;1500,"Medieval",_xlpm.y&lt;1800,"Early Modern",_xlpm.y&lt;1946,"Modern",TRUE,"Contemporary"))</f>
        <v>Modern</v>
      </c>
      <c r="P686" s="5" t="str">
        <f>_xlfn.XLOOKUP(Clean_Data[[#This Row],[Country]],country_region[Country],country_region[Country_Standard],"Not found")</f>
        <v>Canada</v>
      </c>
      <c r="Q686" s="5" t="str">
        <f>_xlfn.XLOOKUP(Clean_Data[[#This Row],[Country]],country_region[Country],country_region[Region],"Not found")</f>
        <v>North America</v>
      </c>
      <c r="R686" s="5" t="str">
        <f>_xlfn.XLOOKUP(Clean_Data[[#This Row],[Type of Event]],event_type_category[Type of Event],event_type_category[Category],"Not found")</f>
        <v>Politics &amp; Law</v>
      </c>
    </row>
    <row r="687" spans="1:18">
      <c r="A687">
        <v>728</v>
      </c>
      <c r="B687" t="s">
        <v>3177</v>
      </c>
      <c r="C687" t="s">
        <v>115</v>
      </c>
      <c r="D687" t="s">
        <v>83</v>
      </c>
      <c r="E687" t="s">
        <v>363</v>
      </c>
      <c r="F687" t="s">
        <v>3172</v>
      </c>
      <c r="G687" t="s">
        <v>175</v>
      </c>
      <c r="H687" t="s">
        <v>300</v>
      </c>
      <c r="I687" t="s">
        <v>3178</v>
      </c>
      <c r="J687" t="s">
        <v>3179</v>
      </c>
      <c r="K687" t="s">
        <v>3180</v>
      </c>
      <c r="L687" t="s">
        <v>21</v>
      </c>
      <c r="M687">
        <v>1885</v>
      </c>
      <c r="N687" s="5">
        <f>ROUNDUP(Clean_Data[[#This Row],[Year_Num]]/100,0)</f>
        <v>19</v>
      </c>
      <c r="O687" s="5" t="str" cm="1">
        <f t="array" ref="O687">_xlfn.LET(_xlpm.y,Clean_Data[[#This Row],[Year_Num]],_xlfn.IFS(_xlpm.y&lt;500,"Ancient",_xlpm.y&lt;1500,"Medieval",_xlpm.y&lt;1800,"Early Modern",_xlpm.y&lt;1946,"Modern",TRUE,"Contemporary"))</f>
        <v>Modern</v>
      </c>
      <c r="P687" s="5" t="str">
        <f>_xlfn.XLOOKUP(Clean_Data[[#This Row],[Country]],country_region[Country],country_region[Country_Standard],"Not found")</f>
        <v>Canada</v>
      </c>
      <c r="Q687" s="5" t="str">
        <f>_xlfn.XLOOKUP(Clean_Data[[#This Row],[Country]],country_region[Country],country_region[Region],"Not found")</f>
        <v>North America</v>
      </c>
      <c r="R687" s="5" t="str">
        <f>_xlfn.XLOOKUP(Clean_Data[[#This Row],[Type of Event]],event_type_category[Type of Event],event_type_category[Category],"Not found")</f>
        <v>Economy &amp; Infrastructure</v>
      </c>
    </row>
    <row r="688" spans="1:18">
      <c r="A688">
        <v>729</v>
      </c>
      <c r="B688" t="s">
        <v>3181</v>
      </c>
      <c r="C688" t="s">
        <v>240</v>
      </c>
      <c r="D688" t="s">
        <v>39</v>
      </c>
      <c r="E688" t="s">
        <v>1066</v>
      </c>
      <c r="F688" t="s">
        <v>3172</v>
      </c>
      <c r="G688" t="s">
        <v>356</v>
      </c>
      <c r="H688" t="s">
        <v>3182</v>
      </c>
      <c r="I688" t="s">
        <v>3183</v>
      </c>
      <c r="J688" t="s">
        <v>3184</v>
      </c>
      <c r="K688" t="s">
        <v>3185</v>
      </c>
      <c r="L688" t="s">
        <v>21</v>
      </c>
      <c r="M688">
        <v>1917</v>
      </c>
      <c r="N688" s="5">
        <f>ROUNDUP(Clean_Data[[#This Row],[Year_Num]]/100,0)</f>
        <v>20</v>
      </c>
      <c r="O688" s="5" t="str" cm="1">
        <f t="array" ref="O688">_xlfn.LET(_xlpm.y,Clean_Data[[#This Row],[Year_Num]],_xlfn.IFS(_xlpm.y&lt;500,"Ancient",_xlpm.y&lt;1500,"Medieval",_xlpm.y&lt;1800,"Early Modern",_xlpm.y&lt;1946,"Modern",TRUE,"Contemporary"))</f>
        <v>Modern</v>
      </c>
      <c r="P688" s="5" t="str">
        <f>_xlfn.XLOOKUP(Clean_Data[[#This Row],[Country]],country_region[Country],country_region[Country_Standard],"Not found")</f>
        <v>Canada</v>
      </c>
      <c r="Q688" s="5" t="str">
        <f>_xlfn.XLOOKUP(Clean_Data[[#This Row],[Country]],country_region[Country],country_region[Region],"Not found")</f>
        <v>North America</v>
      </c>
      <c r="R688" s="5" t="str">
        <f>_xlfn.XLOOKUP(Clean_Data[[#This Row],[Type of Event]],event_type_category[Type of Event],event_type_category[Category],"Not found")</f>
        <v>War &amp; Conflict</v>
      </c>
    </row>
    <row r="689" spans="1:18">
      <c r="A689">
        <v>730</v>
      </c>
      <c r="B689" t="s">
        <v>3186</v>
      </c>
      <c r="C689" t="s">
        <v>522</v>
      </c>
      <c r="D689" t="s">
        <v>211</v>
      </c>
      <c r="E689" t="s">
        <v>1099</v>
      </c>
      <c r="F689" t="s">
        <v>3172</v>
      </c>
      <c r="G689" t="s">
        <v>3187</v>
      </c>
      <c r="H689" t="s">
        <v>3188</v>
      </c>
      <c r="I689" t="s">
        <v>3189</v>
      </c>
      <c r="J689" t="s">
        <v>3190</v>
      </c>
      <c r="K689" t="s">
        <v>3191</v>
      </c>
      <c r="L689" t="s">
        <v>21</v>
      </c>
      <c r="M689">
        <v>1921</v>
      </c>
      <c r="N689" s="5">
        <f>ROUNDUP(Clean_Data[[#This Row],[Year_Num]]/100,0)</f>
        <v>20</v>
      </c>
      <c r="O689" s="5" t="str" cm="1">
        <f t="array" ref="O689">_xlfn.LET(_xlpm.y,Clean_Data[[#This Row],[Year_Num]],_xlfn.IFS(_xlpm.y&lt;500,"Ancient",_xlpm.y&lt;1500,"Medieval",_xlpm.y&lt;1800,"Early Modern",_xlpm.y&lt;1946,"Modern",TRUE,"Contemporary"))</f>
        <v>Modern</v>
      </c>
      <c r="P689" s="5" t="str">
        <f>_xlfn.XLOOKUP(Clean_Data[[#This Row],[Country]],country_region[Country],country_region[Country_Standard],"Not found")</f>
        <v>Canada</v>
      </c>
      <c r="Q689" s="5" t="str">
        <f>_xlfn.XLOOKUP(Clean_Data[[#This Row],[Country]],country_region[Country],country_region[Region],"Not found")</f>
        <v>North America</v>
      </c>
      <c r="R689" s="5" t="str">
        <f>_xlfn.XLOOKUP(Clean_Data[[#This Row],[Type of Event]],event_type_category[Type of Event],event_type_category[Category],"Not found")</f>
        <v>Science, Technology &amp; Exploration</v>
      </c>
    </row>
    <row r="690" spans="1:18">
      <c r="A690">
        <v>731</v>
      </c>
      <c r="B690" t="s">
        <v>3192</v>
      </c>
      <c r="C690" t="s">
        <v>251</v>
      </c>
      <c r="D690" t="s">
        <v>267</v>
      </c>
      <c r="E690" t="s">
        <v>947</v>
      </c>
      <c r="F690" t="s">
        <v>3172</v>
      </c>
      <c r="G690" t="s">
        <v>31</v>
      </c>
      <c r="H690" t="s">
        <v>3193</v>
      </c>
      <c r="I690" t="s">
        <v>3194</v>
      </c>
      <c r="J690" t="s">
        <v>3195</v>
      </c>
      <c r="K690" t="s">
        <v>3196</v>
      </c>
      <c r="L690" t="s">
        <v>21</v>
      </c>
      <c r="M690">
        <v>1949</v>
      </c>
      <c r="N690" s="5">
        <f>ROUNDUP(Clean_Data[[#This Row],[Year_Num]]/100,0)</f>
        <v>20</v>
      </c>
      <c r="O690" s="5" t="str" cm="1">
        <f t="array" ref="O690">_xlfn.LET(_xlpm.y,Clean_Data[[#This Row],[Year_Num]],_xlfn.IFS(_xlpm.y&lt;500,"Ancient",_xlpm.y&lt;1500,"Medieval",_xlpm.y&lt;1800,"Early Modern",_xlpm.y&lt;1946,"Modern",TRUE,"Contemporary"))</f>
        <v>Contemporary</v>
      </c>
      <c r="P690" s="5" t="str">
        <f>_xlfn.XLOOKUP(Clean_Data[[#This Row],[Country]],country_region[Country],country_region[Country_Standard],"Not found")</f>
        <v>Canada</v>
      </c>
      <c r="Q690" s="5" t="str">
        <f>_xlfn.XLOOKUP(Clean_Data[[#This Row],[Country]],country_region[Country],country_region[Region],"Not found")</f>
        <v>North America</v>
      </c>
      <c r="R690" s="5" t="str">
        <f>_xlfn.XLOOKUP(Clean_Data[[#This Row],[Type of Event]],event_type_category[Type of Event],event_type_category[Category],"Not found")</f>
        <v>Politics &amp; Law</v>
      </c>
    </row>
    <row r="691" spans="1:18">
      <c r="A691">
        <v>732</v>
      </c>
      <c r="B691" t="s">
        <v>3197</v>
      </c>
      <c r="C691" t="s">
        <v>56</v>
      </c>
      <c r="D691" t="s">
        <v>173</v>
      </c>
      <c r="E691" t="s">
        <v>2326</v>
      </c>
      <c r="F691" t="s">
        <v>3172</v>
      </c>
      <c r="G691" t="s">
        <v>1244</v>
      </c>
      <c r="H691" t="s">
        <v>3173</v>
      </c>
      <c r="I691" t="s">
        <v>3198</v>
      </c>
      <c r="J691" t="s">
        <v>3175</v>
      </c>
      <c r="K691" t="s">
        <v>3199</v>
      </c>
      <c r="L691" t="s">
        <v>21</v>
      </c>
      <c r="M691">
        <v>1965</v>
      </c>
      <c r="N691" s="5">
        <f>ROUNDUP(Clean_Data[[#This Row],[Year_Num]]/100,0)</f>
        <v>20</v>
      </c>
      <c r="O691" s="5" t="str" cm="1">
        <f t="array" ref="O691">_xlfn.LET(_xlpm.y,Clean_Data[[#This Row],[Year_Num]],_xlfn.IFS(_xlpm.y&lt;500,"Ancient",_xlpm.y&lt;1500,"Medieval",_xlpm.y&lt;1800,"Early Modern",_xlpm.y&lt;1946,"Modern",TRUE,"Contemporary"))</f>
        <v>Contemporary</v>
      </c>
      <c r="P691" s="5" t="str">
        <f>_xlfn.XLOOKUP(Clean_Data[[#This Row],[Country]],country_region[Country],country_region[Country_Standard],"Not found")</f>
        <v>Canada</v>
      </c>
      <c r="Q691" s="5" t="str">
        <f>_xlfn.XLOOKUP(Clean_Data[[#This Row],[Country]],country_region[Country],country_region[Region],"Not found")</f>
        <v>North America</v>
      </c>
      <c r="R691" s="5" t="str">
        <f>_xlfn.XLOOKUP(Clean_Data[[#This Row],[Type of Event]],event_type_category[Type of Event],event_type_category[Category],"Not found")</f>
        <v>Culture, Religion &amp; Sport</v>
      </c>
    </row>
    <row r="692" spans="1:18">
      <c r="A692">
        <v>733</v>
      </c>
      <c r="B692" t="s">
        <v>3200</v>
      </c>
      <c r="C692" t="s">
        <v>240</v>
      </c>
      <c r="D692" t="s">
        <v>286</v>
      </c>
      <c r="E692" t="s">
        <v>449</v>
      </c>
      <c r="F692" t="s">
        <v>3172</v>
      </c>
      <c r="G692" t="s">
        <v>2859</v>
      </c>
      <c r="H692" t="s">
        <v>300</v>
      </c>
      <c r="I692" t="s">
        <v>3201</v>
      </c>
      <c r="J692" t="s">
        <v>3202</v>
      </c>
      <c r="K692" t="s">
        <v>3203</v>
      </c>
      <c r="L692" t="s">
        <v>21</v>
      </c>
      <c r="M692">
        <v>1969</v>
      </c>
      <c r="N692" s="5">
        <f>ROUNDUP(Clean_Data[[#This Row],[Year_Num]]/100,0)</f>
        <v>20</v>
      </c>
      <c r="O692" s="5" t="str" cm="1">
        <f t="array" ref="O692">_xlfn.LET(_xlpm.y,Clean_Data[[#This Row],[Year_Num]],_xlfn.IFS(_xlpm.y&lt;500,"Ancient",_xlpm.y&lt;1500,"Medieval",_xlpm.y&lt;1800,"Early Modern",_xlpm.y&lt;1946,"Modern",TRUE,"Contemporary"))</f>
        <v>Contemporary</v>
      </c>
      <c r="P692" s="5" t="str">
        <f>_xlfn.XLOOKUP(Clean_Data[[#This Row],[Country]],country_region[Country],country_region[Country_Standard],"Not found")</f>
        <v>Canada</v>
      </c>
      <c r="Q692" s="5" t="str">
        <f>_xlfn.XLOOKUP(Clean_Data[[#This Row],[Country]],country_region[Country],country_region[Region],"Not found")</f>
        <v>North America</v>
      </c>
      <c r="R692" s="5" t="str">
        <f>_xlfn.XLOOKUP(Clean_Data[[#This Row],[Type of Event]],event_type_category[Type of Event],event_type_category[Category],"Not found")</f>
        <v>Politics &amp; Law</v>
      </c>
    </row>
    <row r="693" spans="1:18">
      <c r="A693">
        <v>734</v>
      </c>
      <c r="B693" t="s">
        <v>3204</v>
      </c>
      <c r="C693" t="s">
        <v>1129</v>
      </c>
      <c r="D693" t="s">
        <v>39</v>
      </c>
      <c r="E693" t="s">
        <v>741</v>
      </c>
      <c r="F693" t="s">
        <v>3172</v>
      </c>
      <c r="G693" t="s">
        <v>2859</v>
      </c>
      <c r="H693" t="s">
        <v>3173</v>
      </c>
      <c r="I693" t="s">
        <v>3205</v>
      </c>
      <c r="J693" t="s">
        <v>3175</v>
      </c>
      <c r="K693" t="s">
        <v>3206</v>
      </c>
      <c r="L693" t="s">
        <v>21</v>
      </c>
      <c r="M693">
        <v>1982</v>
      </c>
      <c r="N693" s="5">
        <f>ROUNDUP(Clean_Data[[#This Row],[Year_Num]]/100,0)</f>
        <v>20</v>
      </c>
      <c r="O693" s="5" t="str" cm="1">
        <f t="array" ref="O693">_xlfn.LET(_xlpm.y,Clean_Data[[#This Row],[Year_Num]],_xlfn.IFS(_xlpm.y&lt;500,"Ancient",_xlpm.y&lt;1500,"Medieval",_xlpm.y&lt;1800,"Early Modern",_xlpm.y&lt;1946,"Modern",TRUE,"Contemporary"))</f>
        <v>Contemporary</v>
      </c>
      <c r="P693" s="5" t="str">
        <f>_xlfn.XLOOKUP(Clean_Data[[#This Row],[Country]],country_region[Country],country_region[Country_Standard],"Not found")</f>
        <v>Canada</v>
      </c>
      <c r="Q693" s="5" t="str">
        <f>_xlfn.XLOOKUP(Clean_Data[[#This Row],[Country]],country_region[Country],country_region[Region],"Not found")</f>
        <v>North America</v>
      </c>
      <c r="R693" s="5" t="str">
        <f>_xlfn.XLOOKUP(Clean_Data[[#This Row],[Type of Event]],event_type_category[Type of Event],event_type_category[Category],"Not found")</f>
        <v>Politics &amp; Law</v>
      </c>
    </row>
    <row r="694" spans="1:18">
      <c r="A694">
        <v>735</v>
      </c>
      <c r="B694" t="s">
        <v>3207</v>
      </c>
      <c r="C694" t="s">
        <v>74</v>
      </c>
      <c r="D694" t="s">
        <v>211</v>
      </c>
      <c r="E694" t="s">
        <v>627</v>
      </c>
      <c r="F694" t="s">
        <v>3172</v>
      </c>
      <c r="G694" t="s">
        <v>1768</v>
      </c>
      <c r="H694" t="s">
        <v>3208</v>
      </c>
      <c r="I694" t="s">
        <v>3209</v>
      </c>
      <c r="J694" t="s">
        <v>3210</v>
      </c>
      <c r="K694" t="s">
        <v>3211</v>
      </c>
      <c r="L694" t="s">
        <v>54</v>
      </c>
      <c r="M694">
        <v>1990</v>
      </c>
      <c r="N694" s="5">
        <f>ROUNDUP(Clean_Data[[#This Row],[Year_Num]]/100,0)</f>
        <v>20</v>
      </c>
      <c r="O694" s="5" t="str" cm="1">
        <f t="array" ref="O694">_xlfn.LET(_xlpm.y,Clean_Data[[#This Row],[Year_Num]],_xlfn.IFS(_xlpm.y&lt;500,"Ancient",_xlpm.y&lt;1500,"Medieval",_xlpm.y&lt;1800,"Early Modern",_xlpm.y&lt;1946,"Modern",TRUE,"Contemporary"))</f>
        <v>Contemporary</v>
      </c>
      <c r="P694" s="5" t="str">
        <f>_xlfn.XLOOKUP(Clean_Data[[#This Row],[Country]],country_region[Country],country_region[Country_Standard],"Not found")</f>
        <v>Canada</v>
      </c>
      <c r="Q694" s="5" t="str">
        <f>_xlfn.XLOOKUP(Clean_Data[[#This Row],[Country]],country_region[Country],country_region[Region],"Not found")</f>
        <v>North America</v>
      </c>
      <c r="R694" s="5" t="str">
        <f>_xlfn.XLOOKUP(Clean_Data[[#This Row],[Type of Event]],event_type_category[Type of Event],event_type_category[Category],"Not found")</f>
        <v>Society &amp; Health</v>
      </c>
    </row>
    <row r="695" spans="1:18">
      <c r="A695">
        <v>736</v>
      </c>
      <c r="B695" t="s">
        <v>3212</v>
      </c>
      <c r="C695" t="s">
        <v>1129</v>
      </c>
      <c r="D695" t="s">
        <v>66</v>
      </c>
      <c r="E695" t="s">
        <v>893</v>
      </c>
      <c r="F695" t="s">
        <v>3172</v>
      </c>
      <c r="G695" t="s">
        <v>1463</v>
      </c>
      <c r="H695" t="s">
        <v>3173</v>
      </c>
      <c r="I695" t="s">
        <v>3213</v>
      </c>
      <c r="J695" t="s">
        <v>3214</v>
      </c>
      <c r="K695" t="s">
        <v>3215</v>
      </c>
      <c r="L695" t="s">
        <v>36</v>
      </c>
      <c r="M695">
        <v>1992</v>
      </c>
      <c r="N695" s="5">
        <f>ROUNDUP(Clean_Data[[#This Row],[Year_Num]]/100,0)</f>
        <v>20</v>
      </c>
      <c r="O695" s="5" t="str" cm="1">
        <f t="array" ref="O695">_xlfn.LET(_xlpm.y,Clean_Data[[#This Row],[Year_Num]],_xlfn.IFS(_xlpm.y&lt;500,"Ancient",_xlpm.y&lt;1500,"Medieval",_xlpm.y&lt;1800,"Early Modern",_xlpm.y&lt;1946,"Modern",TRUE,"Contemporary"))</f>
        <v>Contemporary</v>
      </c>
      <c r="P695" s="5" t="str">
        <f>_xlfn.XLOOKUP(Clean_Data[[#This Row],[Country]],country_region[Country],country_region[Country_Standard],"Not found")</f>
        <v>Canada</v>
      </c>
      <c r="Q695" s="5" t="str">
        <f>_xlfn.XLOOKUP(Clean_Data[[#This Row],[Country]],country_region[Country],country_region[Region],"Not found")</f>
        <v>North America</v>
      </c>
      <c r="R695" s="5" t="str">
        <f>_xlfn.XLOOKUP(Clean_Data[[#This Row],[Type of Event]],event_type_category[Type of Event],event_type_category[Category],"Not found")</f>
        <v>Economy &amp; Infrastructure</v>
      </c>
    </row>
    <row r="696" spans="1:18">
      <c r="A696">
        <v>737</v>
      </c>
      <c r="B696" t="s">
        <v>3216</v>
      </c>
      <c r="C696" t="s">
        <v>74</v>
      </c>
      <c r="D696" t="s">
        <v>100</v>
      </c>
      <c r="E696" t="s">
        <v>84</v>
      </c>
      <c r="F696" t="s">
        <v>3172</v>
      </c>
      <c r="G696" t="s">
        <v>3217</v>
      </c>
      <c r="H696" t="s">
        <v>3173</v>
      </c>
      <c r="I696" t="s">
        <v>3218</v>
      </c>
      <c r="J696" t="s">
        <v>3219</v>
      </c>
      <c r="K696" t="s">
        <v>3220</v>
      </c>
      <c r="L696" t="s">
        <v>21</v>
      </c>
      <c r="M696">
        <v>2008</v>
      </c>
      <c r="N696" s="5">
        <f>ROUNDUP(Clean_Data[[#This Row],[Year_Num]]/100,0)</f>
        <v>21</v>
      </c>
      <c r="O696" s="5" t="str" cm="1">
        <f t="array" ref="O696">_xlfn.LET(_xlpm.y,Clean_Data[[#This Row],[Year_Num]],_xlfn.IFS(_xlpm.y&lt;500,"Ancient",_xlpm.y&lt;1500,"Medieval",_xlpm.y&lt;1800,"Early Modern",_xlpm.y&lt;1946,"Modern",TRUE,"Contemporary"))</f>
        <v>Contemporary</v>
      </c>
      <c r="P696" s="5" t="str">
        <f>_xlfn.XLOOKUP(Clean_Data[[#This Row],[Country]],country_region[Country],country_region[Country_Standard],"Not found")</f>
        <v>Canada</v>
      </c>
      <c r="Q696" s="5" t="str">
        <f>_xlfn.XLOOKUP(Clean_Data[[#This Row],[Country]],country_region[Country],country_region[Region],"Not found")</f>
        <v>North America</v>
      </c>
      <c r="R696" s="5" t="str">
        <f>_xlfn.XLOOKUP(Clean_Data[[#This Row],[Type of Event]],event_type_category[Type of Event],event_type_category[Category],"Not found")</f>
        <v>Society &amp; Health</v>
      </c>
    </row>
    <row r="697" spans="1:18">
      <c r="A697">
        <v>738</v>
      </c>
      <c r="B697" t="s">
        <v>3221</v>
      </c>
      <c r="C697" t="s">
        <v>353</v>
      </c>
      <c r="D697" t="s">
        <v>173</v>
      </c>
      <c r="E697" t="s">
        <v>623</v>
      </c>
      <c r="F697" t="s">
        <v>3172</v>
      </c>
      <c r="G697" t="s">
        <v>273</v>
      </c>
      <c r="H697" t="s">
        <v>3222</v>
      </c>
      <c r="I697" t="s">
        <v>3223</v>
      </c>
      <c r="J697" t="s">
        <v>3224</v>
      </c>
      <c r="K697" t="s">
        <v>3225</v>
      </c>
      <c r="L697" t="s">
        <v>21</v>
      </c>
      <c r="M697">
        <v>2010</v>
      </c>
      <c r="N697" s="5">
        <f>ROUNDUP(Clean_Data[[#This Row],[Year_Num]]/100,0)</f>
        <v>21</v>
      </c>
      <c r="O697" s="5" t="str" cm="1">
        <f t="array" ref="O697">_xlfn.LET(_xlpm.y,Clean_Data[[#This Row],[Year_Num]],_xlfn.IFS(_xlpm.y&lt;500,"Ancient",_xlpm.y&lt;1500,"Medieval",_xlpm.y&lt;1800,"Early Modern",_xlpm.y&lt;1946,"Modern",TRUE,"Contemporary"))</f>
        <v>Contemporary</v>
      </c>
      <c r="P697" s="5" t="str">
        <f>_xlfn.XLOOKUP(Clean_Data[[#This Row],[Country]],country_region[Country],country_region[Country_Standard],"Not found")</f>
        <v>Canada</v>
      </c>
      <c r="Q697" s="5" t="str">
        <f>_xlfn.XLOOKUP(Clean_Data[[#This Row],[Country]],country_region[Country],country_region[Region],"Not found")</f>
        <v>North America</v>
      </c>
      <c r="R697" s="5" t="str">
        <f>_xlfn.XLOOKUP(Clean_Data[[#This Row],[Type of Event]],event_type_category[Type of Event],event_type_category[Category],"Not found")</f>
        <v>Culture, Religion &amp; Sport</v>
      </c>
    </row>
    <row r="698" spans="1:18">
      <c r="A698">
        <v>739</v>
      </c>
      <c r="B698" t="s">
        <v>5034</v>
      </c>
      <c r="C698" t="s">
        <v>91</v>
      </c>
      <c r="D698" t="s">
        <v>211</v>
      </c>
      <c r="E698" t="s">
        <v>144</v>
      </c>
      <c r="F698" t="s">
        <v>3172</v>
      </c>
      <c r="G698" t="s">
        <v>2859</v>
      </c>
      <c r="H698" t="s">
        <v>300</v>
      </c>
      <c r="I698" t="s">
        <v>5035</v>
      </c>
      <c r="J698" t="s">
        <v>323</v>
      </c>
      <c r="K698" t="s">
        <v>3228</v>
      </c>
      <c r="L698" t="s">
        <v>21</v>
      </c>
      <c r="M698">
        <v>2005</v>
      </c>
      <c r="N698" s="5">
        <f>ROUNDUP(Clean_Data[[#This Row],[Year_Num]]/100,0)</f>
        <v>21</v>
      </c>
      <c r="O698" s="5" t="str" cm="1">
        <f t="array" ref="O698">_xlfn.LET(_xlpm.y,Clean_Data[[#This Row],[Year_Num]],_xlfn.IFS(_xlpm.y&lt;500,"Ancient",_xlpm.y&lt;1500,"Medieval",_xlpm.y&lt;1800,"Early Modern",_xlpm.y&lt;1946,"Modern",TRUE,"Contemporary"))</f>
        <v>Contemporary</v>
      </c>
      <c r="P698" s="5" t="str">
        <f>_xlfn.XLOOKUP(Clean_Data[[#This Row],[Country]],country_region[Country],country_region[Country_Standard],"Not found")</f>
        <v>Canada</v>
      </c>
      <c r="Q698" s="5" t="str">
        <f>_xlfn.XLOOKUP(Clean_Data[[#This Row],[Country]],country_region[Country],country_region[Region],"Not found")</f>
        <v>North America</v>
      </c>
      <c r="R698" s="5" t="str">
        <f>_xlfn.XLOOKUP(Clean_Data[[#This Row],[Type of Event]],event_type_category[Type of Event],event_type_category[Category],"Not found")</f>
        <v>Politics &amp; Law</v>
      </c>
    </row>
    <row r="699" spans="1:18">
      <c r="A699">
        <v>740</v>
      </c>
      <c r="B699" t="s">
        <v>3229</v>
      </c>
      <c r="C699" t="s">
        <v>1129</v>
      </c>
      <c r="D699" t="s">
        <v>158</v>
      </c>
      <c r="E699" t="s">
        <v>174</v>
      </c>
      <c r="F699" t="s">
        <v>3172</v>
      </c>
      <c r="G699" t="s">
        <v>2859</v>
      </c>
      <c r="H699" t="s">
        <v>300</v>
      </c>
      <c r="I699" t="s">
        <v>3230</v>
      </c>
      <c r="J699" t="s">
        <v>3231</v>
      </c>
      <c r="K699" t="s">
        <v>3232</v>
      </c>
      <c r="L699" t="s">
        <v>21</v>
      </c>
      <c r="M699">
        <v>2018</v>
      </c>
      <c r="N699" s="5">
        <f>ROUNDUP(Clean_Data[[#This Row],[Year_Num]]/100,0)</f>
        <v>21</v>
      </c>
      <c r="O699" s="5" t="str" cm="1">
        <f t="array" ref="O699">_xlfn.LET(_xlpm.y,Clean_Data[[#This Row],[Year_Num]],_xlfn.IFS(_xlpm.y&lt;500,"Ancient",_xlpm.y&lt;1500,"Medieval",_xlpm.y&lt;1800,"Early Modern",_xlpm.y&lt;1946,"Modern",TRUE,"Contemporary"))</f>
        <v>Contemporary</v>
      </c>
      <c r="P699" s="5" t="str">
        <f>_xlfn.XLOOKUP(Clean_Data[[#This Row],[Country]],country_region[Country],country_region[Country_Standard],"Not found")</f>
        <v>Canada</v>
      </c>
      <c r="Q699" s="5" t="str">
        <f>_xlfn.XLOOKUP(Clean_Data[[#This Row],[Country]],country_region[Country],country_region[Region],"Not found")</f>
        <v>North America</v>
      </c>
      <c r="R699" s="5" t="str">
        <f>_xlfn.XLOOKUP(Clean_Data[[#This Row],[Type of Event]],event_type_category[Type of Event],event_type_category[Category],"Not found")</f>
        <v>Politics &amp; Law</v>
      </c>
    </row>
    <row r="700" spans="1:18">
      <c r="A700">
        <v>741</v>
      </c>
      <c r="B700" t="s">
        <v>3233</v>
      </c>
      <c r="C700" t="s">
        <v>298</v>
      </c>
      <c r="D700" t="s">
        <v>66</v>
      </c>
      <c r="E700" t="s">
        <v>341</v>
      </c>
      <c r="F700" t="s">
        <v>3172</v>
      </c>
      <c r="G700" t="s">
        <v>3217</v>
      </c>
      <c r="H700" t="s">
        <v>300</v>
      </c>
      <c r="I700" t="s">
        <v>3234</v>
      </c>
      <c r="J700" t="s">
        <v>3219</v>
      </c>
      <c r="K700" t="s">
        <v>3232</v>
      </c>
      <c r="L700" t="s">
        <v>3235</v>
      </c>
      <c r="M700">
        <v>2015</v>
      </c>
      <c r="N700" s="5">
        <f>ROUNDUP(Clean_Data[[#This Row],[Year_Num]]/100,0)</f>
        <v>21</v>
      </c>
      <c r="O700" s="5" t="str" cm="1">
        <f t="array" ref="O700">_xlfn.LET(_xlpm.y,Clean_Data[[#This Row],[Year_Num]],_xlfn.IFS(_xlpm.y&lt;500,"Ancient",_xlpm.y&lt;1500,"Medieval",_xlpm.y&lt;1800,"Early Modern",_xlpm.y&lt;1946,"Modern",TRUE,"Contemporary"))</f>
        <v>Contemporary</v>
      </c>
      <c r="P700" s="5" t="str">
        <f>_xlfn.XLOOKUP(Clean_Data[[#This Row],[Country]],country_region[Country],country_region[Country_Standard],"Not found")</f>
        <v>Canada</v>
      </c>
      <c r="Q700" s="5" t="str">
        <f>_xlfn.XLOOKUP(Clean_Data[[#This Row],[Country]],country_region[Country],country_region[Region],"Not found")</f>
        <v>North America</v>
      </c>
      <c r="R700" s="5" t="str">
        <f>_xlfn.XLOOKUP(Clean_Data[[#This Row],[Type of Event]],event_type_category[Type of Event],event_type_category[Category],"Not found")</f>
        <v>Society &amp; Health</v>
      </c>
    </row>
    <row r="701" spans="1:18">
      <c r="A701">
        <v>742</v>
      </c>
      <c r="B701" t="s">
        <v>3236</v>
      </c>
      <c r="C701" t="s">
        <v>46</v>
      </c>
      <c r="D701" t="s">
        <v>47</v>
      </c>
      <c r="E701" t="s">
        <v>299</v>
      </c>
      <c r="F701" t="s">
        <v>3172</v>
      </c>
      <c r="G701" t="s">
        <v>280</v>
      </c>
      <c r="H701" t="s">
        <v>3237</v>
      </c>
      <c r="I701" t="s">
        <v>3238</v>
      </c>
      <c r="J701" t="s">
        <v>3239</v>
      </c>
      <c r="L701" t="s">
        <v>54</v>
      </c>
      <c r="M701">
        <v>2016</v>
      </c>
      <c r="N701" s="5">
        <f>ROUNDUP(Clean_Data[[#This Row],[Year_Num]]/100,0)</f>
        <v>21</v>
      </c>
      <c r="O701" s="5" t="str" cm="1">
        <f t="array" ref="O701">_xlfn.LET(_xlpm.y,Clean_Data[[#This Row],[Year_Num]],_xlfn.IFS(_xlpm.y&lt;500,"Ancient",_xlpm.y&lt;1500,"Medieval",_xlpm.y&lt;1800,"Early Modern",_xlpm.y&lt;1946,"Modern",TRUE,"Contemporary"))</f>
        <v>Contemporary</v>
      </c>
      <c r="P701" s="5" t="str">
        <f>_xlfn.XLOOKUP(Clean_Data[[#This Row],[Country]],country_region[Country],country_region[Country_Standard],"Not found")</f>
        <v>Canada</v>
      </c>
      <c r="Q701" s="5" t="str">
        <f>_xlfn.XLOOKUP(Clean_Data[[#This Row],[Country]],country_region[Country],country_region[Region],"Not found")</f>
        <v>North America</v>
      </c>
      <c r="R701" s="5" t="str">
        <f>_xlfn.XLOOKUP(Clean_Data[[#This Row],[Type of Event]],event_type_category[Type of Event],event_type_category[Category],"Not found")</f>
        <v>Disasters &amp; Accidents</v>
      </c>
    </row>
    <row r="702" spans="1:18">
      <c r="A702">
        <v>743</v>
      </c>
      <c r="B702" t="s">
        <v>3240</v>
      </c>
      <c r="C702" t="s">
        <v>46</v>
      </c>
      <c r="D702" t="s">
        <v>39</v>
      </c>
      <c r="E702" t="s">
        <v>137</v>
      </c>
      <c r="F702" t="s">
        <v>3172</v>
      </c>
      <c r="G702" t="s">
        <v>31</v>
      </c>
      <c r="H702" t="s">
        <v>3241</v>
      </c>
      <c r="I702" t="s">
        <v>5036</v>
      </c>
      <c r="J702" t="s">
        <v>3243</v>
      </c>
      <c r="K702" t="s">
        <v>3244</v>
      </c>
      <c r="L702" t="s">
        <v>21</v>
      </c>
      <c r="M702">
        <v>1999</v>
      </c>
      <c r="N702" s="5">
        <f>ROUNDUP(Clean_Data[[#This Row],[Year_Num]]/100,0)</f>
        <v>20</v>
      </c>
      <c r="O702" s="5" t="str" cm="1">
        <f t="array" ref="O702">_xlfn.LET(_xlpm.y,Clean_Data[[#This Row],[Year_Num]],_xlfn.IFS(_xlpm.y&lt;500,"Ancient",_xlpm.y&lt;1500,"Medieval",_xlpm.y&lt;1800,"Early Modern",_xlpm.y&lt;1946,"Modern",TRUE,"Contemporary"))</f>
        <v>Contemporary</v>
      </c>
      <c r="P702" s="5" t="str">
        <f>_xlfn.XLOOKUP(Clean_Data[[#This Row],[Country]],country_region[Country],country_region[Country_Standard],"Not found")</f>
        <v>Canada</v>
      </c>
      <c r="Q702" s="5" t="str">
        <f>_xlfn.XLOOKUP(Clean_Data[[#This Row],[Country]],country_region[Country],country_region[Region],"Not found")</f>
        <v>North America</v>
      </c>
      <c r="R702" s="5" t="str">
        <f>_xlfn.XLOOKUP(Clean_Data[[#This Row],[Type of Event]],event_type_category[Type of Event],event_type_category[Category],"Not found")</f>
        <v>Politics &amp; Law</v>
      </c>
    </row>
    <row r="703" spans="1:18">
      <c r="A703">
        <v>744</v>
      </c>
      <c r="B703" t="s">
        <v>3245</v>
      </c>
      <c r="C703" t="s">
        <v>246</v>
      </c>
      <c r="D703" t="s">
        <v>158</v>
      </c>
      <c r="E703" t="s">
        <v>1409</v>
      </c>
      <c r="F703" t="s">
        <v>3172</v>
      </c>
      <c r="G703" t="s">
        <v>31</v>
      </c>
      <c r="H703" t="s">
        <v>3246</v>
      </c>
      <c r="I703" t="s">
        <v>3247</v>
      </c>
      <c r="J703" t="s">
        <v>3248</v>
      </c>
      <c r="K703" t="s">
        <v>3249</v>
      </c>
      <c r="L703" t="s">
        <v>54</v>
      </c>
      <c r="M703">
        <v>1995</v>
      </c>
      <c r="N703" s="5">
        <f>ROUNDUP(Clean_Data[[#This Row],[Year_Num]]/100,0)</f>
        <v>20</v>
      </c>
      <c r="O703" s="5" t="str" cm="1">
        <f t="array" ref="O703">_xlfn.LET(_xlpm.y,Clean_Data[[#This Row],[Year_Num]],_xlfn.IFS(_xlpm.y&lt;500,"Ancient",_xlpm.y&lt;1500,"Medieval",_xlpm.y&lt;1800,"Early Modern",_xlpm.y&lt;1946,"Modern",TRUE,"Contemporary"))</f>
        <v>Contemporary</v>
      </c>
      <c r="P703" s="5" t="str">
        <f>_xlfn.XLOOKUP(Clean_Data[[#This Row],[Country]],country_region[Country],country_region[Country_Standard],"Not found")</f>
        <v>Canada</v>
      </c>
      <c r="Q703" s="5" t="str">
        <f>_xlfn.XLOOKUP(Clean_Data[[#This Row],[Country]],country_region[Country],country_region[Region],"Not found")</f>
        <v>North America</v>
      </c>
      <c r="R703" s="5" t="str">
        <f>_xlfn.XLOOKUP(Clean_Data[[#This Row],[Type of Event]],event_type_category[Type of Event],event_type_category[Category],"Not found")</f>
        <v>Politics &amp; Law</v>
      </c>
    </row>
    <row r="704" spans="1:18">
      <c r="A704">
        <v>745</v>
      </c>
      <c r="B704" t="s">
        <v>3250</v>
      </c>
      <c r="C704" t="s">
        <v>82</v>
      </c>
      <c r="D704" t="s">
        <v>158</v>
      </c>
      <c r="E704" t="s">
        <v>893</v>
      </c>
      <c r="F704" t="s">
        <v>3172</v>
      </c>
      <c r="G704" t="s">
        <v>31</v>
      </c>
      <c r="H704" t="s">
        <v>300</v>
      </c>
      <c r="I704" t="s">
        <v>3251</v>
      </c>
      <c r="J704" t="s">
        <v>3202</v>
      </c>
      <c r="K704" t="s">
        <v>3252</v>
      </c>
      <c r="L704" t="s">
        <v>54</v>
      </c>
      <c r="M704">
        <v>1992</v>
      </c>
      <c r="N704" s="5">
        <f>ROUNDUP(Clean_Data[[#This Row],[Year_Num]]/100,0)</f>
        <v>20</v>
      </c>
      <c r="O704" s="5" t="str" cm="1">
        <f t="array" ref="O704">_xlfn.LET(_xlpm.y,Clean_Data[[#This Row],[Year_Num]],_xlfn.IFS(_xlpm.y&lt;500,"Ancient",_xlpm.y&lt;1500,"Medieval",_xlpm.y&lt;1800,"Early Modern",_xlpm.y&lt;1946,"Modern",TRUE,"Contemporary"))</f>
        <v>Contemporary</v>
      </c>
      <c r="P704" s="5" t="str">
        <f>_xlfn.XLOOKUP(Clean_Data[[#This Row],[Country]],country_region[Country],country_region[Country_Standard],"Not found")</f>
        <v>Canada</v>
      </c>
      <c r="Q704" s="5" t="str">
        <f>_xlfn.XLOOKUP(Clean_Data[[#This Row],[Country]],country_region[Country],country_region[Region],"Not found")</f>
        <v>North America</v>
      </c>
      <c r="R704" s="5" t="str">
        <f>_xlfn.XLOOKUP(Clean_Data[[#This Row],[Type of Event]],event_type_category[Type of Event],event_type_category[Category],"Not found")</f>
        <v>Politics &amp; Law</v>
      </c>
    </row>
    <row r="705" spans="1:18">
      <c r="A705">
        <v>746</v>
      </c>
      <c r="B705" t="s">
        <v>3253</v>
      </c>
      <c r="E705" t="s">
        <v>3037</v>
      </c>
      <c r="F705" t="s">
        <v>3172</v>
      </c>
      <c r="G705" t="s">
        <v>31</v>
      </c>
      <c r="H705" t="s">
        <v>3254</v>
      </c>
      <c r="I705" t="s">
        <v>3255</v>
      </c>
      <c r="J705" t="s">
        <v>3256</v>
      </c>
      <c r="K705" t="s">
        <v>3257</v>
      </c>
      <c r="L705" t="s">
        <v>36</v>
      </c>
      <c r="M705">
        <v>1869</v>
      </c>
      <c r="N705" s="5">
        <f>ROUNDUP(Clean_Data[[#This Row],[Year_Num]]/100,0)</f>
        <v>19</v>
      </c>
      <c r="O705" s="5" t="str" cm="1">
        <f t="array" ref="O705">_xlfn.LET(_xlpm.y,Clean_Data[[#This Row],[Year_Num]],_xlfn.IFS(_xlpm.y&lt;500,"Ancient",_xlpm.y&lt;1500,"Medieval",_xlpm.y&lt;1800,"Early Modern",_xlpm.y&lt;1946,"Modern",TRUE,"Contemporary"))</f>
        <v>Modern</v>
      </c>
      <c r="P705" s="5" t="str">
        <f>_xlfn.XLOOKUP(Clean_Data[[#This Row],[Country]],country_region[Country],country_region[Country_Standard],"Not found")</f>
        <v>Canada</v>
      </c>
      <c r="Q705" s="5" t="str">
        <f>_xlfn.XLOOKUP(Clean_Data[[#This Row],[Country]],country_region[Country],country_region[Region],"Not found")</f>
        <v>North America</v>
      </c>
      <c r="R705" s="5" t="str">
        <f>_xlfn.XLOOKUP(Clean_Data[[#This Row],[Type of Event]],event_type_category[Type of Event],event_type_category[Category],"Not found")</f>
        <v>Politics &amp; Law</v>
      </c>
    </row>
    <row r="706" spans="1:18">
      <c r="A706">
        <v>747</v>
      </c>
      <c r="B706" t="s">
        <v>3258</v>
      </c>
      <c r="E706" t="s">
        <v>3259</v>
      </c>
      <c r="F706" t="s">
        <v>3172</v>
      </c>
      <c r="G706" t="s">
        <v>1463</v>
      </c>
      <c r="H706" t="s">
        <v>3260</v>
      </c>
      <c r="I706" t="s">
        <v>3261</v>
      </c>
      <c r="J706" t="s">
        <v>3262</v>
      </c>
      <c r="L706" t="s">
        <v>21</v>
      </c>
      <c r="M706">
        <v>1896</v>
      </c>
      <c r="N706" s="5">
        <f>ROUNDUP(Clean_Data[[#This Row],[Year_Num]]/100,0)</f>
        <v>19</v>
      </c>
      <c r="O706" s="5" t="str" cm="1">
        <f t="array" ref="O706">_xlfn.LET(_xlpm.y,Clean_Data[[#This Row],[Year_Num]],_xlfn.IFS(_xlpm.y&lt;500,"Ancient",_xlpm.y&lt;1500,"Medieval",_xlpm.y&lt;1800,"Early Modern",_xlpm.y&lt;1946,"Modern",TRUE,"Contemporary"))</f>
        <v>Modern</v>
      </c>
      <c r="P706" s="5" t="str">
        <f>_xlfn.XLOOKUP(Clean_Data[[#This Row],[Country]],country_region[Country],country_region[Country_Standard],"Not found")</f>
        <v>Canada</v>
      </c>
      <c r="Q706" s="5" t="str">
        <f>_xlfn.XLOOKUP(Clean_Data[[#This Row],[Country]],country_region[Country],country_region[Region],"Not found")</f>
        <v>North America</v>
      </c>
      <c r="R706" s="5" t="str">
        <f>_xlfn.XLOOKUP(Clean_Data[[#This Row],[Type of Event]],event_type_category[Type of Event],event_type_category[Category],"Not found")</f>
        <v>Economy &amp; Infrastructure</v>
      </c>
    </row>
    <row r="707" spans="1:18">
      <c r="A707">
        <v>748</v>
      </c>
      <c r="B707" t="s">
        <v>3263</v>
      </c>
      <c r="C707" t="s">
        <v>321</v>
      </c>
      <c r="D707" t="s">
        <v>66</v>
      </c>
      <c r="E707" t="s">
        <v>1066</v>
      </c>
      <c r="F707" t="s">
        <v>3172</v>
      </c>
      <c r="G707" t="s">
        <v>3264</v>
      </c>
      <c r="H707" t="s">
        <v>3265</v>
      </c>
      <c r="I707" t="s">
        <v>5037</v>
      </c>
      <c r="J707" t="s">
        <v>3267</v>
      </c>
      <c r="L707" t="s">
        <v>54</v>
      </c>
      <c r="M707">
        <v>1917</v>
      </c>
      <c r="N707" s="5">
        <f>ROUNDUP(Clean_Data[[#This Row],[Year_Num]]/100,0)</f>
        <v>20</v>
      </c>
      <c r="O707" s="5" t="str" cm="1">
        <f t="array" ref="O707">_xlfn.LET(_xlpm.y,Clean_Data[[#This Row],[Year_Num]],_xlfn.IFS(_xlpm.y&lt;500,"Ancient",_xlpm.y&lt;1500,"Medieval",_xlpm.y&lt;1800,"Early Modern",_xlpm.y&lt;1946,"Modern",TRUE,"Contemporary"))</f>
        <v>Modern</v>
      </c>
      <c r="P707" s="5" t="str">
        <f>_xlfn.XLOOKUP(Clean_Data[[#This Row],[Country]],country_region[Country],country_region[Country_Standard],"Not found")</f>
        <v>Canada</v>
      </c>
      <c r="Q707" s="5" t="str">
        <f>_xlfn.XLOOKUP(Clean_Data[[#This Row],[Country]],country_region[Country],country_region[Region],"Not found")</f>
        <v>North America</v>
      </c>
      <c r="R707" s="5" t="str">
        <f>_xlfn.XLOOKUP(Clean_Data[[#This Row],[Type of Event]],event_type_category[Type of Event],event_type_category[Category],"Not found")</f>
        <v>Disasters &amp; Accidents</v>
      </c>
    </row>
    <row r="708" spans="1:18">
      <c r="A708">
        <v>749</v>
      </c>
      <c r="B708" t="s">
        <v>3268</v>
      </c>
      <c r="E708" t="s">
        <v>411</v>
      </c>
      <c r="F708" t="s">
        <v>3172</v>
      </c>
      <c r="G708" t="s">
        <v>3269</v>
      </c>
      <c r="H708" t="s">
        <v>3270</v>
      </c>
      <c r="I708" t="s">
        <v>3271</v>
      </c>
      <c r="J708" t="s">
        <v>3272</v>
      </c>
      <c r="K708" t="s">
        <v>3273</v>
      </c>
      <c r="L708" t="s">
        <v>54</v>
      </c>
      <c r="M708">
        <v>1942</v>
      </c>
      <c r="N708" s="5">
        <f>ROUNDUP(Clean_Data[[#This Row],[Year_Num]]/100,0)</f>
        <v>20</v>
      </c>
      <c r="O708" s="5" t="str" cm="1">
        <f t="array" ref="O708">_xlfn.LET(_xlpm.y,Clean_Data[[#This Row],[Year_Num]],_xlfn.IFS(_xlpm.y&lt;500,"Ancient",_xlpm.y&lt;1500,"Medieval",_xlpm.y&lt;1800,"Early Modern",_xlpm.y&lt;1946,"Modern",TRUE,"Contemporary"))</f>
        <v>Modern</v>
      </c>
      <c r="P708" s="5" t="str">
        <f>_xlfn.XLOOKUP(Clean_Data[[#This Row],[Country]],country_region[Country],country_region[Country_Standard],"Not found")</f>
        <v>Canada</v>
      </c>
      <c r="Q708" s="5" t="str">
        <f>_xlfn.XLOOKUP(Clean_Data[[#This Row],[Country]],country_region[Country],country_region[Region],"Not found")</f>
        <v>North America</v>
      </c>
      <c r="R708" s="5" t="str">
        <f>_xlfn.XLOOKUP(Clean_Data[[#This Row],[Type of Event]],event_type_category[Type of Event],event_type_category[Category],"Not found")</f>
        <v>Society &amp; Health</v>
      </c>
    </row>
    <row r="709" spans="1:18">
      <c r="A709">
        <v>750</v>
      </c>
      <c r="B709" t="s">
        <v>3274</v>
      </c>
      <c r="C709" t="s">
        <v>224</v>
      </c>
      <c r="D709" t="s">
        <v>173</v>
      </c>
      <c r="E709" t="s">
        <v>58</v>
      </c>
      <c r="F709" t="s">
        <v>3172</v>
      </c>
      <c r="G709" t="s">
        <v>1463</v>
      </c>
      <c r="H709" t="s">
        <v>3275</v>
      </c>
      <c r="I709" t="s">
        <v>3276</v>
      </c>
      <c r="J709" t="s">
        <v>3277</v>
      </c>
      <c r="K709" t="s">
        <v>3278</v>
      </c>
      <c r="L709" t="s">
        <v>21</v>
      </c>
      <c r="M709">
        <v>1947</v>
      </c>
      <c r="N709" s="5">
        <f>ROUNDUP(Clean_Data[[#This Row],[Year_Num]]/100,0)</f>
        <v>20</v>
      </c>
      <c r="O709" s="5" t="str" cm="1">
        <f t="array" ref="O709">_xlfn.LET(_xlpm.y,Clean_Data[[#This Row],[Year_Num]],_xlfn.IFS(_xlpm.y&lt;500,"Ancient",_xlpm.y&lt;1500,"Medieval",_xlpm.y&lt;1800,"Early Modern",_xlpm.y&lt;1946,"Modern",TRUE,"Contemporary"))</f>
        <v>Contemporary</v>
      </c>
      <c r="P709" s="5" t="str">
        <f>_xlfn.XLOOKUP(Clean_Data[[#This Row],[Country]],country_region[Country],country_region[Country_Standard],"Not found")</f>
        <v>Canada</v>
      </c>
      <c r="Q709" s="5" t="str">
        <f>_xlfn.XLOOKUP(Clean_Data[[#This Row],[Country]],country_region[Country],country_region[Region],"Not found")</f>
        <v>North America</v>
      </c>
      <c r="R709" s="5" t="str">
        <f>_xlfn.XLOOKUP(Clean_Data[[#This Row],[Type of Event]],event_type_category[Type of Event],event_type_category[Category],"Not found")</f>
        <v>Economy &amp; Infrastructure</v>
      </c>
    </row>
    <row r="710" spans="1:18">
      <c r="A710">
        <v>751</v>
      </c>
      <c r="B710" t="s">
        <v>3279</v>
      </c>
      <c r="C710" t="s">
        <v>195</v>
      </c>
      <c r="D710" t="s">
        <v>83</v>
      </c>
      <c r="E710" t="s">
        <v>2184</v>
      </c>
      <c r="F710" t="s">
        <v>3172</v>
      </c>
      <c r="G710" t="s">
        <v>31</v>
      </c>
      <c r="H710" t="s">
        <v>3280</v>
      </c>
      <c r="I710" t="s">
        <v>3281</v>
      </c>
      <c r="J710" t="s">
        <v>3175</v>
      </c>
      <c r="K710" t="s">
        <v>3282</v>
      </c>
      <c r="L710" t="s">
        <v>21</v>
      </c>
      <c r="M710">
        <v>1926</v>
      </c>
      <c r="N710" s="5">
        <f>ROUNDUP(Clean_Data[[#This Row],[Year_Num]]/100,0)</f>
        <v>20</v>
      </c>
      <c r="O710" s="5" t="str" cm="1">
        <f t="array" ref="O710">_xlfn.LET(_xlpm.y,Clean_Data[[#This Row],[Year_Num]],_xlfn.IFS(_xlpm.y&lt;500,"Ancient",_xlpm.y&lt;1500,"Medieval",_xlpm.y&lt;1800,"Early Modern",_xlpm.y&lt;1946,"Modern",TRUE,"Contemporary"))</f>
        <v>Modern</v>
      </c>
      <c r="P710" s="5" t="str">
        <f>_xlfn.XLOOKUP(Clean_Data[[#This Row],[Country]],country_region[Country],country_region[Country_Standard],"Not found")</f>
        <v>Canada</v>
      </c>
      <c r="Q710" s="5" t="str">
        <f>_xlfn.XLOOKUP(Clean_Data[[#This Row],[Country]],country_region[Country],country_region[Region],"Not found")</f>
        <v>North America</v>
      </c>
      <c r="R710" s="5" t="str">
        <f>_xlfn.XLOOKUP(Clean_Data[[#This Row],[Type of Event]],event_type_category[Type of Event],event_type_category[Category],"Not found")</f>
        <v>Politics &amp; Law</v>
      </c>
    </row>
    <row r="711" spans="1:18">
      <c r="A711">
        <v>752</v>
      </c>
      <c r="B711" t="s">
        <v>3283</v>
      </c>
      <c r="C711" t="s">
        <v>74</v>
      </c>
      <c r="D711" t="s">
        <v>66</v>
      </c>
      <c r="E711" t="s">
        <v>732</v>
      </c>
      <c r="F711" t="s">
        <v>3172</v>
      </c>
      <c r="G711" t="s">
        <v>2859</v>
      </c>
      <c r="H711" t="s">
        <v>3280</v>
      </c>
      <c r="I711" t="s">
        <v>3284</v>
      </c>
      <c r="J711" t="s">
        <v>3175</v>
      </c>
      <c r="K711" t="s">
        <v>1681</v>
      </c>
      <c r="L711" t="s">
        <v>21</v>
      </c>
      <c r="M711">
        <v>1931</v>
      </c>
      <c r="N711" s="5">
        <f>ROUNDUP(Clean_Data[[#This Row],[Year_Num]]/100,0)</f>
        <v>20</v>
      </c>
      <c r="O711" s="5" t="str" cm="1">
        <f t="array" ref="O711">_xlfn.LET(_xlpm.y,Clean_Data[[#This Row],[Year_Num]],_xlfn.IFS(_xlpm.y&lt;500,"Ancient",_xlpm.y&lt;1500,"Medieval",_xlpm.y&lt;1800,"Early Modern",_xlpm.y&lt;1946,"Modern",TRUE,"Contemporary"))</f>
        <v>Modern</v>
      </c>
      <c r="P711" s="5" t="str">
        <f>_xlfn.XLOOKUP(Clean_Data[[#This Row],[Country]],country_region[Country],country_region[Country_Standard],"Not found")</f>
        <v>Canada</v>
      </c>
      <c r="Q711" s="5" t="str">
        <f>_xlfn.XLOOKUP(Clean_Data[[#This Row],[Country]],country_region[Country],country_region[Region],"Not found")</f>
        <v>North America</v>
      </c>
      <c r="R711" s="5" t="str">
        <f>_xlfn.XLOOKUP(Clean_Data[[#This Row],[Type of Event]],event_type_category[Type of Event],event_type_category[Category],"Not found")</f>
        <v>Politics &amp; Law</v>
      </c>
    </row>
    <row r="712" spans="1:18">
      <c r="A712">
        <v>753</v>
      </c>
      <c r="B712" t="s">
        <v>3285</v>
      </c>
      <c r="E712" t="s">
        <v>3286</v>
      </c>
      <c r="F712" t="s">
        <v>3172</v>
      </c>
      <c r="G712" t="s">
        <v>31</v>
      </c>
      <c r="H712" t="s">
        <v>300</v>
      </c>
      <c r="I712" t="s">
        <v>3287</v>
      </c>
      <c r="J712" t="s">
        <v>3202</v>
      </c>
      <c r="K712" t="s">
        <v>3288</v>
      </c>
      <c r="L712" t="s">
        <v>54</v>
      </c>
      <c r="M712">
        <v>1944</v>
      </c>
      <c r="N712" s="5">
        <f>ROUNDUP(Clean_Data[[#This Row],[Year_Num]]/100,0)</f>
        <v>20</v>
      </c>
      <c r="O712" s="5" t="str" cm="1">
        <f t="array" ref="O712">_xlfn.LET(_xlpm.y,Clean_Data[[#This Row],[Year_Num]],_xlfn.IFS(_xlpm.y&lt;500,"Ancient",_xlpm.y&lt;1500,"Medieval",_xlpm.y&lt;1800,"Early Modern",_xlpm.y&lt;1946,"Modern",TRUE,"Contemporary"))</f>
        <v>Modern</v>
      </c>
      <c r="P712" s="5" t="str">
        <f>_xlfn.XLOOKUP(Clean_Data[[#This Row],[Country]],country_region[Country],country_region[Country_Standard],"Not found")</f>
        <v>Canada</v>
      </c>
      <c r="Q712" s="5" t="str">
        <f>_xlfn.XLOOKUP(Clean_Data[[#This Row],[Country]],country_region[Country],country_region[Region],"Not found")</f>
        <v>North America</v>
      </c>
      <c r="R712" s="5" t="str">
        <f>_xlfn.XLOOKUP(Clean_Data[[#This Row],[Type of Event]],event_type_category[Type of Event],event_type_category[Category],"Not found")</f>
        <v>Politics &amp; Law</v>
      </c>
    </row>
    <row r="713" spans="1:18">
      <c r="A713">
        <v>755</v>
      </c>
      <c r="B713" t="s">
        <v>3290</v>
      </c>
      <c r="C713" t="s">
        <v>251</v>
      </c>
      <c r="D713" t="s">
        <v>267</v>
      </c>
      <c r="E713" t="s">
        <v>947</v>
      </c>
      <c r="F713" t="s">
        <v>3172</v>
      </c>
      <c r="G713" t="s">
        <v>31</v>
      </c>
      <c r="H713" t="s">
        <v>3193</v>
      </c>
      <c r="I713" t="s">
        <v>3291</v>
      </c>
      <c r="J713" t="s">
        <v>3195</v>
      </c>
      <c r="K713" t="s">
        <v>3196</v>
      </c>
      <c r="L713" t="s">
        <v>21</v>
      </c>
      <c r="M713">
        <v>1949</v>
      </c>
      <c r="N713" s="5">
        <f>ROUNDUP(Clean_Data[[#This Row],[Year_Num]]/100,0)</f>
        <v>20</v>
      </c>
      <c r="O713" s="5" t="str" cm="1">
        <f t="array" ref="O713">_xlfn.LET(_xlpm.y,Clean_Data[[#This Row],[Year_Num]],_xlfn.IFS(_xlpm.y&lt;500,"Ancient",_xlpm.y&lt;1500,"Medieval",_xlpm.y&lt;1800,"Early Modern",_xlpm.y&lt;1946,"Modern",TRUE,"Contemporary"))</f>
        <v>Contemporary</v>
      </c>
      <c r="P713" s="5" t="str">
        <f>_xlfn.XLOOKUP(Clean_Data[[#This Row],[Country]],country_region[Country],country_region[Country_Standard],"Not found")</f>
        <v>Canada</v>
      </c>
      <c r="Q713" s="5" t="str">
        <f>_xlfn.XLOOKUP(Clean_Data[[#This Row],[Country]],country_region[Country],country_region[Region],"Not found")</f>
        <v>North America</v>
      </c>
      <c r="R713" s="5" t="str">
        <f>_xlfn.XLOOKUP(Clean_Data[[#This Row],[Type of Event]],event_type_category[Type of Event],event_type_category[Category],"Not found")</f>
        <v>Politics &amp; Law</v>
      </c>
    </row>
    <row r="714" spans="1:18">
      <c r="A714">
        <v>756</v>
      </c>
      <c r="B714" t="s">
        <v>3292</v>
      </c>
      <c r="C714" t="s">
        <v>56</v>
      </c>
      <c r="D714" t="s">
        <v>173</v>
      </c>
      <c r="E714" t="s">
        <v>2326</v>
      </c>
      <c r="F714" t="s">
        <v>3172</v>
      </c>
      <c r="G714" t="s">
        <v>1244</v>
      </c>
      <c r="H714" t="s">
        <v>3173</v>
      </c>
      <c r="I714" t="s">
        <v>3293</v>
      </c>
      <c r="J714" t="s">
        <v>3175</v>
      </c>
      <c r="K714" t="s">
        <v>3199</v>
      </c>
      <c r="L714" t="s">
        <v>21</v>
      </c>
      <c r="M714">
        <v>1965</v>
      </c>
      <c r="N714" s="5">
        <f>ROUNDUP(Clean_Data[[#This Row],[Year_Num]]/100,0)</f>
        <v>20</v>
      </c>
      <c r="O714" s="5" t="str" cm="1">
        <f t="array" ref="O714">_xlfn.LET(_xlpm.y,Clean_Data[[#This Row],[Year_Num]],_xlfn.IFS(_xlpm.y&lt;500,"Ancient",_xlpm.y&lt;1500,"Medieval",_xlpm.y&lt;1800,"Early Modern",_xlpm.y&lt;1946,"Modern",TRUE,"Contemporary"))</f>
        <v>Contemporary</v>
      </c>
      <c r="P714" s="5" t="str">
        <f>_xlfn.XLOOKUP(Clean_Data[[#This Row],[Country]],country_region[Country],country_region[Country_Standard],"Not found")</f>
        <v>Canada</v>
      </c>
      <c r="Q714" s="5" t="str">
        <f>_xlfn.XLOOKUP(Clean_Data[[#This Row],[Country]],country_region[Country],country_region[Region],"Not found")</f>
        <v>North America</v>
      </c>
      <c r="R714" s="5" t="str">
        <f>_xlfn.XLOOKUP(Clean_Data[[#This Row],[Type of Event]],event_type_category[Type of Event],event_type_category[Category],"Not found")</f>
        <v>Culture, Religion &amp; Sport</v>
      </c>
    </row>
    <row r="715" spans="1:18">
      <c r="A715">
        <v>758</v>
      </c>
      <c r="B715" t="s">
        <v>3295</v>
      </c>
      <c r="C715" t="s">
        <v>1129</v>
      </c>
      <c r="D715" t="s">
        <v>39</v>
      </c>
      <c r="E715" t="s">
        <v>741</v>
      </c>
      <c r="F715" t="s">
        <v>3172</v>
      </c>
      <c r="G715" t="s">
        <v>2859</v>
      </c>
      <c r="H715" t="s">
        <v>3173</v>
      </c>
      <c r="I715" t="s">
        <v>3296</v>
      </c>
      <c r="J715" t="s">
        <v>3175</v>
      </c>
      <c r="K715" t="s">
        <v>3206</v>
      </c>
      <c r="L715" t="s">
        <v>21</v>
      </c>
      <c r="M715">
        <v>1982</v>
      </c>
      <c r="N715" s="5">
        <f>ROUNDUP(Clean_Data[[#This Row],[Year_Num]]/100,0)</f>
        <v>20</v>
      </c>
      <c r="O715" s="5" t="str" cm="1">
        <f t="array" ref="O715">_xlfn.LET(_xlpm.y,Clean_Data[[#This Row],[Year_Num]],_xlfn.IFS(_xlpm.y&lt;500,"Ancient",_xlpm.y&lt;1500,"Medieval",_xlpm.y&lt;1800,"Early Modern",_xlpm.y&lt;1946,"Modern",TRUE,"Contemporary"))</f>
        <v>Contemporary</v>
      </c>
      <c r="P715" s="5" t="str">
        <f>_xlfn.XLOOKUP(Clean_Data[[#This Row],[Country]],country_region[Country],country_region[Country_Standard],"Not found")</f>
        <v>Canada</v>
      </c>
      <c r="Q715" s="5" t="str">
        <f>_xlfn.XLOOKUP(Clean_Data[[#This Row],[Country]],country_region[Country],country_region[Region],"Not found")</f>
        <v>North America</v>
      </c>
      <c r="R715" s="5" t="str">
        <f>_xlfn.XLOOKUP(Clean_Data[[#This Row],[Type of Event]],event_type_category[Type of Event],event_type_category[Category],"Not found")</f>
        <v>Politics &amp; Law</v>
      </c>
    </row>
    <row r="716" spans="1:18">
      <c r="A716">
        <v>760</v>
      </c>
      <c r="B716" t="s">
        <v>3298</v>
      </c>
      <c r="C716" t="s">
        <v>56</v>
      </c>
      <c r="D716" t="s">
        <v>100</v>
      </c>
      <c r="E716" t="s">
        <v>3299</v>
      </c>
      <c r="F716" t="s">
        <v>400</v>
      </c>
      <c r="G716" t="s">
        <v>313</v>
      </c>
      <c r="H716" t="s">
        <v>3300</v>
      </c>
      <c r="I716" t="s">
        <v>3301</v>
      </c>
      <c r="J716" t="s">
        <v>3302</v>
      </c>
      <c r="K716" t="s">
        <v>3303</v>
      </c>
      <c r="L716" t="s">
        <v>21</v>
      </c>
      <c r="M716">
        <v>1215</v>
      </c>
      <c r="N716" s="5">
        <f>ROUNDUP(Clean_Data[[#This Row],[Year_Num]]/100,0)</f>
        <v>13</v>
      </c>
      <c r="O716" s="5" t="str" cm="1">
        <f t="array" ref="O716">_xlfn.LET(_xlpm.y,Clean_Data[[#This Row],[Year_Num]],_xlfn.IFS(_xlpm.y&lt;500,"Ancient",_xlpm.y&lt;1500,"Medieval",_xlpm.y&lt;1800,"Early Modern",_xlpm.y&lt;1946,"Modern",TRUE,"Contemporary"))</f>
        <v>Medieval</v>
      </c>
      <c r="P716" s="5" t="str">
        <f>_xlfn.XLOOKUP(Clean_Data[[#This Row],[Country]],country_region[Country],country_region[Country_Standard],"Not found")</f>
        <v>UK</v>
      </c>
      <c r="Q716" s="5" t="str">
        <f>_xlfn.XLOOKUP(Clean_Data[[#This Row],[Country]],country_region[Country],country_region[Region],"Not found")</f>
        <v>Europe</v>
      </c>
      <c r="R716" s="5" t="str">
        <f>_xlfn.XLOOKUP(Clean_Data[[#This Row],[Type of Event]],event_type_category[Type of Event],event_type_category[Category],"Not found")</f>
        <v>Politics &amp; Law</v>
      </c>
    </row>
    <row r="717" spans="1:18">
      <c r="A717">
        <v>761</v>
      </c>
      <c r="B717" t="s">
        <v>3304</v>
      </c>
      <c r="D717" t="s">
        <v>267</v>
      </c>
      <c r="E717" t="s">
        <v>3305</v>
      </c>
      <c r="F717" t="s">
        <v>400</v>
      </c>
      <c r="G717" t="s">
        <v>3306</v>
      </c>
      <c r="H717" t="s">
        <v>402</v>
      </c>
      <c r="I717" t="s">
        <v>3307</v>
      </c>
      <c r="J717" t="s">
        <v>3308</v>
      </c>
      <c r="K717" t="s">
        <v>3309</v>
      </c>
      <c r="L717" t="s">
        <v>21</v>
      </c>
      <c r="M717">
        <v>1534</v>
      </c>
      <c r="N717" s="5">
        <f>ROUNDUP(Clean_Data[[#This Row],[Year_Num]]/100,0)</f>
        <v>16</v>
      </c>
      <c r="O717" s="5" t="str" cm="1">
        <f t="array" ref="O717">_xlfn.LET(_xlpm.y,Clean_Data[[#This Row],[Year_Num]],_xlfn.IFS(_xlpm.y&lt;500,"Ancient",_xlpm.y&lt;1500,"Medieval",_xlpm.y&lt;1800,"Early Modern",_xlpm.y&lt;1946,"Modern",TRUE,"Contemporary"))</f>
        <v>Early Modern</v>
      </c>
      <c r="P717" s="5" t="str">
        <f>_xlfn.XLOOKUP(Clean_Data[[#This Row],[Country]],country_region[Country],country_region[Country_Standard],"Not found")</f>
        <v>UK</v>
      </c>
      <c r="Q717" s="5" t="str">
        <f>_xlfn.XLOOKUP(Clean_Data[[#This Row],[Country]],country_region[Country],country_region[Region],"Not found")</f>
        <v>Europe</v>
      </c>
      <c r="R717" s="5" t="str">
        <f>_xlfn.XLOOKUP(Clean_Data[[#This Row],[Type of Event]],event_type_category[Type of Event],event_type_category[Category],"Not found")</f>
        <v>Culture, Religion &amp; Sport</v>
      </c>
    </row>
    <row r="718" spans="1:18">
      <c r="A718">
        <v>762</v>
      </c>
      <c r="B718" t="s">
        <v>3310</v>
      </c>
      <c r="C718" t="s">
        <v>298</v>
      </c>
      <c r="D718" t="s">
        <v>57</v>
      </c>
      <c r="E718" t="s">
        <v>3311</v>
      </c>
      <c r="F718" t="s">
        <v>400</v>
      </c>
      <c r="G718" t="s">
        <v>356</v>
      </c>
      <c r="H718" t="s">
        <v>3312</v>
      </c>
      <c r="I718" t="s">
        <v>3313</v>
      </c>
      <c r="J718" t="s">
        <v>3308</v>
      </c>
      <c r="K718" t="s">
        <v>3314</v>
      </c>
      <c r="L718" t="s">
        <v>21</v>
      </c>
      <c r="M718">
        <v>1588</v>
      </c>
      <c r="N718" s="5">
        <f>ROUNDUP(Clean_Data[[#This Row],[Year_Num]]/100,0)</f>
        <v>16</v>
      </c>
      <c r="O718" s="5" t="str" cm="1">
        <f t="array" ref="O718">_xlfn.LET(_xlpm.y,Clean_Data[[#This Row],[Year_Num]],_xlfn.IFS(_xlpm.y&lt;500,"Ancient",_xlpm.y&lt;1500,"Medieval",_xlpm.y&lt;1800,"Early Modern",_xlpm.y&lt;1946,"Modern",TRUE,"Contemporary"))</f>
        <v>Early Modern</v>
      </c>
      <c r="P718" s="5" t="str">
        <f>_xlfn.XLOOKUP(Clean_Data[[#This Row],[Country]],country_region[Country],country_region[Country_Standard],"Not found")</f>
        <v>UK</v>
      </c>
      <c r="Q718" s="5" t="str">
        <f>_xlfn.XLOOKUP(Clean_Data[[#This Row],[Country]],country_region[Country],country_region[Region],"Not found")</f>
        <v>Europe</v>
      </c>
      <c r="R718" s="5" t="str">
        <f>_xlfn.XLOOKUP(Clean_Data[[#This Row],[Type of Event]],event_type_category[Type of Event],event_type_category[Category],"Not found")</f>
        <v>War &amp; Conflict</v>
      </c>
    </row>
    <row r="719" spans="1:18">
      <c r="A719">
        <v>763</v>
      </c>
      <c r="B719" t="s">
        <v>3315</v>
      </c>
      <c r="C719" t="s">
        <v>218</v>
      </c>
      <c r="D719" t="s">
        <v>267</v>
      </c>
      <c r="E719" t="s">
        <v>1293</v>
      </c>
      <c r="F719" t="s">
        <v>400</v>
      </c>
      <c r="G719" t="s">
        <v>31</v>
      </c>
      <c r="H719" t="s">
        <v>402</v>
      </c>
      <c r="I719" t="s">
        <v>3316</v>
      </c>
      <c r="J719" t="s">
        <v>5038</v>
      </c>
      <c r="K719" t="s">
        <v>3318</v>
      </c>
      <c r="L719" t="s">
        <v>21</v>
      </c>
      <c r="M719">
        <v>1603</v>
      </c>
      <c r="N719" s="5">
        <f>ROUNDUP(Clean_Data[[#This Row],[Year_Num]]/100,0)</f>
        <v>17</v>
      </c>
      <c r="O719" s="5" t="str" cm="1">
        <f t="array" ref="O719">_xlfn.LET(_xlpm.y,Clean_Data[[#This Row],[Year_Num]],_xlfn.IFS(_xlpm.y&lt;500,"Ancient",_xlpm.y&lt;1500,"Medieval",_xlpm.y&lt;1800,"Early Modern",_xlpm.y&lt;1946,"Modern",TRUE,"Contemporary"))</f>
        <v>Early Modern</v>
      </c>
      <c r="P719" s="5" t="str">
        <f>_xlfn.XLOOKUP(Clean_Data[[#This Row],[Country]],country_region[Country],country_region[Country_Standard],"Not found")</f>
        <v>UK</v>
      </c>
      <c r="Q719" s="5" t="str">
        <f>_xlfn.XLOOKUP(Clean_Data[[#This Row],[Country]],country_region[Country],country_region[Region],"Not found")</f>
        <v>Europe</v>
      </c>
      <c r="R719" s="5" t="str">
        <f>_xlfn.XLOOKUP(Clean_Data[[#This Row],[Type of Event]],event_type_category[Type of Event],event_type_category[Category],"Not found")</f>
        <v>Politics &amp; Law</v>
      </c>
    </row>
    <row r="720" spans="1:18">
      <c r="A720">
        <v>764</v>
      </c>
      <c r="B720" t="s">
        <v>3319</v>
      </c>
      <c r="C720" t="s">
        <v>325</v>
      </c>
      <c r="D720" t="s">
        <v>57</v>
      </c>
      <c r="E720" t="s">
        <v>3320</v>
      </c>
      <c r="F720" t="s">
        <v>400</v>
      </c>
      <c r="G720" t="s">
        <v>801</v>
      </c>
      <c r="H720" t="s">
        <v>3321</v>
      </c>
      <c r="I720" t="s">
        <v>3322</v>
      </c>
      <c r="J720" t="s">
        <v>3308</v>
      </c>
      <c r="K720" t="s">
        <v>3323</v>
      </c>
      <c r="L720" t="s">
        <v>36</v>
      </c>
      <c r="M720">
        <v>1642</v>
      </c>
      <c r="N720" s="5">
        <f>ROUNDUP(Clean_Data[[#This Row],[Year_Num]]/100,0)</f>
        <v>17</v>
      </c>
      <c r="O720" s="5" t="str" cm="1">
        <f t="array" ref="O720">_xlfn.LET(_xlpm.y,Clean_Data[[#This Row],[Year_Num]],_xlfn.IFS(_xlpm.y&lt;500,"Ancient",_xlpm.y&lt;1500,"Medieval",_xlpm.y&lt;1800,"Early Modern",_xlpm.y&lt;1946,"Modern",TRUE,"Contemporary"))</f>
        <v>Early Modern</v>
      </c>
      <c r="P720" s="5" t="str">
        <f>_xlfn.XLOOKUP(Clean_Data[[#This Row],[Country]],country_region[Country],country_region[Country_Standard],"Not found")</f>
        <v>UK</v>
      </c>
      <c r="Q720" s="5" t="str">
        <f>_xlfn.XLOOKUP(Clean_Data[[#This Row],[Country]],country_region[Country],country_region[Region],"Not found")</f>
        <v>Europe</v>
      </c>
      <c r="R720" s="5" t="str">
        <f>_xlfn.XLOOKUP(Clean_Data[[#This Row],[Type of Event]],event_type_category[Type of Event],event_type_category[Category],"Not found")</f>
        <v>War &amp; Conflict</v>
      </c>
    </row>
    <row r="721" spans="1:18">
      <c r="A721">
        <v>765</v>
      </c>
      <c r="B721" t="s">
        <v>3324</v>
      </c>
      <c r="C721" t="s">
        <v>633</v>
      </c>
      <c r="D721" t="s">
        <v>47</v>
      </c>
      <c r="E721" t="s">
        <v>3325</v>
      </c>
      <c r="F721" t="s">
        <v>400</v>
      </c>
      <c r="G721" t="s">
        <v>31</v>
      </c>
      <c r="H721" t="s">
        <v>402</v>
      </c>
      <c r="I721" t="s">
        <v>3326</v>
      </c>
      <c r="J721" t="s">
        <v>3308</v>
      </c>
      <c r="K721" t="s">
        <v>3327</v>
      </c>
      <c r="L721" t="s">
        <v>21</v>
      </c>
      <c r="M721">
        <v>1660</v>
      </c>
      <c r="N721" s="5">
        <f>ROUNDUP(Clean_Data[[#This Row],[Year_Num]]/100,0)</f>
        <v>17</v>
      </c>
      <c r="O721" s="5" t="str" cm="1">
        <f t="array" ref="O721">_xlfn.LET(_xlpm.y,Clean_Data[[#This Row],[Year_Num]],_xlfn.IFS(_xlpm.y&lt;500,"Ancient",_xlpm.y&lt;1500,"Medieval",_xlpm.y&lt;1800,"Early Modern",_xlpm.y&lt;1946,"Modern",TRUE,"Contemporary"))</f>
        <v>Early Modern</v>
      </c>
      <c r="P721" s="5" t="str">
        <f>_xlfn.XLOOKUP(Clean_Data[[#This Row],[Country]],country_region[Country],country_region[Country_Standard],"Not found")</f>
        <v>UK</v>
      </c>
      <c r="Q721" s="5" t="str">
        <f>_xlfn.XLOOKUP(Clean_Data[[#This Row],[Country]],country_region[Country],country_region[Region],"Not found")</f>
        <v>Europe</v>
      </c>
      <c r="R721" s="5" t="str">
        <f>_xlfn.XLOOKUP(Clean_Data[[#This Row],[Type of Event]],event_type_category[Type of Event],event_type_category[Category],"Not found")</f>
        <v>Politics &amp; Law</v>
      </c>
    </row>
    <row r="722" spans="1:18">
      <c r="A722">
        <v>766</v>
      </c>
      <c r="B722" t="s">
        <v>3328</v>
      </c>
      <c r="C722" t="s">
        <v>46</v>
      </c>
      <c r="D722" t="s">
        <v>47</v>
      </c>
      <c r="E722" t="s">
        <v>3329</v>
      </c>
      <c r="F722" t="s">
        <v>400</v>
      </c>
      <c r="G722" t="s">
        <v>3330</v>
      </c>
      <c r="H722" t="s">
        <v>3331</v>
      </c>
      <c r="I722" t="s">
        <v>3332</v>
      </c>
      <c r="J722" t="s">
        <v>3333</v>
      </c>
      <c r="K722" t="s">
        <v>3334</v>
      </c>
      <c r="L722" t="s">
        <v>21</v>
      </c>
      <c r="M722">
        <v>1707</v>
      </c>
      <c r="N722" s="5">
        <f>ROUNDUP(Clean_Data[[#This Row],[Year_Num]]/100,0)</f>
        <v>18</v>
      </c>
      <c r="O722" s="5" t="str" cm="1">
        <f t="array" ref="O722">_xlfn.LET(_xlpm.y,Clean_Data[[#This Row],[Year_Num]],_xlfn.IFS(_xlpm.y&lt;500,"Ancient",_xlpm.y&lt;1500,"Medieval",_xlpm.y&lt;1800,"Early Modern",_xlpm.y&lt;1946,"Modern",TRUE,"Contemporary"))</f>
        <v>Early Modern</v>
      </c>
      <c r="P722" s="5" t="str">
        <f>_xlfn.XLOOKUP(Clean_Data[[#This Row],[Country]],country_region[Country],country_region[Country_Standard],"Not found")</f>
        <v>UK</v>
      </c>
      <c r="Q722" s="5" t="str">
        <f>_xlfn.XLOOKUP(Clean_Data[[#This Row],[Country]],country_region[Country],country_region[Region],"Not found")</f>
        <v>Europe</v>
      </c>
      <c r="R722" s="5" t="str">
        <f>_xlfn.XLOOKUP(Clean_Data[[#This Row],[Type of Event]],event_type_category[Type of Event],event_type_category[Category],"Not found")</f>
        <v>Independence &amp; Nation-Building</v>
      </c>
    </row>
    <row r="723" spans="1:18">
      <c r="A723">
        <v>767</v>
      </c>
      <c r="B723" t="s">
        <v>3335</v>
      </c>
      <c r="E723" t="s">
        <v>3336</v>
      </c>
      <c r="F723" t="s">
        <v>400</v>
      </c>
      <c r="G723" t="s">
        <v>3337</v>
      </c>
      <c r="H723" t="s">
        <v>433</v>
      </c>
      <c r="I723" t="s">
        <v>3338</v>
      </c>
      <c r="J723" t="s">
        <v>753</v>
      </c>
      <c r="K723" t="s">
        <v>3339</v>
      </c>
      <c r="L723" t="s">
        <v>21</v>
      </c>
      <c r="M723">
        <v>1760</v>
      </c>
      <c r="N723" s="5">
        <f>ROUNDUP(Clean_Data[[#This Row],[Year_Num]]/100,0)</f>
        <v>18</v>
      </c>
      <c r="O723" s="5" t="str" cm="1">
        <f t="array" ref="O723">_xlfn.LET(_xlpm.y,Clean_Data[[#This Row],[Year_Num]],_xlfn.IFS(_xlpm.y&lt;500,"Ancient",_xlpm.y&lt;1500,"Medieval",_xlpm.y&lt;1800,"Early Modern",_xlpm.y&lt;1946,"Modern",TRUE,"Contemporary"))</f>
        <v>Early Modern</v>
      </c>
      <c r="P723" s="5" t="str">
        <f>_xlfn.XLOOKUP(Clean_Data[[#This Row],[Country]],country_region[Country],country_region[Country_Standard],"Not found")</f>
        <v>UK</v>
      </c>
      <c r="Q723" s="5" t="str">
        <f>_xlfn.XLOOKUP(Clean_Data[[#This Row],[Country]],country_region[Country],country_region[Region],"Not found")</f>
        <v>Europe</v>
      </c>
      <c r="R723" s="5" t="str">
        <f>_xlfn.XLOOKUP(Clean_Data[[#This Row],[Type of Event]],event_type_category[Type of Event],event_type_category[Category],"Not found")</f>
        <v>Economy &amp; Infrastructure</v>
      </c>
    </row>
    <row r="724" spans="1:18">
      <c r="A724">
        <v>768</v>
      </c>
      <c r="B724" t="s">
        <v>3340</v>
      </c>
      <c r="C724" t="s">
        <v>46</v>
      </c>
      <c r="D724" t="s">
        <v>260</v>
      </c>
      <c r="E724" t="s">
        <v>3341</v>
      </c>
      <c r="F724" t="s">
        <v>400</v>
      </c>
      <c r="G724" t="s">
        <v>3330</v>
      </c>
      <c r="H724" t="s">
        <v>402</v>
      </c>
      <c r="I724" t="s">
        <v>3342</v>
      </c>
      <c r="J724" t="s">
        <v>3343</v>
      </c>
      <c r="K724" t="s">
        <v>3344</v>
      </c>
      <c r="L724" t="s">
        <v>21</v>
      </c>
      <c r="M724">
        <v>1801</v>
      </c>
      <c r="N724" s="5">
        <f>ROUNDUP(Clean_Data[[#This Row],[Year_Num]]/100,0)</f>
        <v>19</v>
      </c>
      <c r="O724" s="5" t="str" cm="1">
        <f t="array" ref="O724">_xlfn.LET(_xlpm.y,Clean_Data[[#This Row],[Year_Num]],_xlfn.IFS(_xlpm.y&lt;500,"Ancient",_xlpm.y&lt;1500,"Medieval",_xlpm.y&lt;1800,"Early Modern",_xlpm.y&lt;1946,"Modern",TRUE,"Contemporary"))</f>
        <v>Modern</v>
      </c>
      <c r="P724" s="5" t="str">
        <f>_xlfn.XLOOKUP(Clean_Data[[#This Row],[Country]],country_region[Country],country_region[Country_Standard],"Not found")</f>
        <v>UK</v>
      </c>
      <c r="Q724" s="5" t="str">
        <f>_xlfn.XLOOKUP(Clean_Data[[#This Row],[Country]],country_region[Country],country_region[Region],"Not found")</f>
        <v>Europe</v>
      </c>
      <c r="R724" s="5" t="str">
        <f>_xlfn.XLOOKUP(Clean_Data[[#This Row],[Type of Event]],event_type_category[Type of Event],event_type_category[Category],"Not found")</f>
        <v>Independence &amp; Nation-Building</v>
      </c>
    </row>
    <row r="725" spans="1:18">
      <c r="A725">
        <v>769</v>
      </c>
      <c r="B725" t="s">
        <v>3345</v>
      </c>
      <c r="C725" t="s">
        <v>38</v>
      </c>
      <c r="D725" t="s">
        <v>158</v>
      </c>
      <c r="E725" t="s">
        <v>3346</v>
      </c>
      <c r="F725" t="s">
        <v>400</v>
      </c>
      <c r="G725" t="s">
        <v>356</v>
      </c>
      <c r="H725" t="s">
        <v>3347</v>
      </c>
      <c r="I725" t="s">
        <v>3348</v>
      </c>
      <c r="J725" t="s">
        <v>3349</v>
      </c>
      <c r="K725" t="s">
        <v>3350</v>
      </c>
      <c r="L725" t="s">
        <v>21</v>
      </c>
      <c r="M725">
        <v>1805</v>
      </c>
      <c r="N725" s="5">
        <f>ROUNDUP(Clean_Data[[#This Row],[Year_Num]]/100,0)</f>
        <v>19</v>
      </c>
      <c r="O725" s="5" t="str" cm="1">
        <f t="array" ref="O725">_xlfn.LET(_xlpm.y,Clean_Data[[#This Row],[Year_Num]],_xlfn.IFS(_xlpm.y&lt;500,"Ancient",_xlpm.y&lt;1500,"Medieval",_xlpm.y&lt;1800,"Early Modern",_xlpm.y&lt;1946,"Modern",TRUE,"Contemporary"))</f>
        <v>Modern</v>
      </c>
      <c r="P725" s="5" t="str">
        <f>_xlfn.XLOOKUP(Clean_Data[[#This Row],[Country]],country_region[Country],country_region[Country_Standard],"Not found")</f>
        <v>UK</v>
      </c>
      <c r="Q725" s="5" t="str">
        <f>_xlfn.XLOOKUP(Clean_Data[[#This Row],[Country]],country_region[Country],country_region[Region],"Not found")</f>
        <v>Europe</v>
      </c>
      <c r="R725" s="5" t="str">
        <f>_xlfn.XLOOKUP(Clean_Data[[#This Row],[Type of Event]],event_type_category[Type of Event],event_type_category[Category],"Not found")</f>
        <v>War &amp; Conflict</v>
      </c>
    </row>
    <row r="726" spans="1:18">
      <c r="A726">
        <v>770</v>
      </c>
      <c r="B726" t="s">
        <v>3351</v>
      </c>
      <c r="E726" t="s">
        <v>3352</v>
      </c>
      <c r="F726" t="s">
        <v>400</v>
      </c>
      <c r="G726" t="s">
        <v>2339</v>
      </c>
      <c r="H726" t="s">
        <v>3353</v>
      </c>
      <c r="I726" t="s">
        <v>3354</v>
      </c>
      <c r="J726" t="s">
        <v>3355</v>
      </c>
      <c r="K726" t="s">
        <v>3356</v>
      </c>
      <c r="L726" t="s">
        <v>21</v>
      </c>
      <c r="M726">
        <v>1832</v>
      </c>
      <c r="N726" s="5">
        <f>ROUNDUP(Clean_Data[[#This Row],[Year_Num]]/100,0)</f>
        <v>19</v>
      </c>
      <c r="O726" s="5" t="str" cm="1">
        <f t="array" ref="O726">_xlfn.LET(_xlpm.y,Clean_Data[[#This Row],[Year_Num]],_xlfn.IFS(_xlpm.y&lt;500,"Ancient",_xlpm.y&lt;1500,"Medieval",_xlpm.y&lt;1800,"Early Modern",_xlpm.y&lt;1946,"Modern",TRUE,"Contemporary"))</f>
        <v>Modern</v>
      </c>
      <c r="P726" s="5" t="str">
        <f>_xlfn.XLOOKUP(Clean_Data[[#This Row],[Country]],country_region[Country],country_region[Country_Standard],"Not found")</f>
        <v>UK</v>
      </c>
      <c r="Q726" s="5" t="str">
        <f>_xlfn.XLOOKUP(Clean_Data[[#This Row],[Country]],country_region[Country],country_region[Region],"Not found")</f>
        <v>Europe</v>
      </c>
      <c r="R726" s="5" t="str">
        <f>_xlfn.XLOOKUP(Clean_Data[[#This Row],[Type of Event]],event_type_category[Type of Event],event_type_category[Category],"Not found")</f>
        <v>Politics &amp; Law</v>
      </c>
    </row>
    <row r="727" spans="1:18">
      <c r="A727">
        <v>771</v>
      </c>
      <c r="B727" t="s">
        <v>3357</v>
      </c>
      <c r="C727" t="s">
        <v>91</v>
      </c>
      <c r="D727" t="s">
        <v>100</v>
      </c>
      <c r="E727" t="s">
        <v>3358</v>
      </c>
      <c r="F727" t="s">
        <v>400</v>
      </c>
      <c r="G727" t="s">
        <v>3359</v>
      </c>
      <c r="H727" t="s">
        <v>402</v>
      </c>
      <c r="I727" t="s">
        <v>3360</v>
      </c>
      <c r="J727" t="s">
        <v>2437</v>
      </c>
      <c r="K727" t="s">
        <v>3361</v>
      </c>
      <c r="L727" t="s">
        <v>21</v>
      </c>
      <c r="M727">
        <v>1837</v>
      </c>
      <c r="N727" s="5">
        <f>ROUNDUP(Clean_Data[[#This Row],[Year_Num]]/100,0)</f>
        <v>19</v>
      </c>
      <c r="O727" s="5" t="str" cm="1">
        <f t="array" ref="O727">_xlfn.LET(_xlpm.y,Clean_Data[[#This Row],[Year_Num]],_xlfn.IFS(_xlpm.y&lt;500,"Ancient",_xlpm.y&lt;1500,"Medieval",_xlpm.y&lt;1800,"Early Modern",_xlpm.y&lt;1946,"Modern",TRUE,"Contemporary"))</f>
        <v>Modern</v>
      </c>
      <c r="P727" s="5" t="str">
        <f>_xlfn.XLOOKUP(Clean_Data[[#This Row],[Country]],country_region[Country],country_region[Country_Standard],"Not found")</f>
        <v>UK</v>
      </c>
      <c r="Q727" s="5" t="str">
        <f>_xlfn.XLOOKUP(Clean_Data[[#This Row],[Country]],country_region[Country],country_region[Region],"Not found")</f>
        <v>Europe</v>
      </c>
      <c r="R727" s="5" t="str">
        <f>_xlfn.XLOOKUP(Clean_Data[[#This Row],[Type of Event]],event_type_category[Type of Event],event_type_category[Category],"Not found")</f>
        <v>Independence &amp; Nation-Building</v>
      </c>
    </row>
    <row r="728" spans="1:18">
      <c r="A728">
        <v>772</v>
      </c>
      <c r="B728" t="s">
        <v>3362</v>
      </c>
      <c r="C728" t="s">
        <v>218</v>
      </c>
      <c r="D728" t="s">
        <v>83</v>
      </c>
      <c r="E728" t="s">
        <v>3363</v>
      </c>
      <c r="F728" t="s">
        <v>400</v>
      </c>
      <c r="G728" t="s">
        <v>750</v>
      </c>
      <c r="H728" t="s">
        <v>402</v>
      </c>
      <c r="I728" t="s">
        <v>3364</v>
      </c>
      <c r="J728" t="s">
        <v>328</v>
      </c>
      <c r="K728" t="s">
        <v>3365</v>
      </c>
      <c r="L728" t="s">
        <v>21</v>
      </c>
      <c r="M728">
        <v>1859</v>
      </c>
      <c r="N728" s="5">
        <f>ROUNDUP(Clean_Data[[#This Row],[Year_Num]]/100,0)</f>
        <v>19</v>
      </c>
      <c r="O728" s="5" t="str" cm="1">
        <f t="array" ref="O728">_xlfn.LET(_xlpm.y,Clean_Data[[#This Row],[Year_Num]],_xlfn.IFS(_xlpm.y&lt;500,"Ancient",_xlpm.y&lt;1500,"Medieval",_xlpm.y&lt;1800,"Early Modern",_xlpm.y&lt;1946,"Modern",TRUE,"Contemporary"))</f>
        <v>Modern</v>
      </c>
      <c r="P728" s="5" t="str">
        <f>_xlfn.XLOOKUP(Clean_Data[[#This Row],[Country]],country_region[Country],country_region[Country_Standard],"Not found")</f>
        <v>UK</v>
      </c>
      <c r="Q728" s="5" t="str">
        <f>_xlfn.XLOOKUP(Clean_Data[[#This Row],[Country]],country_region[Country],country_region[Region],"Not found")</f>
        <v>Europe</v>
      </c>
      <c r="R728" s="5" t="str">
        <f>_xlfn.XLOOKUP(Clean_Data[[#This Row],[Type of Event]],event_type_category[Type of Event],event_type_category[Category],"Not found")</f>
        <v>Science, Technology &amp; Exploration</v>
      </c>
    </row>
    <row r="729" spans="1:18">
      <c r="A729">
        <v>773</v>
      </c>
      <c r="B729" t="s">
        <v>3366</v>
      </c>
      <c r="E729" t="s">
        <v>656</v>
      </c>
      <c r="F729" t="s">
        <v>400</v>
      </c>
      <c r="G729" t="s">
        <v>1683</v>
      </c>
      <c r="H729" t="s">
        <v>433</v>
      </c>
      <c r="I729" t="s">
        <v>3367</v>
      </c>
      <c r="J729" t="s">
        <v>3368</v>
      </c>
      <c r="K729" t="s">
        <v>3369</v>
      </c>
      <c r="L729" t="s">
        <v>21</v>
      </c>
      <c r="M729">
        <v>1948</v>
      </c>
      <c r="N729" s="5">
        <f>ROUNDUP(Clean_Data[[#This Row],[Year_Num]]/100,0)</f>
        <v>20</v>
      </c>
      <c r="O729" s="5" t="str" cm="1">
        <f t="array" ref="O729">_xlfn.LET(_xlpm.y,Clean_Data[[#This Row],[Year_Num]],_xlfn.IFS(_xlpm.y&lt;500,"Ancient",_xlpm.y&lt;1500,"Medieval",_xlpm.y&lt;1800,"Early Modern",_xlpm.y&lt;1946,"Modern",TRUE,"Contemporary"))</f>
        <v>Contemporary</v>
      </c>
      <c r="P729" s="5" t="str">
        <f>_xlfn.XLOOKUP(Clean_Data[[#This Row],[Country]],country_region[Country],country_region[Country_Standard],"Not found")</f>
        <v>UK</v>
      </c>
      <c r="Q729" s="5" t="str">
        <f>_xlfn.XLOOKUP(Clean_Data[[#This Row],[Country]],country_region[Country],country_region[Region],"Not found")</f>
        <v>Europe</v>
      </c>
      <c r="R729" s="5" t="str">
        <f>_xlfn.XLOOKUP(Clean_Data[[#This Row],[Type of Event]],event_type_category[Type of Event],event_type_category[Category],"Not found")</f>
        <v>Society &amp; Health</v>
      </c>
    </row>
    <row r="730" spans="1:18">
      <c r="A730">
        <v>774</v>
      </c>
      <c r="B730" t="s">
        <v>3370</v>
      </c>
      <c r="E730" t="s">
        <v>58</v>
      </c>
      <c r="F730" t="s">
        <v>400</v>
      </c>
      <c r="G730" t="s">
        <v>31</v>
      </c>
      <c r="H730" t="s">
        <v>433</v>
      </c>
      <c r="I730" t="s">
        <v>3371</v>
      </c>
      <c r="J730" t="s">
        <v>3372</v>
      </c>
      <c r="K730" t="s">
        <v>3369</v>
      </c>
      <c r="L730" t="s">
        <v>36</v>
      </c>
      <c r="M730">
        <v>1947</v>
      </c>
      <c r="N730" s="5">
        <f>ROUNDUP(Clean_Data[[#This Row],[Year_Num]]/100,0)</f>
        <v>20</v>
      </c>
      <c r="O730" s="5" t="str" cm="1">
        <f t="array" ref="O730">_xlfn.LET(_xlpm.y,Clean_Data[[#This Row],[Year_Num]],_xlfn.IFS(_xlpm.y&lt;500,"Ancient",_xlpm.y&lt;1500,"Medieval",_xlpm.y&lt;1800,"Early Modern",_xlpm.y&lt;1946,"Modern",TRUE,"Contemporary"))</f>
        <v>Contemporary</v>
      </c>
      <c r="P730" s="5" t="str">
        <f>_xlfn.XLOOKUP(Clean_Data[[#This Row],[Country]],country_region[Country],country_region[Country_Standard],"Not found")</f>
        <v>UK</v>
      </c>
      <c r="Q730" s="5" t="str">
        <f>_xlfn.XLOOKUP(Clean_Data[[#This Row],[Country]],country_region[Country],country_region[Region],"Not found")</f>
        <v>Europe</v>
      </c>
      <c r="R730" s="5" t="str">
        <f>_xlfn.XLOOKUP(Clean_Data[[#This Row],[Type of Event]],event_type_category[Type of Event],event_type_category[Category],"Not found")</f>
        <v>Politics &amp; Law</v>
      </c>
    </row>
    <row r="731" spans="1:18">
      <c r="A731">
        <v>775</v>
      </c>
      <c r="B731" t="s">
        <v>3373</v>
      </c>
      <c r="E731" t="s">
        <v>494</v>
      </c>
      <c r="F731" t="s">
        <v>400</v>
      </c>
      <c r="G731" t="s">
        <v>795</v>
      </c>
      <c r="H731" t="s">
        <v>3374</v>
      </c>
      <c r="I731" t="s">
        <v>3375</v>
      </c>
      <c r="J731" t="s">
        <v>3376</v>
      </c>
      <c r="K731" t="s">
        <v>3369</v>
      </c>
      <c r="L731" t="s">
        <v>54</v>
      </c>
      <c r="M731">
        <v>1956</v>
      </c>
      <c r="N731" s="5">
        <f>ROUNDUP(Clean_Data[[#This Row],[Year_Num]]/100,0)</f>
        <v>20</v>
      </c>
      <c r="O731" s="5" t="str" cm="1">
        <f t="array" ref="O731">_xlfn.LET(_xlpm.y,Clean_Data[[#This Row],[Year_Num]],_xlfn.IFS(_xlpm.y&lt;500,"Ancient",_xlpm.y&lt;1500,"Medieval",_xlpm.y&lt;1800,"Early Modern",_xlpm.y&lt;1946,"Modern",TRUE,"Contemporary"))</f>
        <v>Contemporary</v>
      </c>
      <c r="P731" s="5" t="str">
        <f>_xlfn.XLOOKUP(Clean_Data[[#This Row],[Country]],country_region[Country],country_region[Country_Standard],"Not found")</f>
        <v>UK</v>
      </c>
      <c r="Q731" s="5" t="str">
        <f>_xlfn.XLOOKUP(Clean_Data[[#This Row],[Country]],country_region[Country],country_region[Region],"Not found")</f>
        <v>Europe</v>
      </c>
      <c r="R731" s="5" t="str">
        <f>_xlfn.XLOOKUP(Clean_Data[[#This Row],[Type of Event]],event_type_category[Type of Event],event_type_category[Category],"Not found")</f>
        <v>War &amp; Conflict</v>
      </c>
    </row>
    <row r="732" spans="1:18">
      <c r="A732">
        <v>776</v>
      </c>
      <c r="B732" t="s">
        <v>3377</v>
      </c>
      <c r="E732" t="s">
        <v>189</v>
      </c>
      <c r="F732" t="s">
        <v>400</v>
      </c>
      <c r="G732" t="s">
        <v>1244</v>
      </c>
      <c r="H732" t="s">
        <v>3378</v>
      </c>
      <c r="I732" t="s">
        <v>3379</v>
      </c>
      <c r="J732" t="s">
        <v>3380</v>
      </c>
      <c r="K732" t="s">
        <v>3381</v>
      </c>
      <c r="L732" t="s">
        <v>21</v>
      </c>
      <c r="M732">
        <v>1962</v>
      </c>
      <c r="N732" s="5">
        <f>ROUNDUP(Clean_Data[[#This Row],[Year_Num]]/100,0)</f>
        <v>20</v>
      </c>
      <c r="O732" s="5" t="str" cm="1">
        <f t="array" ref="O732">_xlfn.LET(_xlpm.y,Clean_Data[[#This Row],[Year_Num]],_xlfn.IFS(_xlpm.y&lt;500,"Ancient",_xlpm.y&lt;1500,"Medieval",_xlpm.y&lt;1800,"Early Modern",_xlpm.y&lt;1946,"Modern",TRUE,"Contemporary"))</f>
        <v>Contemporary</v>
      </c>
      <c r="P732" s="5" t="str">
        <f>_xlfn.XLOOKUP(Clean_Data[[#This Row],[Country]],country_region[Country],country_region[Country_Standard],"Not found")</f>
        <v>UK</v>
      </c>
      <c r="Q732" s="5" t="str">
        <f>_xlfn.XLOOKUP(Clean_Data[[#This Row],[Country]],country_region[Country],country_region[Region],"Not found")</f>
        <v>Europe</v>
      </c>
      <c r="R732" s="5" t="str">
        <f>_xlfn.XLOOKUP(Clean_Data[[#This Row],[Type of Event]],event_type_category[Type of Event],event_type_category[Category],"Not found")</f>
        <v>Culture, Religion &amp; Sport</v>
      </c>
    </row>
    <row r="733" spans="1:18">
      <c r="A733">
        <v>777</v>
      </c>
      <c r="B733" t="s">
        <v>3382</v>
      </c>
      <c r="C733" t="s">
        <v>331</v>
      </c>
      <c r="D733" t="s">
        <v>39</v>
      </c>
      <c r="E733" t="s">
        <v>741</v>
      </c>
      <c r="F733" t="s">
        <v>400</v>
      </c>
      <c r="G733" t="s">
        <v>356</v>
      </c>
      <c r="H733" t="s">
        <v>3383</v>
      </c>
      <c r="I733" t="s">
        <v>3384</v>
      </c>
      <c r="J733" t="s">
        <v>3385</v>
      </c>
      <c r="K733" t="s">
        <v>3369</v>
      </c>
      <c r="L733" t="s">
        <v>36</v>
      </c>
      <c r="M733">
        <v>1982</v>
      </c>
      <c r="N733" s="5">
        <f>ROUNDUP(Clean_Data[[#This Row],[Year_Num]]/100,0)</f>
        <v>20</v>
      </c>
      <c r="O733" s="5" t="str" cm="1">
        <f t="array" ref="O733">_xlfn.LET(_xlpm.y,Clean_Data[[#This Row],[Year_Num]],_xlfn.IFS(_xlpm.y&lt;500,"Ancient",_xlpm.y&lt;1500,"Medieval",_xlpm.y&lt;1800,"Early Modern",_xlpm.y&lt;1946,"Modern",TRUE,"Contemporary"))</f>
        <v>Contemporary</v>
      </c>
      <c r="P733" s="5" t="str">
        <f>_xlfn.XLOOKUP(Clean_Data[[#This Row],[Country]],country_region[Country],country_region[Country_Standard],"Not found")</f>
        <v>UK</v>
      </c>
      <c r="Q733" s="5" t="str">
        <f>_xlfn.XLOOKUP(Clean_Data[[#This Row],[Country]],country_region[Country],country_region[Region],"Not found")</f>
        <v>Europe</v>
      </c>
      <c r="R733" s="5" t="str">
        <f>_xlfn.XLOOKUP(Clean_Data[[#This Row],[Type of Event]],event_type_category[Type of Event],event_type_category[Category],"Not found")</f>
        <v>War &amp; Conflict</v>
      </c>
    </row>
    <row r="734" spans="1:18">
      <c r="A734">
        <v>778</v>
      </c>
      <c r="B734" t="s">
        <v>3386</v>
      </c>
      <c r="C734" t="s">
        <v>107</v>
      </c>
      <c r="D734" t="s">
        <v>39</v>
      </c>
      <c r="E734" t="s">
        <v>75</v>
      </c>
      <c r="F734" t="s">
        <v>400</v>
      </c>
      <c r="G734" t="s">
        <v>702</v>
      </c>
      <c r="H734" t="s">
        <v>3387</v>
      </c>
      <c r="I734" t="s">
        <v>3388</v>
      </c>
      <c r="J734" t="s">
        <v>3389</v>
      </c>
      <c r="K734" t="s">
        <v>3390</v>
      </c>
      <c r="L734" t="s">
        <v>21</v>
      </c>
      <c r="M734">
        <v>1998</v>
      </c>
      <c r="N734" s="5">
        <f>ROUNDUP(Clean_Data[[#This Row],[Year_Num]]/100,0)</f>
        <v>20</v>
      </c>
      <c r="O734" s="5" t="str" cm="1">
        <f t="array" ref="O734">_xlfn.LET(_xlpm.y,Clean_Data[[#This Row],[Year_Num]],_xlfn.IFS(_xlpm.y&lt;500,"Ancient",_xlpm.y&lt;1500,"Medieval",_xlpm.y&lt;1800,"Early Modern",_xlpm.y&lt;1946,"Modern",TRUE,"Contemporary"))</f>
        <v>Contemporary</v>
      </c>
      <c r="P734" s="5" t="str">
        <f>_xlfn.XLOOKUP(Clean_Data[[#This Row],[Country]],country_region[Country],country_region[Country_Standard],"Not found")</f>
        <v>UK</v>
      </c>
      <c r="Q734" s="5" t="str">
        <f>_xlfn.XLOOKUP(Clean_Data[[#This Row],[Country]],country_region[Country],country_region[Region],"Not found")</f>
        <v>Europe</v>
      </c>
      <c r="R734" s="5" t="str">
        <f>_xlfn.XLOOKUP(Clean_Data[[#This Row],[Type of Event]],event_type_category[Type of Event],event_type_category[Category],"Not found")</f>
        <v>Diplomacy &amp; International Relations</v>
      </c>
    </row>
    <row r="735" spans="1:18">
      <c r="A735">
        <v>779</v>
      </c>
      <c r="B735" t="s">
        <v>3391</v>
      </c>
      <c r="C735" t="s">
        <v>99</v>
      </c>
      <c r="D735" t="s">
        <v>100</v>
      </c>
      <c r="E735" t="s">
        <v>299</v>
      </c>
      <c r="F735" t="s">
        <v>400</v>
      </c>
      <c r="G735" t="s">
        <v>31</v>
      </c>
      <c r="H735" t="s">
        <v>400</v>
      </c>
      <c r="I735" t="s">
        <v>3392</v>
      </c>
      <c r="J735" t="s">
        <v>3368</v>
      </c>
      <c r="K735" t="s">
        <v>3369</v>
      </c>
      <c r="L735" t="s">
        <v>36</v>
      </c>
      <c r="M735">
        <v>2016</v>
      </c>
      <c r="N735" s="5">
        <f>ROUNDUP(Clean_Data[[#This Row],[Year_Num]]/100,0)</f>
        <v>21</v>
      </c>
      <c r="O735" s="5" t="str" cm="1">
        <f t="array" ref="O735">_xlfn.LET(_xlpm.y,Clean_Data[[#This Row],[Year_Num]],_xlfn.IFS(_xlpm.y&lt;500,"Ancient",_xlpm.y&lt;1500,"Medieval",_xlpm.y&lt;1800,"Early Modern",_xlpm.y&lt;1946,"Modern",TRUE,"Contemporary"))</f>
        <v>Contemporary</v>
      </c>
      <c r="P735" s="5" t="str">
        <f>_xlfn.XLOOKUP(Clean_Data[[#This Row],[Country]],country_region[Country],country_region[Country_Standard],"Not found")</f>
        <v>UK</v>
      </c>
      <c r="Q735" s="5" t="str">
        <f>_xlfn.XLOOKUP(Clean_Data[[#This Row],[Country]],country_region[Country],country_region[Region],"Not found")</f>
        <v>Europe</v>
      </c>
      <c r="R735" s="5" t="str">
        <f>_xlfn.XLOOKUP(Clean_Data[[#This Row],[Type of Event]],event_type_category[Type of Event],event_type_category[Category],"Not found")</f>
        <v>Politics &amp; Law</v>
      </c>
    </row>
    <row r="736" spans="1:18">
      <c r="A736">
        <v>780</v>
      </c>
      <c r="B736" t="s">
        <v>3393</v>
      </c>
      <c r="C736" t="s">
        <v>331</v>
      </c>
      <c r="D736" t="s">
        <v>286</v>
      </c>
      <c r="E736" t="s">
        <v>3394</v>
      </c>
      <c r="F736" t="s">
        <v>400</v>
      </c>
      <c r="G736" t="s">
        <v>3264</v>
      </c>
      <c r="H736" t="s">
        <v>402</v>
      </c>
      <c r="I736" t="s">
        <v>3395</v>
      </c>
      <c r="J736" t="s">
        <v>3396</v>
      </c>
      <c r="K736" t="s">
        <v>3397</v>
      </c>
      <c r="L736" t="s">
        <v>54</v>
      </c>
      <c r="M736">
        <v>1666</v>
      </c>
      <c r="N736" s="5">
        <f>ROUNDUP(Clean_Data[[#This Row],[Year_Num]]/100,0)</f>
        <v>17</v>
      </c>
      <c r="O736" s="5" t="str" cm="1">
        <f t="array" ref="O736">_xlfn.LET(_xlpm.y,Clean_Data[[#This Row],[Year_Num]],_xlfn.IFS(_xlpm.y&lt;500,"Ancient",_xlpm.y&lt;1500,"Medieval",_xlpm.y&lt;1800,"Early Modern",_xlpm.y&lt;1946,"Modern",TRUE,"Contemporary"))</f>
        <v>Early Modern</v>
      </c>
      <c r="P736" s="5" t="str">
        <f>_xlfn.XLOOKUP(Clean_Data[[#This Row],[Country]],country_region[Country],country_region[Country_Standard],"Not found")</f>
        <v>UK</v>
      </c>
      <c r="Q736" s="5" t="str">
        <f>_xlfn.XLOOKUP(Clean_Data[[#This Row],[Country]],country_region[Country],country_region[Region],"Not found")</f>
        <v>Europe</v>
      </c>
      <c r="R736" s="5" t="str">
        <f>_xlfn.XLOOKUP(Clean_Data[[#This Row],[Type of Event]],event_type_category[Type of Event],event_type_category[Category],"Not found")</f>
        <v>Disasters &amp; Accidents</v>
      </c>
    </row>
    <row r="737" spans="1:18">
      <c r="A737">
        <v>781</v>
      </c>
      <c r="B737" t="s">
        <v>3398</v>
      </c>
      <c r="C737" t="s">
        <v>200</v>
      </c>
      <c r="D737" t="s">
        <v>267</v>
      </c>
      <c r="E737" t="s">
        <v>3399</v>
      </c>
      <c r="F737" t="s">
        <v>400</v>
      </c>
      <c r="G737" t="s">
        <v>145</v>
      </c>
      <c r="H737" t="s">
        <v>3353</v>
      </c>
      <c r="I737" t="s">
        <v>3400</v>
      </c>
      <c r="J737" t="s">
        <v>2437</v>
      </c>
      <c r="K737" t="s">
        <v>3401</v>
      </c>
      <c r="L737" t="s">
        <v>21</v>
      </c>
      <c r="M737">
        <v>1807</v>
      </c>
      <c r="N737" s="5">
        <f>ROUNDUP(Clean_Data[[#This Row],[Year_Num]]/100,0)</f>
        <v>19</v>
      </c>
      <c r="O737" s="5" t="str" cm="1">
        <f t="array" ref="O737">_xlfn.LET(_xlpm.y,Clean_Data[[#This Row],[Year_Num]],_xlfn.IFS(_xlpm.y&lt;500,"Ancient",_xlpm.y&lt;1500,"Medieval",_xlpm.y&lt;1800,"Early Modern",_xlpm.y&lt;1946,"Modern",TRUE,"Contemporary"))</f>
        <v>Modern</v>
      </c>
      <c r="P737" s="5" t="str">
        <f>_xlfn.XLOOKUP(Clean_Data[[#This Row],[Country]],country_region[Country],country_region[Country_Standard],"Not found")</f>
        <v>UK</v>
      </c>
      <c r="Q737" s="5" t="str">
        <f>_xlfn.XLOOKUP(Clean_Data[[#This Row],[Country]],country_region[Country],country_region[Region],"Not found")</f>
        <v>Europe</v>
      </c>
      <c r="R737" s="5" t="str">
        <f>_xlfn.XLOOKUP(Clean_Data[[#This Row],[Type of Event]],event_type_category[Type of Event],event_type_category[Category],"Not found")</f>
        <v>Politics &amp; Law</v>
      </c>
    </row>
    <row r="738" spans="1:18">
      <c r="A738">
        <v>782</v>
      </c>
      <c r="B738" t="s">
        <v>3402</v>
      </c>
      <c r="C738" t="s">
        <v>522</v>
      </c>
      <c r="D738" t="s">
        <v>286</v>
      </c>
      <c r="E738" t="s">
        <v>3403</v>
      </c>
      <c r="F738" t="s">
        <v>400</v>
      </c>
      <c r="G738" t="s">
        <v>3404</v>
      </c>
      <c r="H738" t="s">
        <v>3405</v>
      </c>
      <c r="I738" t="s">
        <v>3406</v>
      </c>
      <c r="J738" t="s">
        <v>3368</v>
      </c>
      <c r="K738" t="s">
        <v>3407</v>
      </c>
      <c r="L738" t="s">
        <v>21</v>
      </c>
      <c r="M738">
        <v>1825</v>
      </c>
      <c r="N738" s="5">
        <f>ROUNDUP(Clean_Data[[#This Row],[Year_Num]]/100,0)</f>
        <v>19</v>
      </c>
      <c r="O738" s="5" t="str" cm="1">
        <f t="array" ref="O738">_xlfn.LET(_xlpm.y,Clean_Data[[#This Row],[Year_Num]],_xlfn.IFS(_xlpm.y&lt;500,"Ancient",_xlpm.y&lt;1500,"Medieval",_xlpm.y&lt;1800,"Early Modern",_xlpm.y&lt;1946,"Modern",TRUE,"Contemporary"))</f>
        <v>Modern</v>
      </c>
      <c r="P738" s="5" t="str">
        <f>_xlfn.XLOOKUP(Clean_Data[[#This Row],[Country]],country_region[Country],country_region[Country_Standard],"Not found")</f>
        <v>UK</v>
      </c>
      <c r="Q738" s="5" t="str">
        <f>_xlfn.XLOOKUP(Clean_Data[[#This Row],[Country]],country_region[Country],country_region[Region],"Not found")</f>
        <v>Europe</v>
      </c>
      <c r="R738" s="5" t="str">
        <f>_xlfn.XLOOKUP(Clean_Data[[#This Row],[Type of Event]],event_type_category[Type of Event],event_type_category[Category],"Not found")</f>
        <v>Economy &amp; Infrastructure</v>
      </c>
    </row>
    <row r="739" spans="1:18">
      <c r="A739">
        <v>783</v>
      </c>
      <c r="B739" t="s">
        <v>1493</v>
      </c>
      <c r="C739" t="s">
        <v>321</v>
      </c>
      <c r="D739" t="s">
        <v>173</v>
      </c>
      <c r="E739" t="s">
        <v>1093</v>
      </c>
      <c r="F739" t="s">
        <v>400</v>
      </c>
      <c r="G739" t="s">
        <v>1683</v>
      </c>
      <c r="H739" t="s">
        <v>3353</v>
      </c>
      <c r="I739" t="s">
        <v>3408</v>
      </c>
      <c r="J739" t="s">
        <v>3409</v>
      </c>
      <c r="K739" t="s">
        <v>3369</v>
      </c>
      <c r="L739" t="s">
        <v>21</v>
      </c>
      <c r="M739">
        <v>1918</v>
      </c>
      <c r="N739" s="5">
        <f>ROUNDUP(Clean_Data[[#This Row],[Year_Num]]/100,0)</f>
        <v>20</v>
      </c>
      <c r="O739" s="5" t="str" cm="1">
        <f t="array" ref="O739">_xlfn.LET(_xlpm.y,Clean_Data[[#This Row],[Year_Num]],_xlfn.IFS(_xlpm.y&lt;500,"Ancient",_xlpm.y&lt;1500,"Medieval",_xlpm.y&lt;1800,"Early Modern",_xlpm.y&lt;1946,"Modern",TRUE,"Contemporary"))</f>
        <v>Modern</v>
      </c>
      <c r="P739" s="5" t="str">
        <f>_xlfn.XLOOKUP(Clean_Data[[#This Row],[Country]],country_region[Country],country_region[Country_Standard],"Not found")</f>
        <v>UK</v>
      </c>
      <c r="Q739" s="5" t="str">
        <f>_xlfn.XLOOKUP(Clean_Data[[#This Row],[Country]],country_region[Country],country_region[Region],"Not found")</f>
        <v>Europe</v>
      </c>
      <c r="R739" s="5" t="str">
        <f>_xlfn.XLOOKUP(Clean_Data[[#This Row],[Type of Event]],event_type_category[Type of Event],event_type_category[Category],"Not found")</f>
        <v>Society &amp; Health</v>
      </c>
    </row>
    <row r="740" spans="1:18">
      <c r="A740">
        <v>784</v>
      </c>
      <c r="B740" t="s">
        <v>3410</v>
      </c>
      <c r="C740" t="s">
        <v>107</v>
      </c>
      <c r="D740" t="s">
        <v>211</v>
      </c>
      <c r="E740" t="s">
        <v>571</v>
      </c>
      <c r="F740" t="s">
        <v>400</v>
      </c>
      <c r="G740" t="s">
        <v>356</v>
      </c>
      <c r="H740" t="s">
        <v>3411</v>
      </c>
      <c r="I740" t="s">
        <v>3412</v>
      </c>
      <c r="J740" t="s">
        <v>3368</v>
      </c>
      <c r="K740" t="s">
        <v>3413</v>
      </c>
      <c r="L740" t="s">
        <v>21</v>
      </c>
      <c r="M740">
        <v>1940</v>
      </c>
      <c r="N740" s="5">
        <f>ROUNDUP(Clean_Data[[#This Row],[Year_Num]]/100,0)</f>
        <v>20</v>
      </c>
      <c r="O740" s="5" t="str" cm="1">
        <f t="array" ref="O740">_xlfn.LET(_xlpm.y,Clean_Data[[#This Row],[Year_Num]],_xlfn.IFS(_xlpm.y&lt;500,"Ancient",_xlpm.y&lt;1500,"Medieval",_xlpm.y&lt;1800,"Early Modern",_xlpm.y&lt;1946,"Modern",TRUE,"Contemporary"))</f>
        <v>Modern</v>
      </c>
      <c r="P740" s="5" t="str">
        <f>_xlfn.XLOOKUP(Clean_Data[[#This Row],[Country]],country_region[Country],country_region[Country_Standard],"Not found")</f>
        <v>UK</v>
      </c>
      <c r="Q740" s="5" t="str">
        <f>_xlfn.XLOOKUP(Clean_Data[[#This Row],[Country]],country_region[Country],country_region[Region],"Not found")</f>
        <v>Europe</v>
      </c>
      <c r="R740" s="5" t="str">
        <f>_xlfn.XLOOKUP(Clean_Data[[#This Row],[Type of Event]],event_type_category[Type of Event],event_type_category[Category],"Not found")</f>
        <v>War &amp; Conflict</v>
      </c>
    </row>
    <row r="741" spans="1:18">
      <c r="A741">
        <v>785</v>
      </c>
      <c r="B741" t="s">
        <v>3414</v>
      </c>
      <c r="C741" t="s">
        <v>165</v>
      </c>
      <c r="D741" t="s">
        <v>211</v>
      </c>
      <c r="E741" t="s">
        <v>656</v>
      </c>
      <c r="F741" t="s">
        <v>400</v>
      </c>
      <c r="G741" t="s">
        <v>1683</v>
      </c>
      <c r="H741" t="s">
        <v>400</v>
      </c>
      <c r="I741" t="s">
        <v>3415</v>
      </c>
      <c r="J741" t="s">
        <v>3368</v>
      </c>
      <c r="K741" t="s">
        <v>3416</v>
      </c>
      <c r="L741" t="s">
        <v>21</v>
      </c>
      <c r="M741">
        <v>1948</v>
      </c>
      <c r="N741" s="5">
        <f>ROUNDUP(Clean_Data[[#This Row],[Year_Num]]/100,0)</f>
        <v>20</v>
      </c>
      <c r="O741" s="5" t="str" cm="1">
        <f t="array" ref="O741">_xlfn.LET(_xlpm.y,Clean_Data[[#This Row],[Year_Num]],_xlfn.IFS(_xlpm.y&lt;500,"Ancient",_xlpm.y&lt;1500,"Medieval",_xlpm.y&lt;1800,"Early Modern",_xlpm.y&lt;1946,"Modern",TRUE,"Contemporary"))</f>
        <v>Contemporary</v>
      </c>
      <c r="P741" s="5" t="str">
        <f>_xlfn.XLOOKUP(Clean_Data[[#This Row],[Country]],country_region[Country],country_region[Country_Standard],"Not found")</f>
        <v>UK</v>
      </c>
      <c r="Q741" s="5" t="str">
        <f>_xlfn.XLOOKUP(Clean_Data[[#This Row],[Country]],country_region[Country],country_region[Region],"Not found")</f>
        <v>Europe</v>
      </c>
      <c r="R741" s="5" t="str">
        <f>_xlfn.XLOOKUP(Clean_Data[[#This Row],[Type of Event]],event_type_category[Type of Event],event_type_category[Category],"Not found")</f>
        <v>Society &amp; Health</v>
      </c>
    </row>
    <row r="742" spans="1:18">
      <c r="A742">
        <v>786</v>
      </c>
      <c r="B742" t="s">
        <v>3417</v>
      </c>
      <c r="C742" t="s">
        <v>107</v>
      </c>
      <c r="D742" t="s">
        <v>47</v>
      </c>
      <c r="E742" t="s">
        <v>600</v>
      </c>
      <c r="F742" t="s">
        <v>400</v>
      </c>
      <c r="G742" t="s">
        <v>750</v>
      </c>
      <c r="H742" t="s">
        <v>3418</v>
      </c>
      <c r="I742" t="s">
        <v>3419</v>
      </c>
      <c r="J742" t="s">
        <v>1011</v>
      </c>
      <c r="K742" t="s">
        <v>3420</v>
      </c>
      <c r="L742" t="s">
        <v>21</v>
      </c>
      <c r="M742">
        <v>1997</v>
      </c>
      <c r="N742" s="5">
        <f>ROUNDUP(Clean_Data[[#This Row],[Year_Num]]/100,0)</f>
        <v>20</v>
      </c>
      <c r="O742" s="5" t="str" cm="1">
        <f t="array" ref="O742">_xlfn.LET(_xlpm.y,Clean_Data[[#This Row],[Year_Num]],_xlfn.IFS(_xlpm.y&lt;500,"Ancient",_xlpm.y&lt;1500,"Medieval",_xlpm.y&lt;1800,"Early Modern",_xlpm.y&lt;1946,"Modern",TRUE,"Contemporary"))</f>
        <v>Contemporary</v>
      </c>
      <c r="P742" s="5" t="str">
        <f>_xlfn.XLOOKUP(Clean_Data[[#This Row],[Country]],country_region[Country],country_region[Country_Standard],"Not found")</f>
        <v>UK</v>
      </c>
      <c r="Q742" s="5" t="str">
        <f>_xlfn.XLOOKUP(Clean_Data[[#This Row],[Country]],country_region[Country],country_region[Region],"Not found")</f>
        <v>Europe</v>
      </c>
      <c r="R742" s="5" t="str">
        <f>_xlfn.XLOOKUP(Clean_Data[[#This Row],[Type of Event]],event_type_category[Type of Event],event_type_category[Category],"Not found")</f>
        <v>Science, Technology &amp; Exploration</v>
      </c>
    </row>
    <row r="743" spans="1:18">
      <c r="A743">
        <v>787</v>
      </c>
      <c r="B743" t="s">
        <v>3421</v>
      </c>
      <c r="C743" t="s">
        <v>74</v>
      </c>
      <c r="D743" t="s">
        <v>286</v>
      </c>
      <c r="E743" t="s">
        <v>600</v>
      </c>
      <c r="F743" t="s">
        <v>400</v>
      </c>
      <c r="G743" t="s">
        <v>31</v>
      </c>
      <c r="H743" t="s">
        <v>3422</v>
      </c>
      <c r="I743" t="s">
        <v>3423</v>
      </c>
      <c r="J743" t="s">
        <v>3424</v>
      </c>
      <c r="K743" t="s">
        <v>3369</v>
      </c>
      <c r="L743" t="s">
        <v>21</v>
      </c>
      <c r="M743">
        <v>1997</v>
      </c>
      <c r="N743" s="5">
        <f>ROUNDUP(Clean_Data[[#This Row],[Year_Num]]/100,0)</f>
        <v>20</v>
      </c>
      <c r="O743" s="5" t="str" cm="1">
        <f t="array" ref="O743">_xlfn.LET(_xlpm.y,Clean_Data[[#This Row],[Year_Num]],_xlfn.IFS(_xlpm.y&lt;500,"Ancient",_xlpm.y&lt;1500,"Medieval",_xlpm.y&lt;1800,"Early Modern",_xlpm.y&lt;1946,"Modern",TRUE,"Contemporary"))</f>
        <v>Contemporary</v>
      </c>
      <c r="P743" s="5" t="str">
        <f>_xlfn.XLOOKUP(Clean_Data[[#This Row],[Country]],country_region[Country],country_region[Country_Standard],"Not found")</f>
        <v>UK</v>
      </c>
      <c r="Q743" s="5" t="str">
        <f>_xlfn.XLOOKUP(Clean_Data[[#This Row],[Country]],country_region[Country],country_region[Region],"Not found")</f>
        <v>Europe</v>
      </c>
      <c r="R743" s="5" t="str">
        <f>_xlfn.XLOOKUP(Clean_Data[[#This Row],[Type of Event]],event_type_category[Type of Event],event_type_category[Category],"Not found")</f>
        <v>Politics &amp; Law</v>
      </c>
    </row>
    <row r="744" spans="1:18">
      <c r="A744">
        <v>788</v>
      </c>
      <c r="B744" t="s">
        <v>3425</v>
      </c>
      <c r="C744" t="s">
        <v>115</v>
      </c>
      <c r="D744" t="s">
        <v>211</v>
      </c>
      <c r="E744" t="s">
        <v>144</v>
      </c>
      <c r="F744" t="s">
        <v>400</v>
      </c>
      <c r="G744" t="s">
        <v>85</v>
      </c>
      <c r="H744" t="s">
        <v>402</v>
      </c>
      <c r="I744" t="s">
        <v>3426</v>
      </c>
      <c r="J744" t="s">
        <v>3396</v>
      </c>
      <c r="K744" t="s">
        <v>3427</v>
      </c>
      <c r="L744" t="s">
        <v>54</v>
      </c>
      <c r="M744">
        <v>2005</v>
      </c>
      <c r="N744" s="5">
        <f>ROUNDUP(Clean_Data[[#This Row],[Year_Num]]/100,0)</f>
        <v>21</v>
      </c>
      <c r="O744" s="5" t="str" cm="1">
        <f t="array" ref="O744">_xlfn.LET(_xlpm.y,Clean_Data[[#This Row],[Year_Num]],_xlfn.IFS(_xlpm.y&lt;500,"Ancient",_xlpm.y&lt;1500,"Medieval",_xlpm.y&lt;1800,"Early Modern",_xlpm.y&lt;1946,"Modern",TRUE,"Contemporary"))</f>
        <v>Contemporary</v>
      </c>
      <c r="P744" s="5" t="str">
        <f>_xlfn.XLOOKUP(Clean_Data[[#This Row],[Country]],country_region[Country],country_region[Country_Standard],"Not found")</f>
        <v>UK</v>
      </c>
      <c r="Q744" s="5" t="str">
        <f>_xlfn.XLOOKUP(Clean_Data[[#This Row],[Country]],country_region[Country],country_region[Region],"Not found")</f>
        <v>Europe</v>
      </c>
      <c r="R744" s="5" t="str">
        <f>_xlfn.XLOOKUP(Clean_Data[[#This Row],[Type of Event]],event_type_category[Type of Event],event_type_category[Category],"Not found")</f>
        <v>War &amp; Conflict</v>
      </c>
    </row>
    <row r="745" spans="1:18">
      <c r="A745">
        <v>789</v>
      </c>
      <c r="B745" t="s">
        <v>3428</v>
      </c>
      <c r="C745" t="s">
        <v>522</v>
      </c>
      <c r="D745" t="s">
        <v>211</v>
      </c>
      <c r="E745" t="s">
        <v>151</v>
      </c>
      <c r="F745" t="s">
        <v>400</v>
      </c>
      <c r="G745" t="s">
        <v>3429</v>
      </c>
      <c r="H745" t="s">
        <v>402</v>
      </c>
      <c r="I745" t="s">
        <v>3430</v>
      </c>
      <c r="J745" t="s">
        <v>3431</v>
      </c>
      <c r="K745" t="s">
        <v>3432</v>
      </c>
      <c r="L745" t="s">
        <v>21</v>
      </c>
      <c r="M745">
        <v>2012</v>
      </c>
      <c r="N745" s="5">
        <f>ROUNDUP(Clean_Data[[#This Row],[Year_Num]]/100,0)</f>
        <v>21</v>
      </c>
      <c r="O745" s="5" t="str" cm="1">
        <f t="array" ref="O745">_xlfn.LET(_xlpm.y,Clean_Data[[#This Row],[Year_Num]],_xlfn.IFS(_xlpm.y&lt;500,"Ancient",_xlpm.y&lt;1500,"Medieval",_xlpm.y&lt;1800,"Early Modern",_xlpm.y&lt;1946,"Modern",TRUE,"Contemporary"))</f>
        <v>Contemporary</v>
      </c>
      <c r="P745" s="5" t="str">
        <f>_xlfn.XLOOKUP(Clean_Data[[#This Row],[Country]],country_region[Country],country_region[Country_Standard],"Not found")</f>
        <v>UK</v>
      </c>
      <c r="Q745" s="5" t="str">
        <f>_xlfn.XLOOKUP(Clean_Data[[#This Row],[Country]],country_region[Country],country_region[Region],"Not found")</f>
        <v>Europe</v>
      </c>
      <c r="R745" s="5" t="str">
        <f>_xlfn.XLOOKUP(Clean_Data[[#This Row],[Type of Event]],event_type_category[Type of Event],event_type_category[Category],"Not found")</f>
        <v>Culture, Religion &amp; Sport</v>
      </c>
    </row>
    <row r="746" spans="1:18">
      <c r="A746">
        <v>790</v>
      </c>
      <c r="B746" t="s">
        <v>5039</v>
      </c>
      <c r="C746" t="s">
        <v>633</v>
      </c>
      <c r="D746" t="s">
        <v>267</v>
      </c>
      <c r="E746" t="s">
        <v>287</v>
      </c>
      <c r="F746" t="s">
        <v>400</v>
      </c>
      <c r="G746" t="s">
        <v>145</v>
      </c>
      <c r="H746" t="s">
        <v>400</v>
      </c>
      <c r="I746" t="s">
        <v>5040</v>
      </c>
      <c r="J746" t="s">
        <v>3435</v>
      </c>
      <c r="K746" t="s">
        <v>3369</v>
      </c>
      <c r="L746" t="s">
        <v>21</v>
      </c>
      <c r="M746">
        <v>2014</v>
      </c>
      <c r="N746" s="5">
        <f>ROUNDUP(Clean_Data[[#This Row],[Year_Num]]/100,0)</f>
        <v>21</v>
      </c>
      <c r="O746" s="5" t="str" cm="1">
        <f t="array" ref="O746">_xlfn.LET(_xlpm.y,Clean_Data[[#This Row],[Year_Num]],_xlfn.IFS(_xlpm.y&lt;500,"Ancient",_xlpm.y&lt;1500,"Medieval",_xlpm.y&lt;1800,"Early Modern",_xlpm.y&lt;1946,"Modern",TRUE,"Contemporary"))</f>
        <v>Contemporary</v>
      </c>
      <c r="P746" s="5" t="str">
        <f>_xlfn.XLOOKUP(Clean_Data[[#This Row],[Country]],country_region[Country],country_region[Country_Standard],"Not found")</f>
        <v>UK</v>
      </c>
      <c r="Q746" s="5" t="str">
        <f>_xlfn.XLOOKUP(Clean_Data[[#This Row],[Country]],country_region[Country],country_region[Region],"Not found")</f>
        <v>Europe</v>
      </c>
      <c r="R746" s="5" t="str">
        <f>_xlfn.XLOOKUP(Clean_Data[[#This Row],[Type of Event]],event_type_category[Type of Event],event_type_category[Category],"Not found")</f>
        <v>Politics &amp; Law</v>
      </c>
    </row>
    <row r="747" spans="1:18">
      <c r="A747">
        <v>791</v>
      </c>
      <c r="B747" t="s">
        <v>3436</v>
      </c>
      <c r="C747" t="s">
        <v>195</v>
      </c>
      <c r="D747" t="s">
        <v>286</v>
      </c>
      <c r="E747" t="s">
        <v>287</v>
      </c>
      <c r="F747" t="s">
        <v>400</v>
      </c>
      <c r="G747" t="s">
        <v>31</v>
      </c>
      <c r="H747" t="s">
        <v>3422</v>
      </c>
      <c r="I747" t="s">
        <v>3437</v>
      </c>
      <c r="J747" t="s">
        <v>3424</v>
      </c>
      <c r="K747" t="s">
        <v>3438</v>
      </c>
      <c r="L747" t="s">
        <v>21</v>
      </c>
      <c r="M747">
        <v>2014</v>
      </c>
      <c r="N747" s="5">
        <f>ROUNDUP(Clean_Data[[#This Row],[Year_Num]]/100,0)</f>
        <v>21</v>
      </c>
      <c r="O747" s="5" t="str" cm="1">
        <f t="array" ref="O747">_xlfn.LET(_xlpm.y,Clean_Data[[#This Row],[Year_Num]],_xlfn.IFS(_xlpm.y&lt;500,"Ancient",_xlpm.y&lt;1500,"Medieval",_xlpm.y&lt;1800,"Early Modern",_xlpm.y&lt;1946,"Modern",TRUE,"Contemporary"))</f>
        <v>Contemporary</v>
      </c>
      <c r="P747" s="5" t="str">
        <f>_xlfn.XLOOKUP(Clean_Data[[#This Row],[Country]],country_region[Country],country_region[Country_Standard],"Not found")</f>
        <v>UK</v>
      </c>
      <c r="Q747" s="5" t="str">
        <f>_xlfn.XLOOKUP(Clean_Data[[#This Row],[Country]],country_region[Country],country_region[Region],"Not found")</f>
        <v>Europe</v>
      </c>
      <c r="R747" s="5" t="str">
        <f>_xlfn.XLOOKUP(Clean_Data[[#This Row],[Type of Event]],event_type_category[Type of Event],event_type_category[Category],"Not found")</f>
        <v>Politics &amp; Law</v>
      </c>
    </row>
    <row r="748" spans="1:18">
      <c r="A748">
        <v>792</v>
      </c>
      <c r="B748" t="s">
        <v>3439</v>
      </c>
      <c r="C748" t="s">
        <v>335</v>
      </c>
      <c r="D748" t="s">
        <v>100</v>
      </c>
      <c r="E748" t="s">
        <v>348</v>
      </c>
      <c r="F748" t="s">
        <v>400</v>
      </c>
      <c r="G748" t="s">
        <v>3264</v>
      </c>
      <c r="H748" t="s">
        <v>402</v>
      </c>
      <c r="I748" t="s">
        <v>3440</v>
      </c>
      <c r="J748" t="s">
        <v>3396</v>
      </c>
      <c r="K748" t="s">
        <v>3441</v>
      </c>
      <c r="L748" t="s">
        <v>54</v>
      </c>
      <c r="M748">
        <v>2017</v>
      </c>
      <c r="N748" s="5">
        <f>ROUNDUP(Clean_Data[[#This Row],[Year_Num]]/100,0)</f>
        <v>21</v>
      </c>
      <c r="O748" s="5" t="str" cm="1">
        <f t="array" ref="O748">_xlfn.LET(_xlpm.y,Clean_Data[[#This Row],[Year_Num]],_xlfn.IFS(_xlpm.y&lt;500,"Ancient",_xlpm.y&lt;1500,"Medieval",_xlpm.y&lt;1800,"Early Modern",_xlpm.y&lt;1946,"Modern",TRUE,"Contemporary"))</f>
        <v>Contemporary</v>
      </c>
      <c r="P748" s="5" t="str">
        <f>_xlfn.XLOOKUP(Clean_Data[[#This Row],[Country]],country_region[Country],country_region[Country_Standard],"Not found")</f>
        <v>UK</v>
      </c>
      <c r="Q748" s="5" t="str">
        <f>_xlfn.XLOOKUP(Clean_Data[[#This Row],[Country]],country_region[Country],country_region[Region],"Not found")</f>
        <v>Europe</v>
      </c>
      <c r="R748" s="5" t="str">
        <f>_xlfn.XLOOKUP(Clean_Data[[#This Row],[Type of Event]],event_type_category[Type of Event],event_type_category[Category],"Not found")</f>
        <v>Disasters &amp; Accidents</v>
      </c>
    </row>
    <row r="749" spans="1:18">
      <c r="A749">
        <v>793</v>
      </c>
      <c r="B749" t="s">
        <v>5041</v>
      </c>
      <c r="C749" t="s">
        <v>267</v>
      </c>
      <c r="E749" t="s">
        <v>166</v>
      </c>
      <c r="F749" t="s">
        <v>400</v>
      </c>
      <c r="G749" t="s">
        <v>3443</v>
      </c>
      <c r="H749" t="s">
        <v>3444</v>
      </c>
      <c r="I749" t="s">
        <v>3445</v>
      </c>
      <c r="J749" t="s">
        <v>3368</v>
      </c>
      <c r="K749" t="s">
        <v>3369</v>
      </c>
      <c r="L749" t="s">
        <v>54</v>
      </c>
      <c r="M749">
        <v>2020</v>
      </c>
      <c r="N749" s="5">
        <f>ROUNDUP(Clean_Data[[#This Row],[Year_Num]]/100,0)</f>
        <v>21</v>
      </c>
      <c r="O749" s="5" t="str" cm="1">
        <f t="array" ref="O749">_xlfn.LET(_xlpm.y,Clean_Data[[#This Row],[Year_Num]],_xlfn.IFS(_xlpm.y&lt;500,"Ancient",_xlpm.y&lt;1500,"Medieval",_xlpm.y&lt;1800,"Early Modern",_xlpm.y&lt;1946,"Modern",TRUE,"Contemporary"))</f>
        <v>Contemporary</v>
      </c>
      <c r="P749" s="5" t="str">
        <f>_xlfn.XLOOKUP(Clean_Data[[#This Row],[Country]],country_region[Country],country_region[Country_Standard],"Not found")</f>
        <v>UK</v>
      </c>
      <c r="Q749" s="5" t="str">
        <f>_xlfn.XLOOKUP(Clean_Data[[#This Row],[Country]],country_region[Country],country_region[Region],"Not found")</f>
        <v>Europe</v>
      </c>
      <c r="R749" s="5" t="str">
        <f>_xlfn.XLOOKUP(Clean_Data[[#This Row],[Type of Event]],event_type_category[Type of Event],event_type_category[Category],"Not found")</f>
        <v>Society &amp; Health</v>
      </c>
    </row>
    <row r="750" spans="1:18">
      <c r="A750">
        <v>794</v>
      </c>
      <c r="B750" t="s">
        <v>3446</v>
      </c>
      <c r="C750" t="s">
        <v>240</v>
      </c>
      <c r="D750" t="s">
        <v>39</v>
      </c>
      <c r="E750" t="s">
        <v>2877</v>
      </c>
      <c r="F750" t="s">
        <v>400</v>
      </c>
      <c r="G750" t="s">
        <v>3447</v>
      </c>
      <c r="H750" t="s">
        <v>3448</v>
      </c>
      <c r="I750" t="s">
        <v>3449</v>
      </c>
      <c r="J750" t="s">
        <v>3368</v>
      </c>
      <c r="K750" t="s">
        <v>3450</v>
      </c>
      <c r="L750" t="s">
        <v>54</v>
      </c>
      <c r="M750">
        <v>2021</v>
      </c>
      <c r="N750" s="5">
        <f>ROUNDUP(Clean_Data[[#This Row],[Year_Num]]/100,0)</f>
        <v>21</v>
      </c>
      <c r="O750" s="5" t="str" cm="1">
        <f t="array" ref="O750">_xlfn.LET(_xlpm.y,Clean_Data[[#This Row],[Year_Num]],_xlfn.IFS(_xlpm.y&lt;500,"Ancient",_xlpm.y&lt;1500,"Medieval",_xlpm.y&lt;1800,"Early Modern",_xlpm.y&lt;1946,"Modern",TRUE,"Contemporary"))</f>
        <v>Contemporary</v>
      </c>
      <c r="P750" s="5" t="str">
        <f>_xlfn.XLOOKUP(Clean_Data[[#This Row],[Country]],country_region[Country],country_region[Country_Standard],"Not found")</f>
        <v>UK</v>
      </c>
      <c r="Q750" s="5" t="str">
        <f>_xlfn.XLOOKUP(Clean_Data[[#This Row],[Country]],country_region[Country],country_region[Region],"Not found")</f>
        <v>Europe</v>
      </c>
      <c r="R750" s="5" t="str">
        <f>_xlfn.XLOOKUP(Clean_Data[[#This Row],[Type of Event]],event_type_category[Type of Event],event_type_category[Category],"Not found")</f>
        <v>Independence &amp; Nation-Building</v>
      </c>
    </row>
    <row r="751" spans="1:18">
      <c r="A751">
        <v>795</v>
      </c>
      <c r="B751" t="s">
        <v>3451</v>
      </c>
      <c r="C751" t="s">
        <v>107</v>
      </c>
      <c r="D751" t="s">
        <v>260</v>
      </c>
      <c r="E751" t="s">
        <v>1659</v>
      </c>
      <c r="F751" t="s">
        <v>400</v>
      </c>
      <c r="G751" t="s">
        <v>3452</v>
      </c>
      <c r="H751" t="s">
        <v>400</v>
      </c>
      <c r="I751" t="s">
        <v>3453</v>
      </c>
      <c r="J751" t="s">
        <v>3368</v>
      </c>
      <c r="K751" t="s">
        <v>3454</v>
      </c>
      <c r="L751" t="s">
        <v>21</v>
      </c>
      <c r="M751">
        <v>1840</v>
      </c>
      <c r="N751" s="5">
        <f>ROUNDUP(Clean_Data[[#This Row],[Year_Num]]/100,0)</f>
        <v>19</v>
      </c>
      <c r="O751" s="5" t="str" cm="1">
        <f t="array" ref="O751">_xlfn.LET(_xlpm.y,Clean_Data[[#This Row],[Year_Num]],_xlfn.IFS(_xlpm.y&lt;500,"Ancient",_xlpm.y&lt;1500,"Medieval",_xlpm.y&lt;1800,"Early Modern",_xlpm.y&lt;1946,"Modern",TRUE,"Contemporary"))</f>
        <v>Modern</v>
      </c>
      <c r="P751" s="5" t="str">
        <f>_xlfn.XLOOKUP(Clean_Data[[#This Row],[Country]],country_region[Country],country_region[Country_Standard],"Not found")</f>
        <v>UK</v>
      </c>
      <c r="Q751" s="5" t="str">
        <f>_xlfn.XLOOKUP(Clean_Data[[#This Row],[Country]],country_region[Country],country_region[Region],"Not found")</f>
        <v>Europe</v>
      </c>
      <c r="R751" s="5" t="str">
        <f>_xlfn.XLOOKUP(Clean_Data[[#This Row],[Type of Event]],event_type_category[Type of Event],event_type_category[Category],"Not found")</f>
        <v>Science, Technology &amp; Exploration</v>
      </c>
    </row>
    <row r="752" spans="1:18">
      <c r="A752">
        <v>796</v>
      </c>
      <c r="B752" t="s">
        <v>3455</v>
      </c>
      <c r="C752" t="s">
        <v>331</v>
      </c>
      <c r="D752" t="s">
        <v>83</v>
      </c>
      <c r="E752" t="s">
        <v>1076</v>
      </c>
      <c r="F752" t="s">
        <v>400</v>
      </c>
      <c r="G752" t="s">
        <v>3456</v>
      </c>
      <c r="H752" t="s">
        <v>402</v>
      </c>
      <c r="I752" t="s">
        <v>3457</v>
      </c>
      <c r="J752" t="s">
        <v>3368</v>
      </c>
      <c r="K752" t="s">
        <v>3458</v>
      </c>
      <c r="L752" t="s">
        <v>21</v>
      </c>
      <c r="M752">
        <v>1936</v>
      </c>
      <c r="N752" s="5">
        <f>ROUNDUP(Clean_Data[[#This Row],[Year_Num]]/100,0)</f>
        <v>20</v>
      </c>
      <c r="O752" s="5" t="str" cm="1">
        <f t="array" ref="O752">_xlfn.LET(_xlpm.y,Clean_Data[[#This Row],[Year_Num]],_xlfn.IFS(_xlpm.y&lt;500,"Ancient",_xlpm.y&lt;1500,"Medieval",_xlpm.y&lt;1800,"Early Modern",_xlpm.y&lt;1946,"Modern",TRUE,"Contemporary"))</f>
        <v>Modern</v>
      </c>
      <c r="P752" s="5" t="str">
        <f>_xlfn.XLOOKUP(Clean_Data[[#This Row],[Country]],country_region[Country],country_region[Country_Standard],"Not found")</f>
        <v>UK</v>
      </c>
      <c r="Q752" s="5" t="str">
        <f>_xlfn.XLOOKUP(Clean_Data[[#This Row],[Country]],country_region[Country],country_region[Region],"Not found")</f>
        <v>Europe</v>
      </c>
      <c r="R752" s="5" t="str">
        <f>_xlfn.XLOOKUP(Clean_Data[[#This Row],[Type of Event]],event_type_category[Type of Event],event_type_category[Category],"Not found")</f>
        <v>Culture, Religion &amp; Sport</v>
      </c>
    </row>
    <row r="753" spans="1:18">
      <c r="A753">
        <v>797</v>
      </c>
      <c r="B753" t="s">
        <v>5042</v>
      </c>
      <c r="C753" t="s">
        <v>321</v>
      </c>
      <c r="D753" t="s">
        <v>66</v>
      </c>
      <c r="E753" t="s">
        <v>1099</v>
      </c>
      <c r="F753" t="s">
        <v>400</v>
      </c>
      <c r="G753" t="s">
        <v>3460</v>
      </c>
      <c r="H753" t="s">
        <v>402</v>
      </c>
      <c r="I753" t="s">
        <v>3461</v>
      </c>
      <c r="J753" t="s">
        <v>3462</v>
      </c>
      <c r="K753" t="s">
        <v>3369</v>
      </c>
      <c r="L753" t="s">
        <v>21</v>
      </c>
      <c r="M753">
        <v>1921</v>
      </c>
      <c r="N753" s="5">
        <f>ROUNDUP(Clean_Data[[#This Row],[Year_Num]]/100,0)</f>
        <v>20</v>
      </c>
      <c r="O753" s="5" t="str" cm="1">
        <f t="array" ref="O753">_xlfn.LET(_xlpm.y,Clean_Data[[#This Row],[Year_Num]],_xlfn.IFS(_xlpm.y&lt;500,"Ancient",_xlpm.y&lt;1500,"Medieval",_xlpm.y&lt;1800,"Early Modern",_xlpm.y&lt;1946,"Modern",TRUE,"Contemporary"))</f>
        <v>Modern</v>
      </c>
      <c r="P753" s="5" t="str">
        <f>_xlfn.XLOOKUP(Clean_Data[[#This Row],[Country]],country_region[Country],country_region[Country_Standard],"Not found")</f>
        <v>UK</v>
      </c>
      <c r="Q753" s="5" t="str">
        <f>_xlfn.XLOOKUP(Clean_Data[[#This Row],[Country]],country_region[Country],country_region[Region],"Not found")</f>
        <v>Europe</v>
      </c>
      <c r="R753" s="5" t="str">
        <f>_xlfn.XLOOKUP(Clean_Data[[#This Row],[Type of Event]],event_type_category[Type of Event],event_type_category[Category],"Not found")</f>
        <v>Diplomacy &amp; International Relations</v>
      </c>
    </row>
    <row r="754" spans="1:18">
      <c r="A754">
        <v>798</v>
      </c>
      <c r="B754" t="s">
        <v>3463</v>
      </c>
      <c r="C754" t="s">
        <v>362</v>
      </c>
      <c r="D754" t="s">
        <v>39</v>
      </c>
      <c r="E754" t="s">
        <v>947</v>
      </c>
      <c r="F754" t="s">
        <v>400</v>
      </c>
      <c r="G754" t="s">
        <v>907</v>
      </c>
      <c r="H754" t="s">
        <v>402</v>
      </c>
      <c r="I754" t="s">
        <v>3464</v>
      </c>
      <c r="J754" t="s">
        <v>910</v>
      </c>
      <c r="K754" t="s">
        <v>3369</v>
      </c>
      <c r="L754" t="s">
        <v>21</v>
      </c>
      <c r="M754">
        <v>1949</v>
      </c>
      <c r="N754" s="5">
        <f>ROUNDUP(Clean_Data[[#This Row],[Year_Num]]/100,0)</f>
        <v>20</v>
      </c>
      <c r="O754" s="5" t="str" cm="1">
        <f t="array" ref="O754">_xlfn.LET(_xlpm.y,Clean_Data[[#This Row],[Year_Num]],_xlfn.IFS(_xlpm.y&lt;500,"Ancient",_xlpm.y&lt;1500,"Medieval",_xlpm.y&lt;1800,"Early Modern",_xlpm.y&lt;1946,"Modern",TRUE,"Contemporary"))</f>
        <v>Contemporary</v>
      </c>
      <c r="P754" s="5" t="str">
        <f>_xlfn.XLOOKUP(Clean_Data[[#This Row],[Country]],country_region[Country],country_region[Country_Standard],"Not found")</f>
        <v>UK</v>
      </c>
      <c r="Q754" s="5" t="str">
        <f>_xlfn.XLOOKUP(Clean_Data[[#This Row],[Country]],country_region[Country],country_region[Region],"Not found")</f>
        <v>Europe</v>
      </c>
      <c r="R754" s="5" t="str">
        <f>_xlfn.XLOOKUP(Clean_Data[[#This Row],[Type of Event]],event_type_category[Type of Event],event_type_category[Category],"Not found")</f>
        <v>Diplomacy &amp; International Relations</v>
      </c>
    </row>
    <row r="755" spans="1:18">
      <c r="A755">
        <v>799</v>
      </c>
      <c r="B755" t="s">
        <v>3465</v>
      </c>
      <c r="E755" t="s">
        <v>3466</v>
      </c>
      <c r="F755" t="s">
        <v>400</v>
      </c>
      <c r="G755" t="s">
        <v>356</v>
      </c>
      <c r="H755" t="s">
        <v>3467</v>
      </c>
      <c r="I755" t="s">
        <v>3468</v>
      </c>
      <c r="J755" t="s">
        <v>3469</v>
      </c>
      <c r="K755" t="s">
        <v>3470</v>
      </c>
      <c r="L755" t="s">
        <v>54</v>
      </c>
      <c r="M755">
        <v>1337</v>
      </c>
      <c r="N755" s="5">
        <f>ROUNDUP(Clean_Data[[#This Row],[Year_Num]]/100,0)</f>
        <v>14</v>
      </c>
      <c r="O755" s="5" t="str" cm="1">
        <f t="array" ref="O755">_xlfn.LET(_xlpm.y,Clean_Data[[#This Row],[Year_Num]],_xlfn.IFS(_xlpm.y&lt;500,"Ancient",_xlpm.y&lt;1500,"Medieval",_xlpm.y&lt;1800,"Early Modern",_xlpm.y&lt;1946,"Modern",TRUE,"Contemporary"))</f>
        <v>Medieval</v>
      </c>
      <c r="P755" s="5" t="str">
        <f>_xlfn.XLOOKUP(Clean_Data[[#This Row],[Country]],country_region[Country],country_region[Country_Standard],"Not found")</f>
        <v>UK</v>
      </c>
      <c r="Q755" s="5" t="str">
        <f>_xlfn.XLOOKUP(Clean_Data[[#This Row],[Country]],country_region[Country],country_region[Region],"Not found")</f>
        <v>Europe</v>
      </c>
      <c r="R755" s="5" t="str">
        <f>_xlfn.XLOOKUP(Clean_Data[[#This Row],[Type of Event]],event_type_category[Type of Event],event_type_category[Category],"Not found")</f>
        <v>War &amp; Conflict</v>
      </c>
    </row>
    <row r="756" spans="1:18">
      <c r="A756">
        <v>800</v>
      </c>
      <c r="B756" t="s">
        <v>3471</v>
      </c>
      <c r="E756" t="s">
        <v>3472</v>
      </c>
      <c r="F756" t="s">
        <v>400</v>
      </c>
      <c r="G756" t="s">
        <v>31</v>
      </c>
      <c r="H756" t="s">
        <v>3321</v>
      </c>
      <c r="I756" t="s">
        <v>3473</v>
      </c>
      <c r="J756" t="s">
        <v>3308</v>
      </c>
      <c r="K756" t="s">
        <v>3474</v>
      </c>
      <c r="L756" t="s">
        <v>21</v>
      </c>
      <c r="M756">
        <v>1688</v>
      </c>
      <c r="N756" s="5">
        <f>ROUNDUP(Clean_Data[[#This Row],[Year_Num]]/100,0)</f>
        <v>17</v>
      </c>
      <c r="O756" s="5" t="str" cm="1">
        <f t="array" ref="O756">_xlfn.LET(_xlpm.y,Clean_Data[[#This Row],[Year_Num]],_xlfn.IFS(_xlpm.y&lt;500,"Ancient",_xlpm.y&lt;1500,"Medieval",_xlpm.y&lt;1800,"Early Modern",_xlpm.y&lt;1946,"Modern",TRUE,"Contemporary"))</f>
        <v>Early Modern</v>
      </c>
      <c r="P756" s="5" t="str">
        <f>_xlfn.XLOOKUP(Clean_Data[[#This Row],[Country]],country_region[Country],country_region[Country_Standard],"Not found")</f>
        <v>UK</v>
      </c>
      <c r="Q756" s="5" t="str">
        <f>_xlfn.XLOOKUP(Clean_Data[[#This Row],[Country]],country_region[Country],country_region[Region],"Not found")</f>
        <v>Europe</v>
      </c>
      <c r="R756" s="5" t="str">
        <f>_xlfn.XLOOKUP(Clean_Data[[#This Row],[Type of Event]],event_type_category[Type of Event],event_type_category[Category],"Not found")</f>
        <v>Politics &amp; Law</v>
      </c>
    </row>
    <row r="757" spans="1:18">
      <c r="A757">
        <v>801</v>
      </c>
      <c r="B757" t="s">
        <v>3475</v>
      </c>
      <c r="C757" t="s">
        <v>195</v>
      </c>
      <c r="D757" t="s">
        <v>100</v>
      </c>
      <c r="E757" t="s">
        <v>3476</v>
      </c>
      <c r="F757" t="s">
        <v>400</v>
      </c>
      <c r="G757" t="s">
        <v>356</v>
      </c>
      <c r="H757" t="s">
        <v>3477</v>
      </c>
      <c r="I757" t="s">
        <v>3478</v>
      </c>
      <c r="J757" t="s">
        <v>3479</v>
      </c>
      <c r="K757" t="s">
        <v>3480</v>
      </c>
      <c r="L757" t="s">
        <v>21</v>
      </c>
      <c r="M757">
        <v>1815</v>
      </c>
      <c r="N757" s="5">
        <f>ROUNDUP(Clean_Data[[#This Row],[Year_Num]]/100,0)</f>
        <v>19</v>
      </c>
      <c r="O757" s="5" t="str" cm="1">
        <f t="array" ref="O757">_xlfn.LET(_xlpm.y,Clean_Data[[#This Row],[Year_Num]],_xlfn.IFS(_xlpm.y&lt;500,"Ancient",_xlpm.y&lt;1500,"Medieval",_xlpm.y&lt;1800,"Early Modern",_xlpm.y&lt;1946,"Modern",TRUE,"Contemporary"))</f>
        <v>Modern</v>
      </c>
      <c r="P757" s="5" t="str">
        <f>_xlfn.XLOOKUP(Clean_Data[[#This Row],[Country]],country_region[Country],country_region[Country_Standard],"Not found")</f>
        <v>UK</v>
      </c>
      <c r="Q757" s="5" t="str">
        <f>_xlfn.XLOOKUP(Clean_Data[[#This Row],[Country]],country_region[Country],country_region[Region],"Not found")</f>
        <v>Europe</v>
      </c>
      <c r="R757" s="5" t="str">
        <f>_xlfn.XLOOKUP(Clean_Data[[#This Row],[Type of Event]],event_type_category[Type of Event],event_type_category[Category],"Not found")</f>
        <v>War &amp; Conflict</v>
      </c>
    </row>
    <row r="758" spans="1:18">
      <c r="A758">
        <v>802</v>
      </c>
      <c r="B758" t="s">
        <v>3481</v>
      </c>
      <c r="E758" t="s">
        <v>1525</v>
      </c>
      <c r="F758" t="s">
        <v>400</v>
      </c>
      <c r="G758" t="s">
        <v>2914</v>
      </c>
      <c r="H758" t="s">
        <v>433</v>
      </c>
      <c r="I758" t="s">
        <v>3482</v>
      </c>
      <c r="J758" t="s">
        <v>5043</v>
      </c>
      <c r="K758" t="s">
        <v>3484</v>
      </c>
      <c r="L758" t="s">
        <v>36</v>
      </c>
      <c r="M758">
        <v>1838</v>
      </c>
      <c r="N758" s="5">
        <f>ROUNDUP(Clean_Data[[#This Row],[Year_Num]]/100,0)</f>
        <v>19</v>
      </c>
      <c r="O758" s="5" t="str" cm="1">
        <f t="array" ref="O758">_xlfn.LET(_xlpm.y,Clean_Data[[#This Row],[Year_Num]],_xlfn.IFS(_xlpm.y&lt;500,"Ancient",_xlpm.y&lt;1500,"Medieval",_xlpm.y&lt;1800,"Early Modern",_xlpm.y&lt;1946,"Modern",TRUE,"Contemporary"))</f>
        <v>Modern</v>
      </c>
      <c r="P758" s="5" t="str">
        <f>_xlfn.XLOOKUP(Clean_Data[[#This Row],[Country]],country_region[Country],country_region[Country_Standard],"Not found")</f>
        <v>UK</v>
      </c>
      <c r="Q758" s="5" t="str">
        <f>_xlfn.XLOOKUP(Clean_Data[[#This Row],[Country]],country_region[Country],country_region[Region],"Not found")</f>
        <v>Europe</v>
      </c>
      <c r="R758" s="5" t="str">
        <f>_xlfn.XLOOKUP(Clean_Data[[#This Row],[Type of Event]],event_type_category[Type of Event],event_type_category[Category],"Not found")</f>
        <v>Society &amp; Health</v>
      </c>
    </row>
    <row r="759" spans="1:18">
      <c r="A759">
        <v>803</v>
      </c>
      <c r="B759" t="s">
        <v>3485</v>
      </c>
      <c r="C759" t="s">
        <v>362</v>
      </c>
      <c r="D759" t="s">
        <v>286</v>
      </c>
      <c r="E759" t="s">
        <v>1113</v>
      </c>
      <c r="F759" t="s">
        <v>400</v>
      </c>
      <c r="G759" t="s">
        <v>3187</v>
      </c>
      <c r="H759" t="s">
        <v>3486</v>
      </c>
      <c r="I759" t="s">
        <v>402</v>
      </c>
      <c r="J759" t="s">
        <v>3487</v>
      </c>
      <c r="K759" t="s">
        <v>753</v>
      </c>
      <c r="L759" t="s">
        <v>21</v>
      </c>
      <c r="M759">
        <v>1928</v>
      </c>
      <c r="N759" s="5">
        <f>ROUNDUP(Clean_Data[[#This Row],[Year_Num]]/100,0)</f>
        <v>20</v>
      </c>
      <c r="O759" s="5" t="str" cm="1">
        <f t="array" ref="O759">_xlfn.LET(_xlpm.y,Clean_Data[[#This Row],[Year_Num]],_xlfn.IFS(_xlpm.y&lt;500,"Ancient",_xlpm.y&lt;1500,"Medieval",_xlpm.y&lt;1800,"Early Modern",_xlpm.y&lt;1946,"Modern",TRUE,"Contemporary"))</f>
        <v>Modern</v>
      </c>
      <c r="P759" s="5" t="str">
        <f>_xlfn.XLOOKUP(Clean_Data[[#This Row],[Country]],country_region[Country],country_region[Country_Standard],"Not found")</f>
        <v>UK</v>
      </c>
      <c r="Q759" s="5" t="str">
        <f>_xlfn.XLOOKUP(Clean_Data[[#This Row],[Country]],country_region[Country],country_region[Region],"Not found")</f>
        <v>Europe</v>
      </c>
      <c r="R759" s="5" t="str">
        <f>_xlfn.XLOOKUP(Clean_Data[[#This Row],[Type of Event]],event_type_category[Type of Event],event_type_category[Category],"Not found")</f>
        <v>Science, Technology &amp; Exploration</v>
      </c>
    </row>
    <row r="760" spans="1:18">
      <c r="A760">
        <v>804</v>
      </c>
      <c r="B760" t="s">
        <v>3488</v>
      </c>
      <c r="C760" t="s">
        <v>150</v>
      </c>
      <c r="D760" t="s">
        <v>286</v>
      </c>
      <c r="E760" t="s">
        <v>893</v>
      </c>
      <c r="F760" t="s">
        <v>400</v>
      </c>
      <c r="G760" t="s">
        <v>1463</v>
      </c>
      <c r="H760" t="s">
        <v>400</v>
      </c>
      <c r="I760" t="s">
        <v>3489</v>
      </c>
      <c r="J760" t="s">
        <v>3490</v>
      </c>
      <c r="K760" t="s">
        <v>3369</v>
      </c>
      <c r="L760" t="s">
        <v>54</v>
      </c>
      <c r="M760">
        <v>1992</v>
      </c>
      <c r="N760" s="5">
        <f>ROUNDUP(Clean_Data[[#This Row],[Year_Num]]/100,0)</f>
        <v>20</v>
      </c>
      <c r="O760" s="5" t="str" cm="1">
        <f t="array" ref="O760">_xlfn.LET(_xlpm.y,Clean_Data[[#This Row],[Year_Num]],_xlfn.IFS(_xlpm.y&lt;500,"Ancient",_xlpm.y&lt;1500,"Medieval",_xlpm.y&lt;1800,"Early Modern",_xlpm.y&lt;1946,"Modern",TRUE,"Contemporary"))</f>
        <v>Contemporary</v>
      </c>
      <c r="P760" s="5" t="str">
        <f>_xlfn.XLOOKUP(Clean_Data[[#This Row],[Country]],country_region[Country],country_region[Country_Standard],"Not found")</f>
        <v>UK</v>
      </c>
      <c r="Q760" s="5" t="str">
        <f>_xlfn.XLOOKUP(Clean_Data[[#This Row],[Country]],country_region[Country],country_region[Region],"Not found")</f>
        <v>Europe</v>
      </c>
      <c r="R760" s="5" t="str">
        <f>_xlfn.XLOOKUP(Clean_Data[[#This Row],[Type of Event]],event_type_category[Type of Event],event_type_category[Category],"Not found")</f>
        <v>Economy &amp; Infrastructure</v>
      </c>
    </row>
    <row r="761" spans="1:18">
      <c r="A761">
        <v>805</v>
      </c>
      <c r="B761" t="s">
        <v>3491</v>
      </c>
      <c r="C761" t="s">
        <v>331</v>
      </c>
      <c r="D761" t="s">
        <v>100</v>
      </c>
      <c r="E761" t="s">
        <v>1146</v>
      </c>
      <c r="F761" t="s">
        <v>400</v>
      </c>
      <c r="G761" t="s">
        <v>3447</v>
      </c>
      <c r="H761" t="s">
        <v>3492</v>
      </c>
      <c r="I761" t="s">
        <v>3493</v>
      </c>
      <c r="J761" t="s">
        <v>3368</v>
      </c>
      <c r="K761" t="s">
        <v>3494</v>
      </c>
      <c r="L761" t="s">
        <v>21</v>
      </c>
      <c r="M761">
        <v>1953</v>
      </c>
      <c r="N761" s="5">
        <f>ROUNDUP(Clean_Data[[#This Row],[Year_Num]]/100,0)</f>
        <v>20</v>
      </c>
      <c r="O761" s="5" t="str" cm="1">
        <f t="array" ref="O761">_xlfn.LET(_xlpm.y,Clean_Data[[#This Row],[Year_Num]],_xlfn.IFS(_xlpm.y&lt;500,"Ancient",_xlpm.y&lt;1500,"Medieval",_xlpm.y&lt;1800,"Early Modern",_xlpm.y&lt;1946,"Modern",TRUE,"Contemporary"))</f>
        <v>Contemporary</v>
      </c>
      <c r="P761" s="5" t="str">
        <f>_xlfn.XLOOKUP(Clean_Data[[#This Row],[Country]],country_region[Country],country_region[Country_Standard],"Not found")</f>
        <v>UK</v>
      </c>
      <c r="Q761" s="5" t="str">
        <f>_xlfn.XLOOKUP(Clean_Data[[#This Row],[Country]],country_region[Country],country_region[Region],"Not found")</f>
        <v>Europe</v>
      </c>
      <c r="R761" s="5" t="str">
        <f>_xlfn.XLOOKUP(Clean_Data[[#This Row],[Type of Event]],event_type_category[Type of Event],event_type_category[Category],"Not found")</f>
        <v>Independence &amp; Nation-Building</v>
      </c>
    </row>
    <row r="762" spans="1:18">
      <c r="A762">
        <v>806</v>
      </c>
      <c r="B762" t="s">
        <v>5044</v>
      </c>
      <c r="C762" t="s">
        <v>165</v>
      </c>
      <c r="D762" t="s">
        <v>211</v>
      </c>
      <c r="E762" t="s">
        <v>1586</v>
      </c>
      <c r="F762" t="s">
        <v>400</v>
      </c>
      <c r="G762" t="s">
        <v>750</v>
      </c>
      <c r="H762" t="s">
        <v>3496</v>
      </c>
      <c r="I762" t="s">
        <v>3497</v>
      </c>
      <c r="J762" t="s">
        <v>328</v>
      </c>
      <c r="K762" t="s">
        <v>3498</v>
      </c>
      <c r="L762" t="s">
        <v>21</v>
      </c>
      <c r="M762">
        <v>1996</v>
      </c>
      <c r="N762" s="5">
        <f>ROUNDUP(Clean_Data[[#This Row],[Year_Num]]/100,0)</f>
        <v>20</v>
      </c>
      <c r="O762" s="5" t="str" cm="1">
        <f t="array" ref="O762">_xlfn.LET(_xlpm.y,Clean_Data[[#This Row],[Year_Num]],_xlfn.IFS(_xlpm.y&lt;500,"Ancient",_xlpm.y&lt;1500,"Medieval",_xlpm.y&lt;1800,"Early Modern",_xlpm.y&lt;1946,"Modern",TRUE,"Contemporary"))</f>
        <v>Contemporary</v>
      </c>
      <c r="P762" s="5" t="str">
        <f>_xlfn.XLOOKUP(Clean_Data[[#This Row],[Country]],country_region[Country],country_region[Country_Standard],"Not found")</f>
        <v>UK</v>
      </c>
      <c r="Q762" s="5" t="str">
        <f>_xlfn.XLOOKUP(Clean_Data[[#This Row],[Country]],country_region[Country],country_region[Region],"Not found")</f>
        <v>Europe</v>
      </c>
      <c r="R762" s="5" t="str">
        <f>_xlfn.XLOOKUP(Clean_Data[[#This Row],[Type of Event]],event_type_category[Type of Event],event_type_category[Category],"Not found")</f>
        <v>Science, Technology &amp; Exploration</v>
      </c>
    </row>
    <row r="763" spans="1:18">
      <c r="A763">
        <v>807</v>
      </c>
      <c r="B763" t="s">
        <v>3499</v>
      </c>
      <c r="C763" t="s">
        <v>1129</v>
      </c>
      <c r="D763" t="s">
        <v>211</v>
      </c>
      <c r="E763" t="s">
        <v>144</v>
      </c>
      <c r="F763" t="s">
        <v>400</v>
      </c>
      <c r="G763" t="s">
        <v>3500</v>
      </c>
      <c r="H763" t="s">
        <v>3501</v>
      </c>
      <c r="I763" t="s">
        <v>3502</v>
      </c>
      <c r="J763" t="s">
        <v>3503</v>
      </c>
      <c r="K763" t="s">
        <v>3369</v>
      </c>
      <c r="L763" t="s">
        <v>21</v>
      </c>
      <c r="M763">
        <v>2005</v>
      </c>
      <c r="N763" s="5">
        <f>ROUNDUP(Clean_Data[[#This Row],[Year_Num]]/100,0)</f>
        <v>21</v>
      </c>
      <c r="O763" s="5" t="str" cm="1">
        <f t="array" ref="O763">_xlfn.LET(_xlpm.y,Clean_Data[[#This Row],[Year_Num]],_xlfn.IFS(_xlpm.y&lt;500,"Ancient",_xlpm.y&lt;1500,"Medieval",_xlpm.y&lt;1800,"Early Modern",_xlpm.y&lt;1946,"Modern",TRUE,"Contemporary"))</f>
        <v>Contemporary</v>
      </c>
      <c r="P763" s="5" t="str">
        <f>_xlfn.XLOOKUP(Clean_Data[[#This Row],[Country]],country_region[Country],country_region[Country_Standard],"Not found")</f>
        <v>UK</v>
      </c>
      <c r="Q763" s="5" t="str">
        <f>_xlfn.XLOOKUP(Clean_Data[[#This Row],[Country]],country_region[Country],country_region[Region],"Not found")</f>
        <v>Europe</v>
      </c>
      <c r="R763" s="5" t="str">
        <f>_xlfn.XLOOKUP(Clean_Data[[#This Row],[Type of Event]],event_type_category[Type of Event],event_type_category[Category],"Not found")</f>
        <v>Diplomacy &amp; International Relations</v>
      </c>
    </row>
    <row r="764" spans="1:18">
      <c r="A764">
        <v>808</v>
      </c>
      <c r="B764" t="s">
        <v>3504</v>
      </c>
      <c r="C764" t="s">
        <v>224</v>
      </c>
      <c r="D764" t="s">
        <v>211</v>
      </c>
      <c r="E764" t="s">
        <v>299</v>
      </c>
      <c r="F764" t="s">
        <v>400</v>
      </c>
      <c r="G764" t="s">
        <v>31</v>
      </c>
      <c r="H764" t="s">
        <v>402</v>
      </c>
      <c r="I764" t="s">
        <v>3505</v>
      </c>
      <c r="J764" t="s">
        <v>3368</v>
      </c>
      <c r="K764" t="s">
        <v>3506</v>
      </c>
      <c r="L764" t="s">
        <v>36</v>
      </c>
      <c r="M764">
        <v>2016</v>
      </c>
      <c r="N764" s="5">
        <f>ROUNDUP(Clean_Data[[#This Row],[Year_Num]]/100,0)</f>
        <v>21</v>
      </c>
      <c r="O764" s="5" t="str" cm="1">
        <f t="array" ref="O764">_xlfn.LET(_xlpm.y,Clean_Data[[#This Row],[Year_Num]],_xlfn.IFS(_xlpm.y&lt;500,"Ancient",_xlpm.y&lt;1500,"Medieval",_xlpm.y&lt;1800,"Early Modern",_xlpm.y&lt;1946,"Modern",TRUE,"Contemporary"))</f>
        <v>Contemporary</v>
      </c>
      <c r="P764" s="5" t="str">
        <f>_xlfn.XLOOKUP(Clean_Data[[#This Row],[Country]],country_region[Country],country_region[Country_Standard],"Not found")</f>
        <v>UK</v>
      </c>
      <c r="Q764" s="5" t="str">
        <f>_xlfn.XLOOKUP(Clean_Data[[#This Row],[Country]],country_region[Country],country_region[Region],"Not found")</f>
        <v>Europe</v>
      </c>
      <c r="R764" s="5" t="str">
        <f>_xlfn.XLOOKUP(Clean_Data[[#This Row],[Type of Event]],event_type_category[Type of Event],event_type_category[Category],"Not found")</f>
        <v>Politics &amp; Law</v>
      </c>
    </row>
    <row r="765" spans="1:18">
      <c r="A765">
        <v>809</v>
      </c>
      <c r="B765" t="s">
        <v>5045</v>
      </c>
      <c r="C765" t="s">
        <v>331</v>
      </c>
      <c r="D765" t="s">
        <v>66</v>
      </c>
      <c r="E765" t="s">
        <v>166</v>
      </c>
      <c r="F765" t="s">
        <v>400</v>
      </c>
      <c r="G765" t="s">
        <v>3443</v>
      </c>
      <c r="H765" t="s">
        <v>400</v>
      </c>
      <c r="I765" t="s">
        <v>5046</v>
      </c>
      <c r="J765" t="s">
        <v>3509</v>
      </c>
      <c r="K765" t="s">
        <v>3369</v>
      </c>
      <c r="L765" t="s">
        <v>21</v>
      </c>
      <c r="M765">
        <v>2020</v>
      </c>
      <c r="N765" s="5">
        <f>ROUNDUP(Clean_Data[[#This Row],[Year_Num]]/100,0)</f>
        <v>21</v>
      </c>
      <c r="O765" s="5" t="str" cm="1">
        <f t="array" ref="O765">_xlfn.LET(_xlpm.y,Clean_Data[[#This Row],[Year_Num]],_xlfn.IFS(_xlpm.y&lt;500,"Ancient",_xlpm.y&lt;1500,"Medieval",_xlpm.y&lt;1800,"Early Modern",_xlpm.y&lt;1946,"Modern",TRUE,"Contemporary"))</f>
        <v>Contemporary</v>
      </c>
      <c r="P765" s="5" t="str">
        <f>_xlfn.XLOOKUP(Clean_Data[[#This Row],[Country]],country_region[Country],country_region[Country_Standard],"Not found")</f>
        <v>UK</v>
      </c>
      <c r="Q765" s="5" t="str">
        <f>_xlfn.XLOOKUP(Clean_Data[[#This Row],[Country]],country_region[Country],country_region[Region],"Not found")</f>
        <v>Europe</v>
      </c>
      <c r="R765" s="5" t="str">
        <f>_xlfn.XLOOKUP(Clean_Data[[#This Row],[Type of Event]],event_type_category[Type of Event],event_type_category[Category],"Not found")</f>
        <v>Society &amp; Health</v>
      </c>
    </row>
    <row r="766" spans="1:18">
      <c r="A766">
        <v>810</v>
      </c>
      <c r="B766" t="s">
        <v>3510</v>
      </c>
      <c r="E766" t="s">
        <v>3511</v>
      </c>
      <c r="F766" t="s">
        <v>400</v>
      </c>
      <c r="G766" t="s">
        <v>3512</v>
      </c>
      <c r="H766" t="s">
        <v>3513</v>
      </c>
      <c r="I766" t="s">
        <v>3514</v>
      </c>
      <c r="J766" t="s">
        <v>3515</v>
      </c>
      <c r="K766" t="s">
        <v>3516</v>
      </c>
      <c r="L766" t="s">
        <v>21</v>
      </c>
      <c r="M766">
        <v>-2500</v>
      </c>
      <c r="N766" s="5">
        <f>ROUNDUP(Clean_Data[[#This Row],[Year_Num]]/100,0)</f>
        <v>-25</v>
      </c>
      <c r="O766" s="5" t="str" cm="1">
        <f t="array" ref="O766">_xlfn.LET(_xlpm.y,Clean_Data[[#This Row],[Year_Num]],_xlfn.IFS(_xlpm.y&lt;500,"Ancient",_xlpm.y&lt;1500,"Medieval",_xlpm.y&lt;1800,"Early Modern",_xlpm.y&lt;1946,"Modern",TRUE,"Contemporary"))</f>
        <v>Ancient</v>
      </c>
      <c r="P766" s="5" t="str">
        <f>_xlfn.XLOOKUP(Clean_Data[[#This Row],[Country]],country_region[Country],country_region[Country_Standard],"Not found")</f>
        <v>UK</v>
      </c>
      <c r="Q766" s="5" t="str">
        <f>_xlfn.XLOOKUP(Clean_Data[[#This Row],[Country]],country_region[Country],country_region[Region],"Not found")</f>
        <v>Europe</v>
      </c>
      <c r="R766" s="5" t="str">
        <f>_xlfn.XLOOKUP(Clean_Data[[#This Row],[Type of Event]],event_type_category[Type of Event],event_type_category[Category],"Not found")</f>
        <v>Culture, Religion &amp; Sport</v>
      </c>
    </row>
    <row r="767" spans="1:18">
      <c r="A767">
        <v>812</v>
      </c>
      <c r="B767" t="s">
        <v>3517</v>
      </c>
      <c r="C767" t="s">
        <v>91</v>
      </c>
      <c r="D767" t="s">
        <v>260</v>
      </c>
      <c r="E767" t="s">
        <v>3518</v>
      </c>
      <c r="F767" t="s">
        <v>400</v>
      </c>
      <c r="G767" t="s">
        <v>31</v>
      </c>
      <c r="H767" t="s">
        <v>3519</v>
      </c>
      <c r="I767" t="s">
        <v>3520</v>
      </c>
      <c r="J767" t="s">
        <v>3521</v>
      </c>
      <c r="K767" t="s">
        <v>3522</v>
      </c>
      <c r="L767" t="s">
        <v>21</v>
      </c>
      <c r="M767">
        <v>1265</v>
      </c>
      <c r="N767" s="5">
        <f>ROUNDUP(Clean_Data[[#This Row],[Year_Num]]/100,0)</f>
        <v>13</v>
      </c>
      <c r="O767" s="5" t="str" cm="1">
        <f t="array" ref="O767">_xlfn.LET(_xlpm.y,Clean_Data[[#This Row],[Year_Num]],_xlfn.IFS(_xlpm.y&lt;500,"Ancient",_xlpm.y&lt;1500,"Medieval",_xlpm.y&lt;1800,"Early Modern",_xlpm.y&lt;1946,"Modern",TRUE,"Contemporary"))</f>
        <v>Medieval</v>
      </c>
      <c r="P767" s="5" t="str">
        <f>_xlfn.XLOOKUP(Clean_Data[[#This Row],[Country]],country_region[Country],country_region[Country_Standard],"Not found")</f>
        <v>UK</v>
      </c>
      <c r="Q767" s="5" t="str">
        <f>_xlfn.XLOOKUP(Clean_Data[[#This Row],[Country]],country_region[Country],country_region[Region],"Not found")</f>
        <v>Europe</v>
      </c>
      <c r="R767" s="5" t="str">
        <f>_xlfn.XLOOKUP(Clean_Data[[#This Row],[Type of Event]],event_type_category[Type of Event],event_type_category[Category],"Not found")</f>
        <v>Politics &amp; Law</v>
      </c>
    </row>
    <row r="768" spans="1:18">
      <c r="A768">
        <v>813</v>
      </c>
      <c r="B768" t="s">
        <v>3523</v>
      </c>
      <c r="C768" t="s">
        <v>200</v>
      </c>
      <c r="D768" t="s">
        <v>158</v>
      </c>
      <c r="E768" t="s">
        <v>3524</v>
      </c>
      <c r="F768" t="s">
        <v>400</v>
      </c>
      <c r="G768" t="s">
        <v>356</v>
      </c>
      <c r="H768" t="s">
        <v>3525</v>
      </c>
      <c r="I768" t="s">
        <v>3526</v>
      </c>
      <c r="J768" t="s">
        <v>3527</v>
      </c>
      <c r="K768" t="s">
        <v>3528</v>
      </c>
      <c r="L768" t="s">
        <v>21</v>
      </c>
      <c r="M768">
        <v>1415</v>
      </c>
      <c r="N768" s="5">
        <f>ROUNDUP(Clean_Data[[#This Row],[Year_Num]]/100,0)</f>
        <v>15</v>
      </c>
      <c r="O768" s="5" t="str" cm="1">
        <f t="array" ref="O768">_xlfn.LET(_xlpm.y,Clean_Data[[#This Row],[Year_Num]],_xlfn.IFS(_xlpm.y&lt;500,"Ancient",_xlpm.y&lt;1500,"Medieval",_xlpm.y&lt;1800,"Early Modern",_xlpm.y&lt;1946,"Modern",TRUE,"Contemporary"))</f>
        <v>Medieval</v>
      </c>
      <c r="P768" s="5" t="str">
        <f>_xlfn.XLOOKUP(Clean_Data[[#This Row],[Country]],country_region[Country],country_region[Country_Standard],"Not found")</f>
        <v>UK</v>
      </c>
      <c r="Q768" s="5" t="str">
        <f>_xlfn.XLOOKUP(Clean_Data[[#This Row],[Country]],country_region[Country],country_region[Region],"Not found")</f>
        <v>Europe</v>
      </c>
      <c r="R768" s="5" t="str">
        <f>_xlfn.XLOOKUP(Clean_Data[[#This Row],[Type of Event]],event_type_category[Type of Event],event_type_category[Category],"Not found")</f>
        <v>War &amp; Conflict</v>
      </c>
    </row>
    <row r="769" spans="1:18">
      <c r="A769">
        <v>814</v>
      </c>
      <c r="B769" t="s">
        <v>3529</v>
      </c>
      <c r="E769" t="s">
        <v>3530</v>
      </c>
      <c r="F769" t="s">
        <v>400</v>
      </c>
      <c r="G769" t="s">
        <v>3443</v>
      </c>
      <c r="H769" t="s">
        <v>433</v>
      </c>
      <c r="I769" t="s">
        <v>3531</v>
      </c>
      <c r="J769" t="s">
        <v>3308</v>
      </c>
      <c r="L769" t="s">
        <v>54</v>
      </c>
      <c r="M769">
        <v>1348</v>
      </c>
      <c r="N769" s="5">
        <f>ROUNDUP(Clean_Data[[#This Row],[Year_Num]]/100,0)</f>
        <v>14</v>
      </c>
      <c r="O769" s="5" t="str" cm="1">
        <f t="array" ref="O769">_xlfn.LET(_xlpm.y,Clean_Data[[#This Row],[Year_Num]],_xlfn.IFS(_xlpm.y&lt;500,"Ancient",_xlpm.y&lt;1500,"Medieval",_xlpm.y&lt;1800,"Early Modern",_xlpm.y&lt;1946,"Modern",TRUE,"Contemporary"))</f>
        <v>Medieval</v>
      </c>
      <c r="P769" s="5" t="str">
        <f>_xlfn.XLOOKUP(Clean_Data[[#This Row],[Country]],country_region[Country],country_region[Country_Standard],"Not found")</f>
        <v>UK</v>
      </c>
      <c r="Q769" s="5" t="str">
        <f>_xlfn.XLOOKUP(Clean_Data[[#This Row],[Country]],country_region[Country],country_region[Region],"Not found")</f>
        <v>Europe</v>
      </c>
      <c r="R769" s="5" t="str">
        <f>_xlfn.XLOOKUP(Clean_Data[[#This Row],[Type of Event]],event_type_category[Type of Event],event_type_category[Category],"Not found")</f>
        <v>Society &amp; Health</v>
      </c>
    </row>
    <row r="770" spans="1:18">
      <c r="A770">
        <v>815</v>
      </c>
      <c r="B770" t="s">
        <v>3532</v>
      </c>
      <c r="E770" t="s">
        <v>3311</v>
      </c>
      <c r="F770" t="s">
        <v>400</v>
      </c>
      <c r="G770" t="s">
        <v>1244</v>
      </c>
      <c r="H770" t="s">
        <v>402</v>
      </c>
      <c r="I770" t="s">
        <v>3533</v>
      </c>
      <c r="J770" t="s">
        <v>3302</v>
      </c>
      <c r="K770" t="s">
        <v>3534</v>
      </c>
      <c r="L770" t="s">
        <v>21</v>
      </c>
      <c r="M770">
        <v>1588</v>
      </c>
      <c r="N770" s="5">
        <f>ROUNDUP(Clean_Data[[#This Row],[Year_Num]]/100,0)</f>
        <v>16</v>
      </c>
      <c r="O770" s="5" t="str" cm="1">
        <f t="array" ref="O770">_xlfn.LET(_xlpm.y,Clean_Data[[#This Row],[Year_Num]],_xlfn.IFS(_xlpm.y&lt;500,"Ancient",_xlpm.y&lt;1500,"Medieval",_xlpm.y&lt;1800,"Early Modern",_xlpm.y&lt;1946,"Modern",TRUE,"Contemporary"))</f>
        <v>Early Modern</v>
      </c>
      <c r="P770" s="5" t="str">
        <f>_xlfn.XLOOKUP(Clean_Data[[#This Row],[Country]],country_region[Country],country_region[Country_Standard],"Not found")</f>
        <v>UK</v>
      </c>
      <c r="Q770" s="5" t="str">
        <f>_xlfn.XLOOKUP(Clean_Data[[#This Row],[Country]],country_region[Country],country_region[Region],"Not found")</f>
        <v>Europe</v>
      </c>
      <c r="R770" s="5" t="str">
        <f>_xlfn.XLOOKUP(Clean_Data[[#This Row],[Type of Event]],event_type_category[Type of Event],event_type_category[Category],"Not found")</f>
        <v>Culture, Religion &amp; Sport</v>
      </c>
    </row>
    <row r="771" spans="1:18">
      <c r="A771">
        <v>816</v>
      </c>
      <c r="B771" t="s">
        <v>3535</v>
      </c>
      <c r="C771" t="s">
        <v>65</v>
      </c>
      <c r="D771" t="s">
        <v>83</v>
      </c>
      <c r="E771" t="s">
        <v>3305</v>
      </c>
      <c r="F771" t="s">
        <v>400</v>
      </c>
      <c r="G771" t="s">
        <v>145</v>
      </c>
      <c r="H771" t="s">
        <v>3353</v>
      </c>
      <c r="I771" t="s">
        <v>3536</v>
      </c>
      <c r="J771" t="s">
        <v>3537</v>
      </c>
      <c r="K771" t="s">
        <v>3538</v>
      </c>
      <c r="L771" t="s">
        <v>21</v>
      </c>
      <c r="M771">
        <v>1534</v>
      </c>
      <c r="N771" s="5">
        <f>ROUNDUP(Clean_Data[[#This Row],[Year_Num]]/100,0)</f>
        <v>16</v>
      </c>
      <c r="O771" s="5" t="str" cm="1">
        <f t="array" ref="O771">_xlfn.LET(_xlpm.y,Clean_Data[[#This Row],[Year_Num]],_xlfn.IFS(_xlpm.y&lt;500,"Ancient",_xlpm.y&lt;1500,"Medieval",_xlpm.y&lt;1800,"Early Modern",_xlpm.y&lt;1946,"Modern",TRUE,"Contemporary"))</f>
        <v>Early Modern</v>
      </c>
      <c r="P771" s="5" t="str">
        <f>_xlfn.XLOOKUP(Clean_Data[[#This Row],[Country]],country_region[Country],country_region[Country_Standard],"Not found")</f>
        <v>UK</v>
      </c>
      <c r="Q771" s="5" t="str">
        <f>_xlfn.XLOOKUP(Clean_Data[[#This Row],[Country]],country_region[Country],country_region[Region],"Not found")</f>
        <v>Europe</v>
      </c>
      <c r="R771" s="5" t="str">
        <f>_xlfn.XLOOKUP(Clean_Data[[#This Row],[Type of Event]],event_type_category[Type of Event],event_type_category[Category],"Not found")</f>
        <v>Politics &amp; Law</v>
      </c>
    </row>
    <row r="772" spans="1:18">
      <c r="A772">
        <v>817</v>
      </c>
      <c r="B772" t="s">
        <v>3539</v>
      </c>
      <c r="C772" t="s">
        <v>246</v>
      </c>
      <c r="D772" t="s">
        <v>260</v>
      </c>
      <c r="E772" t="s">
        <v>591</v>
      </c>
      <c r="F772" t="s">
        <v>400</v>
      </c>
      <c r="G772" t="s">
        <v>1788</v>
      </c>
      <c r="H772" t="s">
        <v>3540</v>
      </c>
      <c r="I772" t="s">
        <v>3541</v>
      </c>
      <c r="J772" t="s">
        <v>3542</v>
      </c>
      <c r="K772" t="s">
        <v>3126</v>
      </c>
      <c r="L772" t="s">
        <v>54</v>
      </c>
      <c r="M772">
        <v>1972</v>
      </c>
      <c r="N772" s="5">
        <f>ROUNDUP(Clean_Data[[#This Row],[Year_Num]]/100,0)</f>
        <v>20</v>
      </c>
      <c r="O772" s="5" t="str" cm="1">
        <f t="array" ref="O772">_xlfn.LET(_xlpm.y,Clean_Data[[#This Row],[Year_Num]],_xlfn.IFS(_xlpm.y&lt;500,"Ancient",_xlpm.y&lt;1500,"Medieval",_xlpm.y&lt;1800,"Early Modern",_xlpm.y&lt;1946,"Modern",TRUE,"Contemporary"))</f>
        <v>Contemporary</v>
      </c>
      <c r="P772" s="5" t="str">
        <f>_xlfn.XLOOKUP(Clean_Data[[#This Row],[Country]],country_region[Country],country_region[Country_Standard],"Not found")</f>
        <v>UK</v>
      </c>
      <c r="Q772" s="5" t="str">
        <f>_xlfn.XLOOKUP(Clean_Data[[#This Row],[Country]],country_region[Country],country_region[Region],"Not found")</f>
        <v>Europe</v>
      </c>
      <c r="R772" s="5" t="str">
        <f>_xlfn.XLOOKUP(Clean_Data[[#This Row],[Type of Event]],event_type_category[Type of Event],event_type_category[Category],"Not found")</f>
        <v>Society &amp; Health</v>
      </c>
    </row>
    <row r="773" spans="1:18">
      <c r="A773">
        <v>818</v>
      </c>
      <c r="B773" t="s">
        <v>3543</v>
      </c>
      <c r="D773" t="s">
        <v>260</v>
      </c>
      <c r="E773" t="s">
        <v>2320</v>
      </c>
      <c r="F773" t="s">
        <v>400</v>
      </c>
      <c r="G773" t="s">
        <v>3544</v>
      </c>
      <c r="H773" t="s">
        <v>400</v>
      </c>
      <c r="I773" t="s">
        <v>3545</v>
      </c>
      <c r="J773" t="s">
        <v>3368</v>
      </c>
      <c r="K773" t="s">
        <v>3546</v>
      </c>
      <c r="L773" t="s">
        <v>54</v>
      </c>
      <c r="M773">
        <v>1963</v>
      </c>
      <c r="N773" s="5">
        <f>ROUNDUP(Clean_Data[[#This Row],[Year_Num]]/100,0)</f>
        <v>20</v>
      </c>
      <c r="O773" s="5" t="str" cm="1">
        <f t="array" ref="O773">_xlfn.LET(_xlpm.y,Clean_Data[[#This Row],[Year_Num]],_xlfn.IFS(_xlpm.y&lt;500,"Ancient",_xlpm.y&lt;1500,"Medieval",_xlpm.y&lt;1800,"Early Modern",_xlpm.y&lt;1946,"Modern",TRUE,"Contemporary"))</f>
        <v>Contemporary</v>
      </c>
      <c r="P773" s="5" t="str">
        <f>_xlfn.XLOOKUP(Clean_Data[[#This Row],[Country]],country_region[Country],country_region[Country_Standard],"Not found")</f>
        <v>UK</v>
      </c>
      <c r="Q773" s="5" t="str">
        <f>_xlfn.XLOOKUP(Clean_Data[[#This Row],[Country]],country_region[Country],country_region[Region],"Not found")</f>
        <v>Europe</v>
      </c>
      <c r="R773" s="5" t="str">
        <f>_xlfn.XLOOKUP(Clean_Data[[#This Row],[Type of Event]],event_type_category[Type of Event],event_type_category[Category],"Not found")</f>
        <v>Disasters &amp; Accidents</v>
      </c>
    </row>
    <row r="774" spans="1:18">
      <c r="A774">
        <v>819</v>
      </c>
      <c r="B774" t="s">
        <v>3547</v>
      </c>
      <c r="E774" t="s">
        <v>698</v>
      </c>
      <c r="F774" t="s">
        <v>400</v>
      </c>
      <c r="G774" t="s">
        <v>3429</v>
      </c>
      <c r="H774" t="s">
        <v>433</v>
      </c>
      <c r="I774" t="s">
        <v>3548</v>
      </c>
      <c r="J774" t="s">
        <v>3549</v>
      </c>
      <c r="K774" t="s">
        <v>3550</v>
      </c>
      <c r="L774" t="s">
        <v>21</v>
      </c>
      <c r="M774">
        <v>1987</v>
      </c>
      <c r="N774" s="5">
        <f>ROUNDUP(Clean_Data[[#This Row],[Year_Num]]/100,0)</f>
        <v>20</v>
      </c>
      <c r="O774" s="5" t="str" cm="1">
        <f t="array" ref="O774">_xlfn.LET(_xlpm.y,Clean_Data[[#This Row],[Year_Num]],_xlfn.IFS(_xlpm.y&lt;500,"Ancient",_xlpm.y&lt;1500,"Medieval",_xlpm.y&lt;1800,"Early Modern",_xlpm.y&lt;1946,"Modern",TRUE,"Contemporary"))</f>
        <v>Contemporary</v>
      </c>
      <c r="P774" s="5" t="str">
        <f>_xlfn.XLOOKUP(Clean_Data[[#This Row],[Country]],country_region[Country],country_region[Country_Standard],"Not found")</f>
        <v>UK</v>
      </c>
      <c r="Q774" s="5" t="str">
        <f>_xlfn.XLOOKUP(Clean_Data[[#This Row],[Country]],country_region[Country],country_region[Region],"Not found")</f>
        <v>Europe</v>
      </c>
      <c r="R774" s="5" t="str">
        <f>_xlfn.XLOOKUP(Clean_Data[[#This Row],[Type of Event]],event_type_category[Type of Event],event_type_category[Category],"Not found")</f>
        <v>Culture, Religion &amp; Sport</v>
      </c>
    </row>
    <row r="775" spans="1:18">
      <c r="A775">
        <v>821</v>
      </c>
      <c r="B775" t="s">
        <v>3551</v>
      </c>
      <c r="C775" t="s">
        <v>107</v>
      </c>
      <c r="D775" t="s">
        <v>158</v>
      </c>
      <c r="E775" t="s">
        <v>3552</v>
      </c>
      <c r="F775" t="s">
        <v>3467</v>
      </c>
      <c r="G775" t="s">
        <v>24</v>
      </c>
      <c r="H775" t="s">
        <v>3553</v>
      </c>
      <c r="I775" t="s">
        <v>3554</v>
      </c>
      <c r="J775" t="s">
        <v>3555</v>
      </c>
      <c r="K775" t="s">
        <v>3556</v>
      </c>
      <c r="L775" t="s">
        <v>21</v>
      </c>
      <c r="M775">
        <v>732</v>
      </c>
      <c r="N775" s="5">
        <f>ROUNDUP(Clean_Data[[#This Row],[Year_Num]]/100,0)</f>
        <v>8</v>
      </c>
      <c r="O775" s="5" t="str" cm="1">
        <f t="array" ref="O775">_xlfn.LET(_xlpm.y,Clean_Data[[#This Row],[Year_Num]],_xlfn.IFS(_xlpm.y&lt;500,"Ancient",_xlpm.y&lt;1500,"Medieval",_xlpm.y&lt;1800,"Early Modern",_xlpm.y&lt;1946,"Modern",TRUE,"Contemporary"))</f>
        <v>Medieval</v>
      </c>
      <c r="P775" s="5" t="str">
        <f>_xlfn.XLOOKUP(Clean_Data[[#This Row],[Country]],country_region[Country],country_region[Country_Standard],"Not found")</f>
        <v>France</v>
      </c>
      <c r="Q775" s="5" t="str">
        <f>_xlfn.XLOOKUP(Clean_Data[[#This Row],[Country]],country_region[Country],country_region[Region],"Not found")</f>
        <v>Europe</v>
      </c>
      <c r="R775" s="5" t="str">
        <f>_xlfn.XLOOKUP(Clean_Data[[#This Row],[Type of Event]],event_type_category[Type of Event],event_type_category[Category],"Not found")</f>
        <v>War &amp; Conflict</v>
      </c>
    </row>
    <row r="776" spans="1:18">
      <c r="A776">
        <v>822</v>
      </c>
      <c r="B776" t="s">
        <v>3557</v>
      </c>
      <c r="E776" t="s">
        <v>3558</v>
      </c>
      <c r="F776" t="s">
        <v>3467</v>
      </c>
      <c r="G776" t="s">
        <v>3559</v>
      </c>
      <c r="H776" t="s">
        <v>3560</v>
      </c>
      <c r="I776" t="s">
        <v>3561</v>
      </c>
      <c r="J776" t="s">
        <v>3562</v>
      </c>
      <c r="K776" t="s">
        <v>3563</v>
      </c>
      <c r="L776" t="s">
        <v>21</v>
      </c>
      <c r="M776">
        <v>843</v>
      </c>
      <c r="N776" s="5">
        <f>ROUNDUP(Clean_Data[[#This Row],[Year_Num]]/100,0)</f>
        <v>9</v>
      </c>
      <c r="O776" s="5" t="str" cm="1">
        <f t="array" ref="O776">_xlfn.LET(_xlpm.y,Clean_Data[[#This Row],[Year_Num]],_xlfn.IFS(_xlpm.y&lt;500,"Ancient",_xlpm.y&lt;1500,"Medieval",_xlpm.y&lt;1800,"Early Modern",_xlpm.y&lt;1946,"Modern",TRUE,"Contemporary"))</f>
        <v>Medieval</v>
      </c>
      <c r="P776" s="5" t="str">
        <f>_xlfn.XLOOKUP(Clean_Data[[#This Row],[Country]],country_region[Country],country_region[Country_Standard],"Not found")</f>
        <v>France</v>
      </c>
      <c r="Q776" s="5" t="str">
        <f>_xlfn.XLOOKUP(Clean_Data[[#This Row],[Country]],country_region[Country],country_region[Region],"Not found")</f>
        <v>Europe</v>
      </c>
      <c r="R776" s="5" t="str">
        <f>_xlfn.XLOOKUP(Clean_Data[[#This Row],[Type of Event]],event_type_category[Type of Event],event_type_category[Category],"Not found")</f>
        <v>Diplomacy &amp; International Relations</v>
      </c>
    </row>
    <row r="777" spans="1:18">
      <c r="A777">
        <v>823</v>
      </c>
      <c r="B777" t="s">
        <v>3564</v>
      </c>
      <c r="C777" t="s">
        <v>200</v>
      </c>
      <c r="D777" t="s">
        <v>66</v>
      </c>
      <c r="E777" t="s">
        <v>3565</v>
      </c>
      <c r="F777" t="s">
        <v>3467</v>
      </c>
      <c r="G777" t="s">
        <v>3566</v>
      </c>
      <c r="H777" t="s">
        <v>3567</v>
      </c>
      <c r="I777" t="s">
        <v>3568</v>
      </c>
      <c r="J777" t="s">
        <v>3555</v>
      </c>
      <c r="K777" t="s">
        <v>3569</v>
      </c>
      <c r="L777" t="s">
        <v>21</v>
      </c>
      <c r="M777">
        <v>800</v>
      </c>
      <c r="N777" s="5">
        <f>ROUNDUP(Clean_Data[[#This Row],[Year_Num]]/100,0)</f>
        <v>8</v>
      </c>
      <c r="O777" s="5" t="str" cm="1">
        <f t="array" ref="O777">_xlfn.LET(_xlpm.y,Clean_Data[[#This Row],[Year_Num]],_xlfn.IFS(_xlpm.y&lt;500,"Ancient",_xlpm.y&lt;1500,"Medieval",_xlpm.y&lt;1800,"Early Modern",_xlpm.y&lt;1946,"Modern",TRUE,"Contemporary"))</f>
        <v>Medieval</v>
      </c>
      <c r="P777" s="5" t="str">
        <f>_xlfn.XLOOKUP(Clean_Data[[#This Row],[Country]],country_region[Country],country_region[Country_Standard],"Not found")</f>
        <v>France</v>
      </c>
      <c r="Q777" s="5" t="str">
        <f>_xlfn.XLOOKUP(Clean_Data[[#This Row],[Country]],country_region[Country],country_region[Region],"Not found")</f>
        <v>Europe</v>
      </c>
      <c r="R777" s="5" t="str">
        <f>_xlfn.XLOOKUP(Clean_Data[[#This Row],[Type of Event]],event_type_category[Type of Event],event_type_category[Category],"Not found")</f>
        <v>Independence &amp; Nation-Building</v>
      </c>
    </row>
    <row r="778" spans="1:18">
      <c r="A778">
        <v>824</v>
      </c>
      <c r="B778" t="s">
        <v>3570</v>
      </c>
      <c r="C778" t="s">
        <v>522</v>
      </c>
      <c r="D778" t="s">
        <v>83</v>
      </c>
      <c r="E778" t="s">
        <v>3571</v>
      </c>
      <c r="F778" t="s">
        <v>3467</v>
      </c>
      <c r="G778" t="s">
        <v>3572</v>
      </c>
      <c r="H778" t="s">
        <v>3573</v>
      </c>
      <c r="I778" t="s">
        <v>3574</v>
      </c>
      <c r="J778" t="s">
        <v>3555</v>
      </c>
      <c r="K778" t="s">
        <v>3575</v>
      </c>
      <c r="L778" t="s">
        <v>21</v>
      </c>
      <c r="M778">
        <v>1095</v>
      </c>
      <c r="N778" s="5">
        <f>ROUNDUP(Clean_Data[[#This Row],[Year_Num]]/100,0)</f>
        <v>11</v>
      </c>
      <c r="O778" s="5" t="str" cm="1">
        <f t="array" ref="O778">_xlfn.LET(_xlpm.y,Clean_Data[[#This Row],[Year_Num]],_xlfn.IFS(_xlpm.y&lt;500,"Ancient",_xlpm.y&lt;1500,"Medieval",_xlpm.y&lt;1800,"Early Modern",_xlpm.y&lt;1946,"Modern",TRUE,"Contemporary"))</f>
        <v>Medieval</v>
      </c>
      <c r="P778" s="5" t="str">
        <f>_xlfn.XLOOKUP(Clean_Data[[#This Row],[Country]],country_region[Country],country_region[Country_Standard],"Not found")</f>
        <v>France</v>
      </c>
      <c r="Q778" s="5" t="str">
        <f>_xlfn.XLOOKUP(Clean_Data[[#This Row],[Country]],country_region[Country],country_region[Region],"Not found")</f>
        <v>Europe</v>
      </c>
      <c r="R778" s="5" t="str">
        <f>_xlfn.XLOOKUP(Clean_Data[[#This Row],[Type of Event]],event_type_category[Type of Event],event_type_category[Category],"Not found")</f>
        <v>War &amp; Conflict</v>
      </c>
    </row>
    <row r="779" spans="1:18">
      <c r="A779">
        <v>825</v>
      </c>
      <c r="B779" t="s">
        <v>3576</v>
      </c>
      <c r="E779" t="s">
        <v>3577</v>
      </c>
      <c r="F779" t="s">
        <v>3467</v>
      </c>
      <c r="G779" t="s">
        <v>261</v>
      </c>
      <c r="H779" t="s">
        <v>1999</v>
      </c>
      <c r="I779" t="s">
        <v>3578</v>
      </c>
      <c r="J779" t="s">
        <v>3579</v>
      </c>
      <c r="K779" t="s">
        <v>3580</v>
      </c>
      <c r="L779" t="s">
        <v>21</v>
      </c>
      <c r="M779">
        <v>1150</v>
      </c>
      <c r="N779" s="5">
        <f>ROUNDUP(Clean_Data[[#This Row],[Year_Num]]/100,0)</f>
        <v>12</v>
      </c>
      <c r="O779" s="5" t="str" cm="1">
        <f t="array" ref="O779">_xlfn.LET(_xlpm.y,Clean_Data[[#This Row],[Year_Num]],_xlfn.IFS(_xlpm.y&lt;500,"Ancient",_xlpm.y&lt;1500,"Medieval",_xlpm.y&lt;1800,"Early Modern",_xlpm.y&lt;1946,"Modern",TRUE,"Contemporary"))</f>
        <v>Medieval</v>
      </c>
      <c r="P779" s="5" t="str">
        <f>_xlfn.XLOOKUP(Clean_Data[[#This Row],[Country]],country_region[Country],country_region[Country_Standard],"Not found")</f>
        <v>France</v>
      </c>
      <c r="Q779" s="5" t="str">
        <f>_xlfn.XLOOKUP(Clean_Data[[#This Row],[Country]],country_region[Country],country_region[Region],"Not found")</f>
        <v>Europe</v>
      </c>
      <c r="R779" s="5" t="str">
        <f>_xlfn.XLOOKUP(Clean_Data[[#This Row],[Type of Event]],event_type_category[Type of Event],event_type_category[Category],"Not found")</f>
        <v>Society &amp; Health</v>
      </c>
    </row>
    <row r="780" spans="1:18">
      <c r="A780">
        <v>826</v>
      </c>
      <c r="B780" t="s">
        <v>3465</v>
      </c>
      <c r="E780" t="s">
        <v>3466</v>
      </c>
      <c r="F780" t="s">
        <v>3467</v>
      </c>
      <c r="G780" t="s">
        <v>68</v>
      </c>
      <c r="H780" t="s">
        <v>433</v>
      </c>
      <c r="I780" t="s">
        <v>3468</v>
      </c>
      <c r="J780" t="s">
        <v>3469</v>
      </c>
      <c r="K780" t="s">
        <v>3470</v>
      </c>
      <c r="L780" t="s">
        <v>54</v>
      </c>
      <c r="M780">
        <v>1337</v>
      </c>
      <c r="N780" s="5">
        <f>ROUNDUP(Clean_Data[[#This Row],[Year_Num]]/100,0)</f>
        <v>14</v>
      </c>
      <c r="O780" s="5" t="str" cm="1">
        <f t="array" ref="O780">_xlfn.LET(_xlpm.y,Clean_Data[[#This Row],[Year_Num]],_xlfn.IFS(_xlpm.y&lt;500,"Ancient",_xlpm.y&lt;1500,"Medieval",_xlpm.y&lt;1800,"Early Modern",_xlpm.y&lt;1946,"Modern",TRUE,"Contemporary"))</f>
        <v>Medieval</v>
      </c>
      <c r="P780" s="5" t="str">
        <f>_xlfn.XLOOKUP(Clean_Data[[#This Row],[Country]],country_region[Country],country_region[Country_Standard],"Not found")</f>
        <v>France</v>
      </c>
      <c r="Q780" s="5" t="str">
        <f>_xlfn.XLOOKUP(Clean_Data[[#This Row],[Country]],country_region[Country],country_region[Region],"Not found")</f>
        <v>Europe</v>
      </c>
      <c r="R780" s="5" t="str">
        <f>_xlfn.XLOOKUP(Clean_Data[[#This Row],[Type of Event]],event_type_category[Type of Event],event_type_category[Category],"Not found")</f>
        <v>War &amp; Conflict</v>
      </c>
    </row>
    <row r="781" spans="1:18">
      <c r="A781">
        <v>827</v>
      </c>
      <c r="B781" t="s">
        <v>3581</v>
      </c>
      <c r="C781" t="s">
        <v>298</v>
      </c>
      <c r="D781" t="s">
        <v>47</v>
      </c>
      <c r="E781" t="s">
        <v>3582</v>
      </c>
      <c r="F781" t="s">
        <v>3467</v>
      </c>
      <c r="G781" t="s">
        <v>356</v>
      </c>
      <c r="H781" t="s">
        <v>3583</v>
      </c>
      <c r="I781" t="s">
        <v>3584</v>
      </c>
      <c r="J781" t="s">
        <v>3585</v>
      </c>
      <c r="K781" t="s">
        <v>3586</v>
      </c>
      <c r="L781" t="s">
        <v>21</v>
      </c>
      <c r="M781">
        <v>1429</v>
      </c>
      <c r="N781" s="5">
        <f>ROUNDUP(Clean_Data[[#This Row],[Year_Num]]/100,0)</f>
        <v>15</v>
      </c>
      <c r="O781" s="5" t="str" cm="1">
        <f t="array" ref="O781">_xlfn.LET(_xlpm.y,Clean_Data[[#This Row],[Year_Num]],_xlfn.IFS(_xlpm.y&lt;500,"Ancient",_xlpm.y&lt;1500,"Medieval",_xlpm.y&lt;1800,"Early Modern",_xlpm.y&lt;1946,"Modern",TRUE,"Contemporary"))</f>
        <v>Medieval</v>
      </c>
      <c r="P781" s="5" t="str">
        <f>_xlfn.XLOOKUP(Clean_Data[[#This Row],[Country]],country_region[Country],country_region[Country_Standard],"Not found")</f>
        <v>France</v>
      </c>
      <c r="Q781" s="5" t="str">
        <f>_xlfn.XLOOKUP(Clean_Data[[#This Row],[Country]],country_region[Country],country_region[Region],"Not found")</f>
        <v>Europe</v>
      </c>
      <c r="R781" s="5" t="str">
        <f>_xlfn.XLOOKUP(Clean_Data[[#This Row],[Type of Event]],event_type_category[Type of Event],event_type_category[Category],"Not found")</f>
        <v>War &amp; Conflict</v>
      </c>
    </row>
    <row r="782" spans="1:18">
      <c r="A782">
        <v>828</v>
      </c>
      <c r="B782" t="s">
        <v>3587</v>
      </c>
      <c r="C782" t="s">
        <v>580</v>
      </c>
      <c r="D782" t="s">
        <v>158</v>
      </c>
      <c r="E782" t="s">
        <v>3588</v>
      </c>
      <c r="F782" t="s">
        <v>3467</v>
      </c>
      <c r="G782" t="s">
        <v>68</v>
      </c>
      <c r="H782" t="s">
        <v>433</v>
      </c>
      <c r="I782" t="s">
        <v>3589</v>
      </c>
      <c r="J782" t="s">
        <v>3585</v>
      </c>
      <c r="K782" t="s">
        <v>3590</v>
      </c>
      <c r="L782" t="s">
        <v>21</v>
      </c>
      <c r="M782">
        <v>1453</v>
      </c>
      <c r="N782" s="5">
        <f>ROUNDUP(Clean_Data[[#This Row],[Year_Num]]/100,0)</f>
        <v>15</v>
      </c>
      <c r="O782" s="5" t="str" cm="1">
        <f t="array" ref="O782">_xlfn.LET(_xlpm.y,Clean_Data[[#This Row],[Year_Num]],_xlfn.IFS(_xlpm.y&lt;500,"Ancient",_xlpm.y&lt;1500,"Medieval",_xlpm.y&lt;1800,"Early Modern",_xlpm.y&lt;1946,"Modern",TRUE,"Contemporary"))</f>
        <v>Medieval</v>
      </c>
      <c r="P782" s="5" t="str">
        <f>_xlfn.XLOOKUP(Clean_Data[[#This Row],[Country]],country_region[Country],country_region[Country_Standard],"Not found")</f>
        <v>France</v>
      </c>
      <c r="Q782" s="5" t="str">
        <f>_xlfn.XLOOKUP(Clean_Data[[#This Row],[Country]],country_region[Country],country_region[Region],"Not found")</f>
        <v>Europe</v>
      </c>
      <c r="R782" s="5" t="str">
        <f>_xlfn.XLOOKUP(Clean_Data[[#This Row],[Type of Event]],event_type_category[Type of Event],event_type_category[Category],"Not found")</f>
        <v>War &amp; Conflict</v>
      </c>
    </row>
    <row r="783" spans="1:18">
      <c r="A783">
        <v>829</v>
      </c>
      <c r="B783" t="s">
        <v>3591</v>
      </c>
      <c r="E783" t="s">
        <v>3592</v>
      </c>
      <c r="F783" t="s">
        <v>3467</v>
      </c>
      <c r="G783" t="s">
        <v>1244</v>
      </c>
      <c r="H783" t="s">
        <v>433</v>
      </c>
      <c r="I783" t="s">
        <v>3593</v>
      </c>
      <c r="J783" t="s">
        <v>3594</v>
      </c>
      <c r="K783" t="s">
        <v>3595</v>
      </c>
      <c r="L783" t="s">
        <v>21</v>
      </c>
      <c r="M783">
        <v>1495</v>
      </c>
      <c r="N783" s="5">
        <f>ROUNDUP(Clean_Data[[#This Row],[Year_Num]]/100,0)</f>
        <v>15</v>
      </c>
      <c r="O783" s="5" t="str" cm="1">
        <f t="array" ref="O783">_xlfn.LET(_xlpm.y,Clean_Data[[#This Row],[Year_Num]],_xlfn.IFS(_xlpm.y&lt;500,"Ancient",_xlpm.y&lt;1500,"Medieval",_xlpm.y&lt;1800,"Early Modern",_xlpm.y&lt;1946,"Modern",TRUE,"Contemporary"))</f>
        <v>Medieval</v>
      </c>
      <c r="P783" s="5" t="str">
        <f>_xlfn.XLOOKUP(Clean_Data[[#This Row],[Country]],country_region[Country],country_region[Country_Standard],"Not found")</f>
        <v>France</v>
      </c>
      <c r="Q783" s="5" t="str">
        <f>_xlfn.XLOOKUP(Clean_Data[[#This Row],[Country]],country_region[Country],country_region[Region],"Not found")</f>
        <v>Europe</v>
      </c>
      <c r="R783" s="5" t="str">
        <f>_xlfn.XLOOKUP(Clean_Data[[#This Row],[Type of Event]],event_type_category[Type of Event],event_type_category[Category],"Not found")</f>
        <v>Culture, Religion &amp; Sport</v>
      </c>
    </row>
    <row r="784" spans="1:18">
      <c r="A784">
        <v>830</v>
      </c>
      <c r="B784" t="s">
        <v>3596</v>
      </c>
      <c r="C784" t="s">
        <v>224</v>
      </c>
      <c r="D784" t="s">
        <v>39</v>
      </c>
      <c r="E784" t="s">
        <v>1048</v>
      </c>
      <c r="F784" t="s">
        <v>3467</v>
      </c>
      <c r="G784" t="s">
        <v>3559</v>
      </c>
      <c r="H784" t="s">
        <v>3597</v>
      </c>
      <c r="I784" t="s">
        <v>3598</v>
      </c>
      <c r="J784" t="s">
        <v>3599</v>
      </c>
      <c r="K784" t="s">
        <v>3600</v>
      </c>
      <c r="L784" t="s">
        <v>21</v>
      </c>
      <c r="M784">
        <v>1598</v>
      </c>
      <c r="N784" s="5">
        <f>ROUNDUP(Clean_Data[[#This Row],[Year_Num]]/100,0)</f>
        <v>16</v>
      </c>
      <c r="O784" s="5" t="str" cm="1">
        <f t="array" ref="O784">_xlfn.LET(_xlpm.y,Clean_Data[[#This Row],[Year_Num]],_xlfn.IFS(_xlpm.y&lt;500,"Ancient",_xlpm.y&lt;1500,"Medieval",_xlpm.y&lt;1800,"Early Modern",_xlpm.y&lt;1946,"Modern",TRUE,"Contemporary"))</f>
        <v>Early Modern</v>
      </c>
      <c r="P784" s="5" t="str">
        <f>_xlfn.XLOOKUP(Clean_Data[[#This Row],[Country]],country_region[Country],country_region[Country_Standard],"Not found")</f>
        <v>France</v>
      </c>
      <c r="Q784" s="5" t="str">
        <f>_xlfn.XLOOKUP(Clean_Data[[#This Row],[Country]],country_region[Country],country_region[Region],"Not found")</f>
        <v>Europe</v>
      </c>
      <c r="R784" s="5" t="str">
        <f>_xlfn.XLOOKUP(Clean_Data[[#This Row],[Type of Event]],event_type_category[Type of Event],event_type_category[Category],"Not found")</f>
        <v>Diplomacy &amp; International Relations</v>
      </c>
    </row>
    <row r="785" spans="1:18">
      <c r="A785">
        <v>831</v>
      </c>
      <c r="B785" t="s">
        <v>3601</v>
      </c>
      <c r="C785" t="s">
        <v>335</v>
      </c>
      <c r="D785" t="s">
        <v>211</v>
      </c>
      <c r="E785" t="s">
        <v>3602</v>
      </c>
      <c r="F785" t="s">
        <v>3467</v>
      </c>
      <c r="G785" t="s">
        <v>2646</v>
      </c>
      <c r="H785" t="s">
        <v>1999</v>
      </c>
      <c r="I785" t="s">
        <v>3603</v>
      </c>
      <c r="J785" t="s">
        <v>3585</v>
      </c>
      <c r="K785" t="s">
        <v>2412</v>
      </c>
      <c r="L785" t="s">
        <v>21</v>
      </c>
      <c r="M785">
        <v>1789</v>
      </c>
      <c r="N785" s="5">
        <f>ROUNDUP(Clean_Data[[#This Row],[Year_Num]]/100,0)</f>
        <v>18</v>
      </c>
      <c r="O785" s="5" t="str" cm="1">
        <f t="array" ref="O785">_xlfn.LET(_xlpm.y,Clean_Data[[#This Row],[Year_Num]],_xlfn.IFS(_xlpm.y&lt;500,"Ancient",_xlpm.y&lt;1500,"Medieval",_xlpm.y&lt;1800,"Early Modern",_xlpm.y&lt;1946,"Modern",TRUE,"Contemporary"))</f>
        <v>Early Modern</v>
      </c>
      <c r="P785" s="5" t="str">
        <f>_xlfn.XLOOKUP(Clean_Data[[#This Row],[Country]],country_region[Country],country_region[Country_Standard],"Not found")</f>
        <v>France</v>
      </c>
      <c r="Q785" s="5" t="str">
        <f>_xlfn.XLOOKUP(Clean_Data[[#This Row],[Country]],country_region[Country],country_region[Region],"Not found")</f>
        <v>Europe</v>
      </c>
      <c r="R785" s="5" t="str">
        <f>_xlfn.XLOOKUP(Clean_Data[[#This Row],[Type of Event]],event_type_category[Type of Event],event_type_category[Category],"Not found")</f>
        <v>Politics &amp; Law</v>
      </c>
    </row>
    <row r="786" spans="1:18">
      <c r="A786">
        <v>832</v>
      </c>
      <c r="B786" t="s">
        <v>3604</v>
      </c>
      <c r="C786" t="s">
        <v>38</v>
      </c>
      <c r="D786" t="s">
        <v>260</v>
      </c>
      <c r="E786" t="s">
        <v>3605</v>
      </c>
      <c r="F786" t="s">
        <v>3467</v>
      </c>
      <c r="G786" t="s">
        <v>3606</v>
      </c>
      <c r="H786" t="s">
        <v>1999</v>
      </c>
      <c r="I786" t="s">
        <v>3607</v>
      </c>
      <c r="J786" t="s">
        <v>3585</v>
      </c>
      <c r="K786" t="s">
        <v>3608</v>
      </c>
      <c r="L786" t="s">
        <v>54</v>
      </c>
      <c r="M786">
        <v>1793</v>
      </c>
      <c r="N786" s="5">
        <f>ROUNDUP(Clean_Data[[#This Row],[Year_Num]]/100,0)</f>
        <v>18</v>
      </c>
      <c r="O786" s="5" t="str" cm="1">
        <f t="array" ref="O786">_xlfn.LET(_xlpm.y,Clean_Data[[#This Row],[Year_Num]],_xlfn.IFS(_xlpm.y&lt;500,"Ancient",_xlpm.y&lt;1500,"Medieval",_xlpm.y&lt;1800,"Early Modern",_xlpm.y&lt;1946,"Modern",TRUE,"Contemporary"))</f>
        <v>Early Modern</v>
      </c>
      <c r="P786" s="5" t="str">
        <f>_xlfn.XLOOKUP(Clean_Data[[#This Row],[Country]],country_region[Country],country_region[Country_Standard],"Not found")</f>
        <v>France</v>
      </c>
      <c r="Q786" s="5" t="str">
        <f>_xlfn.XLOOKUP(Clean_Data[[#This Row],[Country]],country_region[Country],country_region[Region],"Not found")</f>
        <v>Europe</v>
      </c>
      <c r="R786" s="5" t="str">
        <f>_xlfn.XLOOKUP(Clean_Data[[#This Row],[Type of Event]],event_type_category[Type of Event],event_type_category[Category],"Not found")</f>
        <v>Politics &amp; Law</v>
      </c>
    </row>
    <row r="787" spans="1:18">
      <c r="A787">
        <v>833</v>
      </c>
      <c r="B787" t="s">
        <v>3609</v>
      </c>
      <c r="C787" t="s">
        <v>240</v>
      </c>
      <c r="D787" t="s">
        <v>83</v>
      </c>
      <c r="E787" t="s">
        <v>3610</v>
      </c>
      <c r="F787" t="s">
        <v>3467</v>
      </c>
      <c r="G787" t="s">
        <v>2642</v>
      </c>
      <c r="H787" t="s">
        <v>1999</v>
      </c>
      <c r="I787" t="s">
        <v>3611</v>
      </c>
      <c r="J787" t="s">
        <v>3585</v>
      </c>
      <c r="K787" t="s">
        <v>3612</v>
      </c>
      <c r="L787" t="s">
        <v>21</v>
      </c>
      <c r="M787">
        <v>1799</v>
      </c>
      <c r="N787" s="5">
        <f>ROUNDUP(Clean_Data[[#This Row],[Year_Num]]/100,0)</f>
        <v>18</v>
      </c>
      <c r="O787" s="5" t="str" cm="1">
        <f t="array" ref="O787">_xlfn.LET(_xlpm.y,Clean_Data[[#This Row],[Year_Num]],_xlfn.IFS(_xlpm.y&lt;500,"Ancient",_xlpm.y&lt;1500,"Medieval",_xlpm.y&lt;1800,"Early Modern",_xlpm.y&lt;1946,"Modern",TRUE,"Contemporary"))</f>
        <v>Early Modern</v>
      </c>
      <c r="P787" s="5" t="str">
        <f>_xlfn.XLOOKUP(Clean_Data[[#This Row],[Country]],country_region[Country],country_region[Country_Standard],"Not found")</f>
        <v>France</v>
      </c>
      <c r="Q787" s="5" t="str">
        <f>_xlfn.XLOOKUP(Clean_Data[[#This Row],[Country]],country_region[Country],country_region[Region],"Not found")</f>
        <v>Europe</v>
      </c>
      <c r="R787" s="5" t="str">
        <f>_xlfn.XLOOKUP(Clean_Data[[#This Row],[Type of Event]],event_type_category[Type of Event],event_type_category[Category],"Not found")</f>
        <v>War &amp; Conflict</v>
      </c>
    </row>
    <row r="788" spans="1:18">
      <c r="A788">
        <v>834</v>
      </c>
      <c r="B788" t="s">
        <v>3613</v>
      </c>
      <c r="C788" t="s">
        <v>38</v>
      </c>
      <c r="D788" t="s">
        <v>267</v>
      </c>
      <c r="E788" t="s">
        <v>3014</v>
      </c>
      <c r="F788" t="s">
        <v>3467</v>
      </c>
      <c r="G788" t="s">
        <v>145</v>
      </c>
      <c r="H788" t="s">
        <v>1999</v>
      </c>
      <c r="I788" t="s">
        <v>3614</v>
      </c>
      <c r="J788" t="s">
        <v>3585</v>
      </c>
      <c r="K788" t="s">
        <v>3612</v>
      </c>
      <c r="L788" t="s">
        <v>21</v>
      </c>
      <c r="M788">
        <v>1804</v>
      </c>
      <c r="N788" s="5">
        <f>ROUNDUP(Clean_Data[[#This Row],[Year_Num]]/100,0)</f>
        <v>19</v>
      </c>
      <c r="O788" s="5" t="str" cm="1">
        <f t="array" ref="O788">_xlfn.LET(_xlpm.y,Clean_Data[[#This Row],[Year_Num]],_xlfn.IFS(_xlpm.y&lt;500,"Ancient",_xlpm.y&lt;1500,"Medieval",_xlpm.y&lt;1800,"Early Modern",_xlpm.y&lt;1946,"Modern",TRUE,"Contemporary"))</f>
        <v>Modern</v>
      </c>
      <c r="P788" s="5" t="str">
        <f>_xlfn.XLOOKUP(Clean_Data[[#This Row],[Country]],country_region[Country],country_region[Country_Standard],"Not found")</f>
        <v>France</v>
      </c>
      <c r="Q788" s="5" t="str">
        <f>_xlfn.XLOOKUP(Clean_Data[[#This Row],[Country]],country_region[Country],country_region[Region],"Not found")</f>
        <v>Europe</v>
      </c>
      <c r="R788" s="5" t="str">
        <f>_xlfn.XLOOKUP(Clean_Data[[#This Row],[Type of Event]],event_type_category[Type of Event],event_type_category[Category],"Not found")</f>
        <v>Politics &amp; Law</v>
      </c>
    </row>
    <row r="789" spans="1:18">
      <c r="A789">
        <v>835</v>
      </c>
      <c r="B789" t="s">
        <v>5047</v>
      </c>
      <c r="C789" t="s">
        <v>580</v>
      </c>
      <c r="D789" t="s">
        <v>211</v>
      </c>
      <c r="E789" t="s">
        <v>3167</v>
      </c>
      <c r="F789" t="s">
        <v>3467</v>
      </c>
      <c r="G789" t="s">
        <v>68</v>
      </c>
      <c r="H789" t="s">
        <v>433</v>
      </c>
      <c r="I789" t="s">
        <v>3616</v>
      </c>
      <c r="J789" t="s">
        <v>3585</v>
      </c>
      <c r="K789" t="s">
        <v>2096</v>
      </c>
      <c r="L789" t="s">
        <v>54</v>
      </c>
      <c r="M789">
        <v>1870</v>
      </c>
      <c r="N789" s="5">
        <f>ROUNDUP(Clean_Data[[#This Row],[Year_Num]]/100,0)</f>
        <v>19</v>
      </c>
      <c r="O789" s="5" t="str" cm="1">
        <f t="array" ref="O789">_xlfn.LET(_xlpm.y,Clean_Data[[#This Row],[Year_Num]],_xlfn.IFS(_xlpm.y&lt;500,"Ancient",_xlpm.y&lt;1500,"Medieval",_xlpm.y&lt;1800,"Early Modern",_xlpm.y&lt;1946,"Modern",TRUE,"Contemporary"))</f>
        <v>Modern</v>
      </c>
      <c r="P789" s="5" t="str">
        <f>_xlfn.XLOOKUP(Clean_Data[[#This Row],[Country]],country_region[Country],country_region[Country_Standard],"Not found")</f>
        <v>France</v>
      </c>
      <c r="Q789" s="5" t="str">
        <f>_xlfn.XLOOKUP(Clean_Data[[#This Row],[Country]],country_region[Country],country_region[Region],"Not found")</f>
        <v>Europe</v>
      </c>
      <c r="R789" s="5" t="str">
        <f>_xlfn.XLOOKUP(Clean_Data[[#This Row],[Type of Event]],event_type_category[Type of Event],event_type_category[Category],"Not found")</f>
        <v>War &amp; Conflict</v>
      </c>
    </row>
    <row r="790" spans="1:18">
      <c r="A790">
        <v>836</v>
      </c>
      <c r="B790" t="s">
        <v>3617</v>
      </c>
      <c r="C790" t="s">
        <v>230</v>
      </c>
      <c r="D790" t="s">
        <v>158</v>
      </c>
      <c r="E790" t="s">
        <v>954</v>
      </c>
      <c r="F790" t="s">
        <v>3467</v>
      </c>
      <c r="G790" t="s">
        <v>1712</v>
      </c>
      <c r="H790" t="s">
        <v>1999</v>
      </c>
      <c r="I790" t="s">
        <v>3618</v>
      </c>
      <c r="J790" t="s">
        <v>3585</v>
      </c>
      <c r="K790" t="s">
        <v>3619</v>
      </c>
      <c r="L790" t="s">
        <v>21</v>
      </c>
      <c r="M790">
        <v>1958</v>
      </c>
      <c r="N790" s="5">
        <f>ROUNDUP(Clean_Data[[#This Row],[Year_Num]]/100,0)</f>
        <v>20</v>
      </c>
      <c r="O790" s="5" t="str" cm="1">
        <f t="array" ref="O790">_xlfn.LET(_xlpm.y,Clean_Data[[#This Row],[Year_Num]],_xlfn.IFS(_xlpm.y&lt;500,"Ancient",_xlpm.y&lt;1500,"Medieval",_xlpm.y&lt;1800,"Early Modern",_xlpm.y&lt;1946,"Modern",TRUE,"Contemporary"))</f>
        <v>Contemporary</v>
      </c>
      <c r="P790" s="5" t="str">
        <f>_xlfn.XLOOKUP(Clean_Data[[#This Row],[Country]],country_region[Country],country_region[Country_Standard],"Not found")</f>
        <v>France</v>
      </c>
      <c r="Q790" s="5" t="str">
        <f>_xlfn.XLOOKUP(Clean_Data[[#This Row],[Country]],country_region[Country],country_region[Region],"Not found")</f>
        <v>Europe</v>
      </c>
      <c r="R790" s="5" t="str">
        <f>_xlfn.XLOOKUP(Clean_Data[[#This Row],[Type of Event]],event_type_category[Type of Event],event_type_category[Category],"Not found")</f>
        <v>Politics &amp; Law</v>
      </c>
    </row>
    <row r="791" spans="1:18">
      <c r="A791">
        <v>837</v>
      </c>
      <c r="B791" t="s">
        <v>3620</v>
      </c>
      <c r="D791" t="s">
        <v>47</v>
      </c>
      <c r="E791" t="s">
        <v>1164</v>
      </c>
      <c r="F791" t="s">
        <v>3467</v>
      </c>
      <c r="G791" t="s">
        <v>2914</v>
      </c>
      <c r="H791" t="s">
        <v>1999</v>
      </c>
      <c r="I791" t="s">
        <v>3621</v>
      </c>
      <c r="J791" t="s">
        <v>3622</v>
      </c>
      <c r="K791" t="s">
        <v>3623</v>
      </c>
      <c r="L791" t="s">
        <v>36</v>
      </c>
      <c r="M791">
        <v>1968</v>
      </c>
      <c r="N791" s="5">
        <f>ROUNDUP(Clean_Data[[#This Row],[Year_Num]]/100,0)</f>
        <v>20</v>
      </c>
      <c r="O791" s="5" t="str" cm="1">
        <f t="array" ref="O791">_xlfn.LET(_xlpm.y,Clean_Data[[#This Row],[Year_Num]],_xlfn.IFS(_xlpm.y&lt;500,"Ancient",_xlpm.y&lt;1500,"Medieval",_xlpm.y&lt;1800,"Early Modern",_xlpm.y&lt;1946,"Modern",TRUE,"Contemporary"))</f>
        <v>Contemporary</v>
      </c>
      <c r="P791" s="5" t="str">
        <f>_xlfn.XLOOKUP(Clean_Data[[#This Row],[Country]],country_region[Country],country_region[Country_Standard],"Not found")</f>
        <v>France</v>
      </c>
      <c r="Q791" s="5" t="str">
        <f>_xlfn.XLOOKUP(Clean_Data[[#This Row],[Country]],country_region[Country],country_region[Region],"Not found")</f>
        <v>Europe</v>
      </c>
      <c r="R791" s="5" t="str">
        <f>_xlfn.XLOOKUP(Clean_Data[[#This Row],[Type of Event]],event_type_category[Type of Event],event_type_category[Category],"Not found")</f>
        <v>Society &amp; Health</v>
      </c>
    </row>
    <row r="792" spans="1:18">
      <c r="A792">
        <v>838</v>
      </c>
      <c r="B792" t="s">
        <v>5039</v>
      </c>
      <c r="C792" t="s">
        <v>195</v>
      </c>
      <c r="D792" t="s">
        <v>47</v>
      </c>
      <c r="E792" t="s">
        <v>279</v>
      </c>
      <c r="F792" t="s">
        <v>3467</v>
      </c>
      <c r="G792" t="s">
        <v>145</v>
      </c>
      <c r="H792" t="s">
        <v>1999</v>
      </c>
      <c r="I792" t="s">
        <v>5048</v>
      </c>
      <c r="J792" t="s">
        <v>3625</v>
      </c>
      <c r="K792" t="s">
        <v>3626</v>
      </c>
      <c r="L792" t="s">
        <v>21</v>
      </c>
      <c r="M792">
        <v>2013</v>
      </c>
      <c r="N792" s="5">
        <f>ROUNDUP(Clean_Data[[#This Row],[Year_Num]]/100,0)</f>
        <v>21</v>
      </c>
      <c r="O792" s="5" t="str" cm="1">
        <f t="array" ref="O792">_xlfn.LET(_xlpm.y,Clean_Data[[#This Row],[Year_Num]],_xlfn.IFS(_xlpm.y&lt;500,"Ancient",_xlpm.y&lt;1500,"Medieval",_xlpm.y&lt;1800,"Early Modern",_xlpm.y&lt;1946,"Modern",TRUE,"Contemporary"))</f>
        <v>Contemporary</v>
      </c>
      <c r="P792" s="5" t="str">
        <f>_xlfn.XLOOKUP(Clean_Data[[#This Row],[Country]],country_region[Country],country_region[Country_Standard],"Not found")</f>
        <v>France</v>
      </c>
      <c r="Q792" s="5" t="str">
        <f>_xlfn.XLOOKUP(Clean_Data[[#This Row],[Country]],country_region[Country],country_region[Region],"Not found")</f>
        <v>Europe</v>
      </c>
      <c r="R792" s="5" t="str">
        <f>_xlfn.XLOOKUP(Clean_Data[[#This Row],[Type of Event]],event_type_category[Type of Event],event_type_category[Category],"Not found")</f>
        <v>Politics &amp; Law</v>
      </c>
    </row>
    <row r="793" spans="1:18">
      <c r="A793">
        <v>839</v>
      </c>
      <c r="B793" t="s">
        <v>5049</v>
      </c>
      <c r="C793" t="s">
        <v>56</v>
      </c>
      <c r="D793" t="s">
        <v>39</v>
      </c>
      <c r="E793" t="s">
        <v>235</v>
      </c>
      <c r="F793" t="s">
        <v>3467</v>
      </c>
      <c r="G793" t="s">
        <v>3264</v>
      </c>
      <c r="H793" t="s">
        <v>1999</v>
      </c>
      <c r="I793" t="s">
        <v>3628</v>
      </c>
      <c r="J793" t="s">
        <v>3629</v>
      </c>
      <c r="L793" t="s">
        <v>54</v>
      </c>
      <c r="M793">
        <v>2019</v>
      </c>
      <c r="N793" s="5">
        <f>ROUNDUP(Clean_Data[[#This Row],[Year_Num]]/100,0)</f>
        <v>21</v>
      </c>
      <c r="O793" s="5" t="str" cm="1">
        <f t="array" ref="O793">_xlfn.LET(_xlpm.y,Clean_Data[[#This Row],[Year_Num]],_xlfn.IFS(_xlpm.y&lt;500,"Ancient",_xlpm.y&lt;1500,"Medieval",_xlpm.y&lt;1800,"Early Modern",_xlpm.y&lt;1946,"Modern",TRUE,"Contemporary"))</f>
        <v>Contemporary</v>
      </c>
      <c r="P793" s="5" t="str">
        <f>_xlfn.XLOOKUP(Clean_Data[[#This Row],[Country]],country_region[Country],country_region[Country_Standard],"Not found")</f>
        <v>France</v>
      </c>
      <c r="Q793" s="5" t="str">
        <f>_xlfn.XLOOKUP(Clean_Data[[#This Row],[Country]],country_region[Country],country_region[Region],"Not found")</f>
        <v>Europe</v>
      </c>
      <c r="R793" s="5" t="str">
        <f>_xlfn.XLOOKUP(Clean_Data[[#This Row],[Type of Event]],event_type_category[Type of Event],event_type_category[Category],"Not found")</f>
        <v>Disasters &amp; Accidents</v>
      </c>
    </row>
    <row r="794" spans="1:18">
      <c r="A794">
        <v>840</v>
      </c>
      <c r="B794" t="s">
        <v>3630</v>
      </c>
      <c r="C794" t="s">
        <v>1129</v>
      </c>
      <c r="D794" t="s">
        <v>83</v>
      </c>
      <c r="E794" t="s">
        <v>174</v>
      </c>
      <c r="F794" t="s">
        <v>3467</v>
      </c>
      <c r="G794" t="s">
        <v>3631</v>
      </c>
      <c r="H794" t="s">
        <v>433</v>
      </c>
      <c r="I794" t="s">
        <v>3632</v>
      </c>
      <c r="J794" t="s">
        <v>3585</v>
      </c>
      <c r="K794" t="s">
        <v>391</v>
      </c>
      <c r="L794" t="s">
        <v>36</v>
      </c>
      <c r="M794">
        <v>2018</v>
      </c>
      <c r="N794" s="5">
        <f>ROUNDUP(Clean_Data[[#This Row],[Year_Num]]/100,0)</f>
        <v>21</v>
      </c>
      <c r="O794" s="5" t="str" cm="1">
        <f t="array" ref="O794">_xlfn.LET(_xlpm.y,Clean_Data[[#This Row],[Year_Num]],_xlfn.IFS(_xlpm.y&lt;500,"Ancient",_xlpm.y&lt;1500,"Medieval",_xlpm.y&lt;1800,"Early Modern",_xlpm.y&lt;1946,"Modern",TRUE,"Contemporary"))</f>
        <v>Contemporary</v>
      </c>
      <c r="P794" s="5" t="str">
        <f>_xlfn.XLOOKUP(Clean_Data[[#This Row],[Country]],country_region[Country],country_region[Country_Standard],"Not found")</f>
        <v>France</v>
      </c>
      <c r="Q794" s="5" t="str">
        <f>_xlfn.XLOOKUP(Clean_Data[[#This Row],[Country]],country_region[Country],country_region[Region],"Not found")</f>
        <v>Europe</v>
      </c>
      <c r="R794" s="5" t="str">
        <f>_xlfn.XLOOKUP(Clean_Data[[#This Row],[Type of Event]],event_type_category[Type of Event],event_type_category[Category],"Not found")</f>
        <v>Society &amp; Health</v>
      </c>
    </row>
    <row r="795" spans="1:18">
      <c r="A795">
        <v>841</v>
      </c>
      <c r="B795" t="s">
        <v>3633</v>
      </c>
      <c r="C795" t="s">
        <v>56</v>
      </c>
      <c r="D795" t="s">
        <v>211</v>
      </c>
      <c r="E795" t="s">
        <v>174</v>
      </c>
      <c r="F795" t="s">
        <v>3467</v>
      </c>
      <c r="G795" t="s">
        <v>3634</v>
      </c>
      <c r="H795" t="s">
        <v>1043</v>
      </c>
      <c r="I795" t="s">
        <v>3635</v>
      </c>
      <c r="J795" t="s">
        <v>3585</v>
      </c>
      <c r="K795" t="s">
        <v>3636</v>
      </c>
      <c r="L795" t="s">
        <v>21</v>
      </c>
      <c r="M795">
        <v>2018</v>
      </c>
      <c r="N795" s="5">
        <f>ROUNDUP(Clean_Data[[#This Row],[Year_Num]]/100,0)</f>
        <v>21</v>
      </c>
      <c r="O795" s="5" t="str" cm="1">
        <f t="array" ref="O795">_xlfn.LET(_xlpm.y,Clean_Data[[#This Row],[Year_Num]],_xlfn.IFS(_xlpm.y&lt;500,"Ancient",_xlpm.y&lt;1500,"Medieval",_xlpm.y&lt;1800,"Early Modern",_xlpm.y&lt;1946,"Modern",TRUE,"Contemporary"))</f>
        <v>Contemporary</v>
      </c>
      <c r="P795" s="5" t="str">
        <f>_xlfn.XLOOKUP(Clean_Data[[#This Row],[Country]],country_region[Country],country_region[Country_Standard],"Not found")</f>
        <v>France</v>
      </c>
      <c r="Q795" s="5" t="str">
        <f>_xlfn.XLOOKUP(Clean_Data[[#This Row],[Country]],country_region[Country],country_region[Region],"Not found")</f>
        <v>Europe</v>
      </c>
      <c r="R795" s="5" t="str">
        <f>_xlfn.XLOOKUP(Clean_Data[[#This Row],[Type of Event]],event_type_category[Type of Event],event_type_category[Category],"Not found")</f>
        <v>Culture, Religion &amp; Sport</v>
      </c>
    </row>
    <row r="796" spans="1:18">
      <c r="A796">
        <v>843</v>
      </c>
      <c r="B796" t="s">
        <v>3523</v>
      </c>
      <c r="C796" t="s">
        <v>200</v>
      </c>
      <c r="D796" t="s">
        <v>158</v>
      </c>
      <c r="E796" t="s">
        <v>3524</v>
      </c>
      <c r="F796" t="s">
        <v>3467</v>
      </c>
      <c r="G796" t="s">
        <v>356</v>
      </c>
      <c r="H796" t="s">
        <v>3525</v>
      </c>
      <c r="I796" t="s">
        <v>3637</v>
      </c>
      <c r="J796" t="s">
        <v>3527</v>
      </c>
      <c r="K796" t="s">
        <v>3528</v>
      </c>
      <c r="L796" t="s">
        <v>21</v>
      </c>
      <c r="M796">
        <v>1415</v>
      </c>
      <c r="N796" s="5">
        <f>ROUNDUP(Clean_Data[[#This Row],[Year_Num]]/100,0)</f>
        <v>15</v>
      </c>
      <c r="O796" s="5" t="str" cm="1">
        <f t="array" ref="O796">_xlfn.LET(_xlpm.y,Clean_Data[[#This Row],[Year_Num]],_xlfn.IFS(_xlpm.y&lt;500,"Ancient",_xlpm.y&lt;1500,"Medieval",_xlpm.y&lt;1800,"Early Modern",_xlpm.y&lt;1946,"Modern",TRUE,"Contemporary"))</f>
        <v>Medieval</v>
      </c>
      <c r="P796" s="5" t="str">
        <f>_xlfn.XLOOKUP(Clean_Data[[#This Row],[Country]],country_region[Country],country_region[Country_Standard],"Not found")</f>
        <v>France</v>
      </c>
      <c r="Q796" s="5" t="str">
        <f>_xlfn.XLOOKUP(Clean_Data[[#This Row],[Country]],country_region[Country],country_region[Region],"Not found")</f>
        <v>Europe</v>
      </c>
      <c r="R796" s="5" t="str">
        <f>_xlfn.XLOOKUP(Clean_Data[[#This Row],[Type of Event]],event_type_category[Type of Event],event_type_category[Category],"Not found")</f>
        <v>War &amp; Conflict</v>
      </c>
    </row>
    <row r="797" spans="1:18">
      <c r="A797">
        <v>844</v>
      </c>
      <c r="B797" t="s">
        <v>3638</v>
      </c>
      <c r="C797" t="s">
        <v>335</v>
      </c>
      <c r="D797" t="s">
        <v>211</v>
      </c>
      <c r="E797" t="s">
        <v>3602</v>
      </c>
      <c r="F797" t="s">
        <v>3467</v>
      </c>
      <c r="G797" t="s">
        <v>2646</v>
      </c>
      <c r="H797" t="s">
        <v>1999</v>
      </c>
      <c r="I797" t="s">
        <v>3639</v>
      </c>
      <c r="J797" t="s">
        <v>3585</v>
      </c>
      <c r="K797" t="s">
        <v>2412</v>
      </c>
      <c r="L797" t="s">
        <v>21</v>
      </c>
      <c r="M797">
        <v>1789</v>
      </c>
      <c r="N797" s="5">
        <f>ROUNDUP(Clean_Data[[#This Row],[Year_Num]]/100,0)</f>
        <v>18</v>
      </c>
      <c r="O797" s="5" t="str" cm="1">
        <f t="array" ref="O797">_xlfn.LET(_xlpm.y,Clean_Data[[#This Row],[Year_Num]],_xlfn.IFS(_xlpm.y&lt;500,"Ancient",_xlpm.y&lt;1500,"Medieval",_xlpm.y&lt;1800,"Early Modern",_xlpm.y&lt;1946,"Modern",TRUE,"Contemporary"))</f>
        <v>Early Modern</v>
      </c>
      <c r="P797" s="5" t="str">
        <f>_xlfn.XLOOKUP(Clean_Data[[#This Row],[Country]],country_region[Country],country_region[Country_Standard],"Not found")</f>
        <v>France</v>
      </c>
      <c r="Q797" s="5" t="str">
        <f>_xlfn.XLOOKUP(Clean_Data[[#This Row],[Country]],country_region[Country],country_region[Region],"Not found")</f>
        <v>Europe</v>
      </c>
      <c r="R797" s="5" t="str">
        <f>_xlfn.XLOOKUP(Clean_Data[[#This Row],[Type of Event]],event_type_category[Type of Event],event_type_category[Category],"Not found")</f>
        <v>Politics &amp; Law</v>
      </c>
    </row>
    <row r="798" spans="1:18">
      <c r="A798">
        <v>845</v>
      </c>
      <c r="B798" t="s">
        <v>3640</v>
      </c>
      <c r="C798" t="s">
        <v>38</v>
      </c>
      <c r="D798" t="s">
        <v>260</v>
      </c>
      <c r="E798" t="s">
        <v>3605</v>
      </c>
      <c r="F798" t="s">
        <v>3467</v>
      </c>
      <c r="G798" t="s">
        <v>3606</v>
      </c>
      <c r="H798" t="s">
        <v>1999</v>
      </c>
      <c r="I798" t="s">
        <v>3641</v>
      </c>
      <c r="J798" t="s">
        <v>3585</v>
      </c>
      <c r="K798" t="s">
        <v>3608</v>
      </c>
      <c r="L798" t="s">
        <v>54</v>
      </c>
      <c r="M798">
        <v>1793</v>
      </c>
      <c r="N798" s="5">
        <f>ROUNDUP(Clean_Data[[#This Row],[Year_Num]]/100,0)</f>
        <v>18</v>
      </c>
      <c r="O798" s="5" t="str" cm="1">
        <f t="array" ref="O798">_xlfn.LET(_xlpm.y,Clean_Data[[#This Row],[Year_Num]],_xlfn.IFS(_xlpm.y&lt;500,"Ancient",_xlpm.y&lt;1500,"Medieval",_xlpm.y&lt;1800,"Early Modern",_xlpm.y&lt;1946,"Modern",TRUE,"Contemporary"))</f>
        <v>Early Modern</v>
      </c>
      <c r="P798" s="5" t="str">
        <f>_xlfn.XLOOKUP(Clean_Data[[#This Row],[Country]],country_region[Country],country_region[Country_Standard],"Not found")</f>
        <v>France</v>
      </c>
      <c r="Q798" s="5" t="str">
        <f>_xlfn.XLOOKUP(Clean_Data[[#This Row],[Country]],country_region[Country],country_region[Region],"Not found")</f>
        <v>Europe</v>
      </c>
      <c r="R798" s="5" t="str">
        <f>_xlfn.XLOOKUP(Clean_Data[[#This Row],[Type of Event]],event_type_category[Type of Event],event_type_category[Category],"Not found")</f>
        <v>Politics &amp; Law</v>
      </c>
    </row>
    <row r="799" spans="1:18">
      <c r="A799">
        <v>846</v>
      </c>
      <c r="B799" t="s">
        <v>3642</v>
      </c>
      <c r="C799" t="s">
        <v>165</v>
      </c>
      <c r="D799" t="s">
        <v>286</v>
      </c>
      <c r="E799" t="s">
        <v>3605</v>
      </c>
      <c r="F799" t="s">
        <v>3467</v>
      </c>
      <c r="G799" t="s">
        <v>31</v>
      </c>
      <c r="H799" t="s">
        <v>1999</v>
      </c>
      <c r="I799" t="s">
        <v>3643</v>
      </c>
      <c r="J799" t="s">
        <v>3585</v>
      </c>
      <c r="K799" t="s">
        <v>3644</v>
      </c>
      <c r="L799" t="s">
        <v>54</v>
      </c>
      <c r="M799">
        <v>1793</v>
      </c>
      <c r="N799" s="5">
        <f>ROUNDUP(Clean_Data[[#This Row],[Year_Num]]/100,0)</f>
        <v>18</v>
      </c>
      <c r="O799" s="5" t="str" cm="1">
        <f t="array" ref="O799">_xlfn.LET(_xlpm.y,Clean_Data[[#This Row],[Year_Num]],_xlfn.IFS(_xlpm.y&lt;500,"Ancient",_xlpm.y&lt;1500,"Medieval",_xlpm.y&lt;1800,"Early Modern",_xlpm.y&lt;1946,"Modern",TRUE,"Contemporary"))</f>
        <v>Early Modern</v>
      </c>
      <c r="P799" s="5" t="str">
        <f>_xlfn.XLOOKUP(Clean_Data[[#This Row],[Country]],country_region[Country],country_region[Country_Standard],"Not found")</f>
        <v>France</v>
      </c>
      <c r="Q799" s="5" t="str">
        <f>_xlfn.XLOOKUP(Clean_Data[[#This Row],[Country]],country_region[Country],country_region[Region],"Not found")</f>
        <v>Europe</v>
      </c>
      <c r="R799" s="5" t="str">
        <f>_xlfn.XLOOKUP(Clean_Data[[#This Row],[Type of Event]],event_type_category[Type of Event],event_type_category[Category],"Not found")</f>
        <v>Politics &amp; Law</v>
      </c>
    </row>
    <row r="800" spans="1:18">
      <c r="A800">
        <v>847</v>
      </c>
      <c r="B800" t="s">
        <v>3645</v>
      </c>
      <c r="C800" t="s">
        <v>331</v>
      </c>
      <c r="D800" t="s">
        <v>66</v>
      </c>
      <c r="E800" t="s">
        <v>3014</v>
      </c>
      <c r="F800" t="s">
        <v>3467</v>
      </c>
      <c r="G800" t="s">
        <v>3566</v>
      </c>
      <c r="H800" t="s">
        <v>1999</v>
      </c>
      <c r="I800" t="s">
        <v>3646</v>
      </c>
      <c r="J800" t="s">
        <v>3585</v>
      </c>
      <c r="K800" t="s">
        <v>3612</v>
      </c>
      <c r="L800" t="s">
        <v>21</v>
      </c>
      <c r="M800">
        <v>1804</v>
      </c>
      <c r="N800" s="5">
        <f>ROUNDUP(Clean_Data[[#This Row],[Year_Num]]/100,0)</f>
        <v>19</v>
      </c>
      <c r="O800" s="5" t="str" cm="1">
        <f t="array" ref="O800">_xlfn.LET(_xlpm.y,Clean_Data[[#This Row],[Year_Num]],_xlfn.IFS(_xlpm.y&lt;500,"Ancient",_xlpm.y&lt;1500,"Medieval",_xlpm.y&lt;1800,"Early Modern",_xlpm.y&lt;1946,"Modern",TRUE,"Contemporary"))</f>
        <v>Modern</v>
      </c>
      <c r="P800" s="5" t="str">
        <f>_xlfn.XLOOKUP(Clean_Data[[#This Row],[Country]],country_region[Country],country_region[Country_Standard],"Not found")</f>
        <v>France</v>
      </c>
      <c r="Q800" s="5" t="str">
        <f>_xlfn.XLOOKUP(Clean_Data[[#This Row],[Country]],country_region[Country],country_region[Region],"Not found")</f>
        <v>Europe</v>
      </c>
      <c r="R800" s="5" t="str">
        <f>_xlfn.XLOOKUP(Clean_Data[[#This Row],[Type of Event]],event_type_category[Type of Event],event_type_category[Category],"Not found")</f>
        <v>Independence &amp; Nation-Building</v>
      </c>
    </row>
    <row r="801" spans="1:18">
      <c r="A801">
        <v>848</v>
      </c>
      <c r="B801" t="s">
        <v>3647</v>
      </c>
      <c r="C801" t="s">
        <v>195</v>
      </c>
      <c r="D801" t="s">
        <v>100</v>
      </c>
      <c r="E801" t="s">
        <v>3476</v>
      </c>
      <c r="F801" t="s">
        <v>3467</v>
      </c>
      <c r="G801" t="s">
        <v>68</v>
      </c>
      <c r="H801" t="s">
        <v>3477</v>
      </c>
      <c r="I801" t="s">
        <v>3648</v>
      </c>
      <c r="J801" t="s">
        <v>3649</v>
      </c>
      <c r="K801" t="s">
        <v>3650</v>
      </c>
      <c r="L801" t="s">
        <v>54</v>
      </c>
      <c r="M801">
        <v>1815</v>
      </c>
      <c r="N801" s="5">
        <f>ROUNDUP(Clean_Data[[#This Row],[Year_Num]]/100,0)</f>
        <v>19</v>
      </c>
      <c r="O801" s="5" t="str" cm="1">
        <f t="array" ref="O801">_xlfn.LET(_xlpm.y,Clean_Data[[#This Row],[Year_Num]],_xlfn.IFS(_xlpm.y&lt;500,"Ancient",_xlpm.y&lt;1500,"Medieval",_xlpm.y&lt;1800,"Early Modern",_xlpm.y&lt;1946,"Modern",TRUE,"Contemporary"))</f>
        <v>Modern</v>
      </c>
      <c r="P801" s="5" t="str">
        <f>_xlfn.XLOOKUP(Clean_Data[[#This Row],[Country]],country_region[Country],country_region[Country_Standard],"Not found")</f>
        <v>France</v>
      </c>
      <c r="Q801" s="5" t="str">
        <f>_xlfn.XLOOKUP(Clean_Data[[#This Row],[Country]],country_region[Country],country_region[Region],"Not found")</f>
        <v>Europe</v>
      </c>
      <c r="R801" s="5" t="str">
        <f>_xlfn.XLOOKUP(Clean_Data[[#This Row],[Type of Event]],event_type_category[Type of Event],event_type_category[Category],"Not found")</f>
        <v>War &amp; Conflict</v>
      </c>
    </row>
    <row r="802" spans="1:18">
      <c r="A802">
        <v>849</v>
      </c>
      <c r="B802" t="s">
        <v>3651</v>
      </c>
      <c r="C802" t="s">
        <v>331</v>
      </c>
      <c r="D802" t="s">
        <v>66</v>
      </c>
      <c r="E802" t="s">
        <v>1677</v>
      </c>
      <c r="F802" t="s">
        <v>3467</v>
      </c>
      <c r="G802" t="s">
        <v>31</v>
      </c>
      <c r="H802" t="s">
        <v>1999</v>
      </c>
      <c r="I802" t="s">
        <v>3652</v>
      </c>
      <c r="J802" t="s">
        <v>3585</v>
      </c>
      <c r="K802" t="s">
        <v>2096</v>
      </c>
      <c r="L802" t="s">
        <v>21</v>
      </c>
      <c r="M802">
        <v>1852</v>
      </c>
      <c r="N802" s="5">
        <f>ROUNDUP(Clean_Data[[#This Row],[Year_Num]]/100,0)</f>
        <v>19</v>
      </c>
      <c r="O802" s="5" t="str" cm="1">
        <f t="array" ref="O802">_xlfn.LET(_xlpm.y,Clean_Data[[#This Row],[Year_Num]],_xlfn.IFS(_xlpm.y&lt;500,"Ancient",_xlpm.y&lt;1500,"Medieval",_xlpm.y&lt;1800,"Early Modern",_xlpm.y&lt;1946,"Modern",TRUE,"Contemporary"))</f>
        <v>Modern</v>
      </c>
      <c r="P802" s="5" t="str">
        <f>_xlfn.XLOOKUP(Clean_Data[[#This Row],[Country]],country_region[Country],country_region[Country_Standard],"Not found")</f>
        <v>France</v>
      </c>
      <c r="Q802" s="5" t="str">
        <f>_xlfn.XLOOKUP(Clean_Data[[#This Row],[Country]],country_region[Country],country_region[Region],"Not found")</f>
        <v>Europe</v>
      </c>
      <c r="R802" s="5" t="str">
        <f>_xlfn.XLOOKUP(Clean_Data[[#This Row],[Type of Event]],event_type_category[Type of Event],event_type_category[Category],"Not found")</f>
        <v>Politics &amp; Law</v>
      </c>
    </row>
    <row r="803" spans="1:18">
      <c r="A803">
        <v>850</v>
      </c>
      <c r="B803" t="s">
        <v>3653</v>
      </c>
      <c r="C803" t="s">
        <v>195</v>
      </c>
      <c r="D803" t="s">
        <v>267</v>
      </c>
      <c r="E803" t="s">
        <v>1340</v>
      </c>
      <c r="F803" t="s">
        <v>3467</v>
      </c>
      <c r="G803" t="s">
        <v>109</v>
      </c>
      <c r="H803" t="s">
        <v>1999</v>
      </c>
      <c r="I803" t="s">
        <v>5050</v>
      </c>
      <c r="J803" t="s">
        <v>3655</v>
      </c>
      <c r="K803" t="s">
        <v>3656</v>
      </c>
      <c r="L803" t="s">
        <v>54</v>
      </c>
      <c r="M803">
        <v>1871</v>
      </c>
      <c r="N803" s="5">
        <f>ROUNDUP(Clean_Data[[#This Row],[Year_Num]]/100,0)</f>
        <v>19</v>
      </c>
      <c r="O803" s="5" t="str" cm="1">
        <f t="array" ref="O803">_xlfn.LET(_xlpm.y,Clean_Data[[#This Row],[Year_Num]],_xlfn.IFS(_xlpm.y&lt;500,"Ancient",_xlpm.y&lt;1500,"Medieval",_xlpm.y&lt;1800,"Early Modern",_xlpm.y&lt;1946,"Modern",TRUE,"Contemporary"))</f>
        <v>Modern</v>
      </c>
      <c r="P803" s="5" t="str">
        <f>_xlfn.XLOOKUP(Clean_Data[[#This Row],[Country]],country_region[Country],country_region[Country_Standard],"Not found")</f>
        <v>France</v>
      </c>
      <c r="Q803" s="5" t="str">
        <f>_xlfn.XLOOKUP(Clean_Data[[#This Row],[Country]],country_region[Country],country_region[Region],"Not found")</f>
        <v>Europe</v>
      </c>
      <c r="R803" s="5" t="str">
        <f>_xlfn.XLOOKUP(Clean_Data[[#This Row],[Type of Event]],event_type_category[Type of Event],event_type_category[Category],"Not found")</f>
        <v>War &amp; Conflict</v>
      </c>
    </row>
    <row r="804" spans="1:18">
      <c r="A804">
        <v>851</v>
      </c>
      <c r="B804" t="s">
        <v>3657</v>
      </c>
      <c r="E804" t="s">
        <v>1307</v>
      </c>
      <c r="F804" t="s">
        <v>3467</v>
      </c>
      <c r="G804" t="s">
        <v>2892</v>
      </c>
      <c r="H804" t="s">
        <v>1999</v>
      </c>
      <c r="I804" t="s">
        <v>5051</v>
      </c>
      <c r="J804" t="s">
        <v>3585</v>
      </c>
      <c r="K804" t="s">
        <v>3659</v>
      </c>
      <c r="L804" t="s">
        <v>36</v>
      </c>
      <c r="M804">
        <v>1894</v>
      </c>
      <c r="N804" s="5">
        <f>ROUNDUP(Clean_Data[[#This Row],[Year_Num]]/100,0)</f>
        <v>19</v>
      </c>
      <c r="O804" s="5" t="str" cm="1">
        <f t="array" ref="O804">_xlfn.LET(_xlpm.y,Clean_Data[[#This Row],[Year_Num]],_xlfn.IFS(_xlpm.y&lt;500,"Ancient",_xlpm.y&lt;1500,"Medieval",_xlpm.y&lt;1800,"Early Modern",_xlpm.y&lt;1946,"Modern",TRUE,"Contemporary"))</f>
        <v>Modern</v>
      </c>
      <c r="P804" s="5" t="str">
        <f>_xlfn.XLOOKUP(Clean_Data[[#This Row],[Country]],country_region[Country],country_region[Country_Standard],"Not found")</f>
        <v>France</v>
      </c>
      <c r="Q804" s="5" t="str">
        <f>_xlfn.XLOOKUP(Clean_Data[[#This Row],[Country]],country_region[Country],country_region[Region],"Not found")</f>
        <v>Europe</v>
      </c>
      <c r="R804" s="5" t="str">
        <f>_xlfn.XLOOKUP(Clean_Data[[#This Row],[Type of Event]],event_type_category[Type of Event],event_type_category[Category],"Not found")</f>
        <v>Politics &amp; Law</v>
      </c>
    </row>
    <row r="805" spans="1:18">
      <c r="A805">
        <v>852</v>
      </c>
      <c r="B805" t="s">
        <v>3660</v>
      </c>
      <c r="C805" t="s">
        <v>38</v>
      </c>
      <c r="D805" t="s">
        <v>39</v>
      </c>
      <c r="E805" t="s">
        <v>3286</v>
      </c>
      <c r="F805" t="s">
        <v>3467</v>
      </c>
      <c r="G805" t="s">
        <v>145</v>
      </c>
      <c r="H805" t="s">
        <v>1999</v>
      </c>
      <c r="I805" t="s">
        <v>3661</v>
      </c>
      <c r="J805" t="s">
        <v>3662</v>
      </c>
      <c r="K805" t="s">
        <v>3663</v>
      </c>
      <c r="L805" t="s">
        <v>21</v>
      </c>
      <c r="M805">
        <v>1944</v>
      </c>
      <c r="N805" s="5">
        <f>ROUNDUP(Clean_Data[[#This Row],[Year_Num]]/100,0)</f>
        <v>20</v>
      </c>
      <c r="O805" s="5" t="str" cm="1">
        <f t="array" ref="O805">_xlfn.LET(_xlpm.y,Clean_Data[[#This Row],[Year_Num]],_xlfn.IFS(_xlpm.y&lt;500,"Ancient",_xlpm.y&lt;1500,"Medieval",_xlpm.y&lt;1800,"Early Modern",_xlpm.y&lt;1946,"Modern",TRUE,"Contemporary"))</f>
        <v>Modern</v>
      </c>
      <c r="P805" s="5" t="str">
        <f>_xlfn.XLOOKUP(Clean_Data[[#This Row],[Country]],country_region[Country],country_region[Country_Standard],"Not found")</f>
        <v>France</v>
      </c>
      <c r="Q805" s="5" t="str">
        <f>_xlfn.XLOOKUP(Clean_Data[[#This Row],[Country]],country_region[Country],country_region[Region],"Not found")</f>
        <v>Europe</v>
      </c>
      <c r="R805" s="5" t="str">
        <f>_xlfn.XLOOKUP(Clean_Data[[#This Row],[Type of Event]],event_type_category[Type of Event],event_type_category[Category],"Not found")</f>
        <v>Politics &amp; Law</v>
      </c>
    </row>
    <row r="806" spans="1:18">
      <c r="A806">
        <v>853</v>
      </c>
      <c r="B806" t="s">
        <v>3664</v>
      </c>
      <c r="C806" t="s">
        <v>200</v>
      </c>
      <c r="D806" t="s">
        <v>267</v>
      </c>
      <c r="E806" t="s">
        <v>1150</v>
      </c>
      <c r="F806" t="s">
        <v>3467</v>
      </c>
      <c r="G806" t="s">
        <v>31</v>
      </c>
      <c r="H806" t="s">
        <v>3567</v>
      </c>
      <c r="I806" t="s">
        <v>3665</v>
      </c>
      <c r="J806" t="s">
        <v>3666</v>
      </c>
      <c r="K806" t="s">
        <v>3667</v>
      </c>
      <c r="L806" t="s">
        <v>21</v>
      </c>
      <c r="M806">
        <v>1957</v>
      </c>
      <c r="N806" s="5">
        <f>ROUNDUP(Clean_Data[[#This Row],[Year_Num]]/100,0)</f>
        <v>20</v>
      </c>
      <c r="O806" s="5" t="str" cm="1">
        <f t="array" ref="O806">_xlfn.LET(_xlpm.y,Clean_Data[[#This Row],[Year_Num]],_xlfn.IFS(_xlpm.y&lt;500,"Ancient",_xlpm.y&lt;1500,"Medieval",_xlpm.y&lt;1800,"Early Modern",_xlpm.y&lt;1946,"Modern",TRUE,"Contemporary"))</f>
        <v>Contemporary</v>
      </c>
      <c r="P806" s="5" t="str">
        <f>_xlfn.XLOOKUP(Clean_Data[[#This Row],[Country]],country_region[Country],country_region[Country_Standard],"Not found")</f>
        <v>France</v>
      </c>
      <c r="Q806" s="5" t="str">
        <f>_xlfn.XLOOKUP(Clean_Data[[#This Row],[Country]],country_region[Country],country_region[Region],"Not found")</f>
        <v>Europe</v>
      </c>
      <c r="R806" s="5" t="str">
        <f>_xlfn.XLOOKUP(Clean_Data[[#This Row],[Type of Event]],event_type_category[Type of Event],event_type_category[Category],"Not found")</f>
        <v>Politics &amp; Law</v>
      </c>
    </row>
    <row r="807" spans="1:18">
      <c r="A807">
        <v>854</v>
      </c>
      <c r="B807" t="s">
        <v>3668</v>
      </c>
      <c r="D807" t="s">
        <v>47</v>
      </c>
      <c r="E807" t="s">
        <v>1164</v>
      </c>
      <c r="F807" t="s">
        <v>3467</v>
      </c>
      <c r="G807" t="s">
        <v>2914</v>
      </c>
      <c r="H807" t="s">
        <v>1999</v>
      </c>
      <c r="I807" t="s">
        <v>3669</v>
      </c>
      <c r="J807" t="s">
        <v>3622</v>
      </c>
      <c r="K807" t="s">
        <v>3670</v>
      </c>
      <c r="L807" t="s">
        <v>36</v>
      </c>
      <c r="M807">
        <v>1968</v>
      </c>
      <c r="N807" s="5">
        <f>ROUNDUP(Clean_Data[[#This Row],[Year_Num]]/100,0)</f>
        <v>20</v>
      </c>
      <c r="O807" s="5" t="str" cm="1">
        <f t="array" ref="O807">_xlfn.LET(_xlpm.y,Clean_Data[[#This Row],[Year_Num]],_xlfn.IFS(_xlpm.y&lt;500,"Ancient",_xlpm.y&lt;1500,"Medieval",_xlpm.y&lt;1800,"Early Modern",_xlpm.y&lt;1946,"Modern",TRUE,"Contemporary"))</f>
        <v>Contemporary</v>
      </c>
      <c r="P807" s="5" t="str">
        <f>_xlfn.XLOOKUP(Clean_Data[[#This Row],[Country]],country_region[Country],country_region[Country_Standard],"Not found")</f>
        <v>France</v>
      </c>
      <c r="Q807" s="5" t="str">
        <f>_xlfn.XLOOKUP(Clean_Data[[#This Row],[Country]],country_region[Country],country_region[Region],"Not found")</f>
        <v>Europe</v>
      </c>
      <c r="R807" s="5" t="str">
        <f>_xlfn.XLOOKUP(Clean_Data[[#This Row],[Type of Event]],event_type_category[Type of Event],event_type_category[Category],"Not found")</f>
        <v>Society &amp; Health</v>
      </c>
    </row>
    <row r="808" spans="1:18">
      <c r="A808">
        <v>855</v>
      </c>
      <c r="B808" t="s">
        <v>3671</v>
      </c>
      <c r="C808" t="s">
        <v>46</v>
      </c>
      <c r="D808" t="s">
        <v>260</v>
      </c>
      <c r="E808" t="s">
        <v>137</v>
      </c>
      <c r="F808" t="s">
        <v>3467</v>
      </c>
      <c r="G808" t="s">
        <v>1463</v>
      </c>
      <c r="H808" t="s">
        <v>1999</v>
      </c>
      <c r="I808" t="s">
        <v>3672</v>
      </c>
      <c r="J808" t="s">
        <v>3673</v>
      </c>
      <c r="K808" t="s">
        <v>3626</v>
      </c>
      <c r="L808" t="s">
        <v>21</v>
      </c>
      <c r="M808">
        <v>1999</v>
      </c>
      <c r="N808" s="5">
        <f>ROUNDUP(Clean_Data[[#This Row],[Year_Num]]/100,0)</f>
        <v>20</v>
      </c>
      <c r="O808" s="5" t="str" cm="1">
        <f t="array" ref="O808">_xlfn.LET(_xlpm.y,Clean_Data[[#This Row],[Year_Num]],_xlfn.IFS(_xlpm.y&lt;500,"Ancient",_xlpm.y&lt;1500,"Medieval",_xlpm.y&lt;1800,"Early Modern",_xlpm.y&lt;1946,"Modern",TRUE,"Contemporary"))</f>
        <v>Contemporary</v>
      </c>
      <c r="P808" s="5" t="str">
        <f>_xlfn.XLOOKUP(Clean_Data[[#This Row],[Country]],country_region[Country],country_region[Country_Standard],"Not found")</f>
        <v>France</v>
      </c>
      <c r="Q808" s="5" t="str">
        <f>_xlfn.XLOOKUP(Clean_Data[[#This Row],[Country]],country_region[Country],country_region[Region],"Not found")</f>
        <v>Europe</v>
      </c>
      <c r="R808" s="5" t="str">
        <f>_xlfn.XLOOKUP(Clean_Data[[#This Row],[Type of Event]],event_type_category[Type of Event],event_type_category[Category],"Not found")</f>
        <v>Economy &amp; Infrastructure</v>
      </c>
    </row>
    <row r="809" spans="1:18">
      <c r="A809">
        <v>856</v>
      </c>
      <c r="B809" t="s">
        <v>3674</v>
      </c>
      <c r="C809" t="s">
        <v>46</v>
      </c>
      <c r="D809" t="s">
        <v>260</v>
      </c>
      <c r="E809" t="s">
        <v>294</v>
      </c>
      <c r="F809" t="s">
        <v>3467</v>
      </c>
      <c r="G809" t="s">
        <v>3443</v>
      </c>
      <c r="H809" t="s">
        <v>433</v>
      </c>
      <c r="I809" t="s">
        <v>3675</v>
      </c>
      <c r="J809" t="s">
        <v>3585</v>
      </c>
      <c r="K809" t="s">
        <v>3626</v>
      </c>
      <c r="L809" t="s">
        <v>21</v>
      </c>
      <c r="M809">
        <v>2007</v>
      </c>
      <c r="N809" s="5">
        <f>ROUNDUP(Clean_Data[[#This Row],[Year_Num]]/100,0)</f>
        <v>21</v>
      </c>
      <c r="O809" s="5" t="str" cm="1">
        <f t="array" ref="O809">_xlfn.LET(_xlpm.y,Clean_Data[[#This Row],[Year_Num]],_xlfn.IFS(_xlpm.y&lt;500,"Ancient",_xlpm.y&lt;1500,"Medieval",_xlpm.y&lt;1800,"Early Modern",_xlpm.y&lt;1946,"Modern",TRUE,"Contemporary"))</f>
        <v>Contemporary</v>
      </c>
      <c r="P809" s="5" t="str">
        <f>_xlfn.XLOOKUP(Clean_Data[[#This Row],[Country]],country_region[Country],country_region[Country_Standard],"Not found")</f>
        <v>France</v>
      </c>
      <c r="Q809" s="5" t="str">
        <f>_xlfn.XLOOKUP(Clean_Data[[#This Row],[Country]],country_region[Country],country_region[Region],"Not found")</f>
        <v>Europe</v>
      </c>
      <c r="R809" s="5" t="str">
        <f>_xlfn.XLOOKUP(Clean_Data[[#This Row],[Type of Event]],event_type_category[Type of Event],event_type_category[Category],"Not found")</f>
        <v>Society &amp; Health</v>
      </c>
    </row>
    <row r="810" spans="1:18">
      <c r="A810">
        <v>858</v>
      </c>
      <c r="B810" t="s">
        <v>3676</v>
      </c>
      <c r="C810" t="s">
        <v>3677</v>
      </c>
      <c r="E810" t="s">
        <v>3677</v>
      </c>
      <c r="F810" t="s">
        <v>3678</v>
      </c>
      <c r="G810" t="s">
        <v>1712</v>
      </c>
      <c r="H810" t="s">
        <v>3567</v>
      </c>
      <c r="I810" t="s">
        <v>3679</v>
      </c>
      <c r="J810" t="s">
        <v>3680</v>
      </c>
      <c r="K810" t="s">
        <v>3681</v>
      </c>
      <c r="L810" t="s">
        <v>21</v>
      </c>
      <c r="M810">
        <v>509</v>
      </c>
      <c r="N810" s="5">
        <f>ROUNDUP(Clean_Data[[#This Row],[Year_Num]]/100,0)</f>
        <v>6</v>
      </c>
      <c r="O810" s="5" t="str" cm="1">
        <f t="array" ref="O810">_xlfn.LET(_xlpm.y,Clean_Data[[#This Row],[Year_Num]],_xlfn.IFS(_xlpm.y&lt;500,"Ancient",_xlpm.y&lt;1500,"Medieval",_xlpm.y&lt;1800,"Early Modern",_xlpm.y&lt;1946,"Modern",TRUE,"Contemporary"))</f>
        <v>Medieval</v>
      </c>
      <c r="P810" s="5" t="str">
        <f>_xlfn.XLOOKUP(Clean_Data[[#This Row],[Country]],country_region[Country],country_region[Country_Standard],"Not found")</f>
        <v>Italy</v>
      </c>
      <c r="Q810" s="5" t="str">
        <f>_xlfn.XLOOKUP(Clean_Data[[#This Row],[Country]],country_region[Country],country_region[Region],"Not found")</f>
        <v>Europe</v>
      </c>
      <c r="R810" s="5" t="str">
        <f>_xlfn.XLOOKUP(Clean_Data[[#This Row],[Type of Event]],event_type_category[Type of Event],event_type_category[Category],"Not found")</f>
        <v>Politics &amp; Law</v>
      </c>
    </row>
    <row r="811" spans="1:18">
      <c r="A811">
        <v>859</v>
      </c>
      <c r="B811" t="s">
        <v>3682</v>
      </c>
      <c r="C811" t="s">
        <v>3683</v>
      </c>
      <c r="E811" t="s">
        <v>3683</v>
      </c>
      <c r="F811" t="s">
        <v>3678</v>
      </c>
      <c r="G811" t="s">
        <v>68</v>
      </c>
      <c r="H811" t="s">
        <v>433</v>
      </c>
      <c r="I811" t="s">
        <v>3684</v>
      </c>
      <c r="J811" t="s">
        <v>3685</v>
      </c>
      <c r="K811" t="s">
        <v>3686</v>
      </c>
      <c r="L811" t="s">
        <v>54</v>
      </c>
      <c r="M811">
        <v>264</v>
      </c>
      <c r="N811" s="5">
        <f>ROUNDUP(Clean_Data[[#This Row],[Year_Num]]/100,0)</f>
        <v>3</v>
      </c>
      <c r="O811" s="5" t="str" cm="1">
        <f t="array" ref="O811">_xlfn.LET(_xlpm.y,Clean_Data[[#This Row],[Year_Num]],_xlfn.IFS(_xlpm.y&lt;500,"Ancient",_xlpm.y&lt;1500,"Medieval",_xlpm.y&lt;1800,"Early Modern",_xlpm.y&lt;1946,"Modern",TRUE,"Contemporary"))</f>
        <v>Ancient</v>
      </c>
      <c r="P811" s="5" t="str">
        <f>_xlfn.XLOOKUP(Clean_Data[[#This Row],[Country]],country_region[Country],country_region[Country_Standard],"Not found")</f>
        <v>Italy</v>
      </c>
      <c r="Q811" s="5" t="str">
        <f>_xlfn.XLOOKUP(Clean_Data[[#This Row],[Country]],country_region[Country],country_region[Region],"Not found")</f>
        <v>Europe</v>
      </c>
      <c r="R811" s="5" t="str">
        <f>_xlfn.XLOOKUP(Clean_Data[[#This Row],[Type of Event]],event_type_category[Type of Event],event_type_category[Category],"Not found")</f>
        <v>War &amp; Conflict</v>
      </c>
    </row>
    <row r="812" spans="1:18">
      <c r="A812">
        <v>862</v>
      </c>
      <c r="B812" t="s">
        <v>3687</v>
      </c>
      <c r="C812" t="s">
        <v>230</v>
      </c>
      <c r="D812" t="s">
        <v>286</v>
      </c>
      <c r="E812" t="s">
        <v>3688</v>
      </c>
      <c r="F812" t="s">
        <v>3678</v>
      </c>
      <c r="G812" t="s">
        <v>3689</v>
      </c>
      <c r="H812" t="s">
        <v>3567</v>
      </c>
      <c r="I812" t="s">
        <v>3690</v>
      </c>
      <c r="J812" t="s">
        <v>3680</v>
      </c>
      <c r="K812" t="s">
        <v>3691</v>
      </c>
      <c r="L812" t="s">
        <v>54</v>
      </c>
      <c r="M812">
        <v>476</v>
      </c>
      <c r="N812" s="5">
        <f>ROUNDUP(Clean_Data[[#This Row],[Year_Num]]/100,0)</f>
        <v>5</v>
      </c>
      <c r="O812" s="5" t="str" cm="1">
        <f t="array" ref="O812">_xlfn.LET(_xlpm.y,Clean_Data[[#This Row],[Year_Num]],_xlfn.IFS(_xlpm.y&lt;500,"Ancient",_xlpm.y&lt;1500,"Medieval",_xlpm.y&lt;1800,"Early Modern",_xlpm.y&lt;1946,"Modern",TRUE,"Contemporary"))</f>
        <v>Ancient</v>
      </c>
      <c r="P812" s="5" t="str">
        <f>_xlfn.XLOOKUP(Clean_Data[[#This Row],[Country]],country_region[Country],country_region[Country_Standard],"Not found")</f>
        <v>Italy</v>
      </c>
      <c r="Q812" s="5" t="str">
        <f>_xlfn.XLOOKUP(Clean_Data[[#This Row],[Country]],country_region[Country],country_region[Region],"Not found")</f>
        <v>Europe</v>
      </c>
      <c r="R812" s="5" t="str">
        <f>_xlfn.XLOOKUP(Clean_Data[[#This Row],[Type of Event]],event_type_category[Type of Event],event_type_category[Category],"Not found")</f>
        <v>Independence &amp; Nation-Building</v>
      </c>
    </row>
    <row r="813" spans="1:18">
      <c r="A813">
        <v>863</v>
      </c>
      <c r="B813" t="s">
        <v>3692</v>
      </c>
      <c r="C813" t="s">
        <v>200</v>
      </c>
      <c r="D813" t="s">
        <v>66</v>
      </c>
      <c r="E813" t="s">
        <v>3565</v>
      </c>
      <c r="F813" t="s">
        <v>3678</v>
      </c>
      <c r="G813" t="s">
        <v>3566</v>
      </c>
      <c r="H813" t="s">
        <v>3567</v>
      </c>
      <c r="I813" t="s">
        <v>3568</v>
      </c>
      <c r="J813" t="s">
        <v>3555</v>
      </c>
      <c r="K813" t="s">
        <v>3569</v>
      </c>
      <c r="L813" t="s">
        <v>21</v>
      </c>
      <c r="M813">
        <v>800</v>
      </c>
      <c r="N813" s="5">
        <f>ROUNDUP(Clean_Data[[#This Row],[Year_Num]]/100,0)</f>
        <v>8</v>
      </c>
      <c r="O813" s="5" t="str" cm="1">
        <f t="array" ref="O813">_xlfn.LET(_xlpm.y,Clean_Data[[#This Row],[Year_Num]],_xlfn.IFS(_xlpm.y&lt;500,"Ancient",_xlpm.y&lt;1500,"Medieval",_xlpm.y&lt;1800,"Early Modern",_xlpm.y&lt;1946,"Modern",TRUE,"Contemporary"))</f>
        <v>Medieval</v>
      </c>
      <c r="P813" s="5" t="str">
        <f>_xlfn.XLOOKUP(Clean_Data[[#This Row],[Country]],country_region[Country],country_region[Country_Standard],"Not found")</f>
        <v>Italy</v>
      </c>
      <c r="Q813" s="5" t="str">
        <f>_xlfn.XLOOKUP(Clean_Data[[#This Row],[Country]],country_region[Country],country_region[Region],"Not found")</f>
        <v>Europe</v>
      </c>
      <c r="R813" s="5" t="str">
        <f>_xlfn.XLOOKUP(Clean_Data[[#This Row],[Type of Event]],event_type_category[Type of Event],event_type_category[Category],"Not found")</f>
        <v>Independence &amp; Nation-Building</v>
      </c>
    </row>
    <row r="814" spans="1:18">
      <c r="A814">
        <v>864</v>
      </c>
      <c r="B814" t="s">
        <v>3693</v>
      </c>
      <c r="C814" t="s">
        <v>522</v>
      </c>
      <c r="D814" t="s">
        <v>83</v>
      </c>
      <c r="E814" t="s">
        <v>3571</v>
      </c>
      <c r="F814" t="s">
        <v>3678</v>
      </c>
      <c r="G814" t="s">
        <v>3694</v>
      </c>
      <c r="H814" t="s">
        <v>3695</v>
      </c>
      <c r="I814" t="s">
        <v>3574</v>
      </c>
      <c r="J814" t="s">
        <v>3555</v>
      </c>
      <c r="K814" t="s">
        <v>3575</v>
      </c>
      <c r="L814" t="s">
        <v>21</v>
      </c>
      <c r="M814">
        <v>1095</v>
      </c>
      <c r="N814" s="5">
        <f>ROUNDUP(Clean_Data[[#This Row],[Year_Num]]/100,0)</f>
        <v>11</v>
      </c>
      <c r="O814" s="5" t="str" cm="1">
        <f t="array" ref="O814">_xlfn.LET(_xlpm.y,Clean_Data[[#This Row],[Year_Num]],_xlfn.IFS(_xlpm.y&lt;500,"Ancient",_xlpm.y&lt;1500,"Medieval",_xlpm.y&lt;1800,"Early Modern",_xlpm.y&lt;1946,"Modern",TRUE,"Contemporary"))</f>
        <v>Medieval</v>
      </c>
      <c r="P814" s="5" t="str">
        <f>_xlfn.XLOOKUP(Clean_Data[[#This Row],[Country]],country_region[Country],country_region[Country_Standard],"Not found")</f>
        <v>Italy</v>
      </c>
      <c r="Q814" s="5" t="str">
        <f>_xlfn.XLOOKUP(Clean_Data[[#This Row],[Country]],country_region[Country],country_region[Region],"Not found")</f>
        <v>Europe</v>
      </c>
      <c r="R814" s="5" t="str">
        <f>_xlfn.XLOOKUP(Clean_Data[[#This Row],[Type of Event]],event_type_category[Type of Event],event_type_category[Category],"Not found")</f>
        <v>War &amp; Conflict</v>
      </c>
    </row>
    <row r="815" spans="1:18">
      <c r="A815">
        <v>865</v>
      </c>
      <c r="B815" t="s">
        <v>3696</v>
      </c>
      <c r="C815" t="s">
        <v>240</v>
      </c>
      <c r="D815" t="s">
        <v>39</v>
      </c>
      <c r="E815" t="s">
        <v>3697</v>
      </c>
      <c r="F815" t="s">
        <v>3678</v>
      </c>
      <c r="G815" t="s">
        <v>3559</v>
      </c>
      <c r="H815" t="s">
        <v>3698</v>
      </c>
      <c r="I815" t="s">
        <v>5052</v>
      </c>
      <c r="J815" t="s">
        <v>5053</v>
      </c>
      <c r="K815" t="s">
        <v>3701</v>
      </c>
      <c r="L815" t="s">
        <v>21</v>
      </c>
      <c r="M815">
        <v>1454</v>
      </c>
      <c r="N815" s="5">
        <f>ROUNDUP(Clean_Data[[#This Row],[Year_Num]]/100,0)</f>
        <v>15</v>
      </c>
      <c r="O815" s="5" t="str" cm="1">
        <f t="array" ref="O815">_xlfn.LET(_xlpm.y,Clean_Data[[#This Row],[Year_Num]],_xlfn.IFS(_xlpm.y&lt;500,"Ancient",_xlpm.y&lt;1500,"Medieval",_xlpm.y&lt;1800,"Early Modern",_xlpm.y&lt;1946,"Modern",TRUE,"Contemporary"))</f>
        <v>Medieval</v>
      </c>
      <c r="P815" s="5" t="str">
        <f>_xlfn.XLOOKUP(Clean_Data[[#This Row],[Country]],country_region[Country],country_region[Country_Standard],"Not found")</f>
        <v>Italy</v>
      </c>
      <c r="Q815" s="5" t="str">
        <f>_xlfn.XLOOKUP(Clean_Data[[#This Row],[Country]],country_region[Country],country_region[Region],"Not found")</f>
        <v>Europe</v>
      </c>
      <c r="R815" s="5" t="str">
        <f>_xlfn.XLOOKUP(Clean_Data[[#This Row],[Type of Event]],event_type_category[Type of Event],event_type_category[Category],"Not found")</f>
        <v>Diplomacy &amp; International Relations</v>
      </c>
    </row>
    <row r="816" spans="1:18">
      <c r="A816">
        <v>866</v>
      </c>
      <c r="B816" t="s">
        <v>3702</v>
      </c>
      <c r="C816" t="s">
        <v>633</v>
      </c>
      <c r="D816" t="s">
        <v>47</v>
      </c>
      <c r="E816" t="s">
        <v>3588</v>
      </c>
      <c r="F816" t="s">
        <v>3678</v>
      </c>
      <c r="G816" t="s">
        <v>3703</v>
      </c>
      <c r="H816" t="s">
        <v>3704</v>
      </c>
      <c r="I816" t="s">
        <v>3705</v>
      </c>
      <c r="J816" t="s">
        <v>5053</v>
      </c>
      <c r="K816" t="s">
        <v>2146</v>
      </c>
      <c r="L816" t="s">
        <v>36</v>
      </c>
      <c r="M816">
        <v>1453</v>
      </c>
      <c r="N816" s="5">
        <f>ROUNDUP(Clean_Data[[#This Row],[Year_Num]]/100,0)</f>
        <v>15</v>
      </c>
      <c r="O816" s="5" t="str" cm="1">
        <f t="array" ref="O816">_xlfn.LET(_xlpm.y,Clean_Data[[#This Row],[Year_Num]],_xlfn.IFS(_xlpm.y&lt;500,"Ancient",_xlpm.y&lt;1500,"Medieval",_xlpm.y&lt;1800,"Early Modern",_xlpm.y&lt;1946,"Modern",TRUE,"Contemporary"))</f>
        <v>Medieval</v>
      </c>
      <c r="P816" s="5" t="str">
        <f>_xlfn.XLOOKUP(Clean_Data[[#This Row],[Country]],country_region[Country],country_region[Country_Standard],"Not found")</f>
        <v>Italy</v>
      </c>
      <c r="Q816" s="5" t="str">
        <f>_xlfn.XLOOKUP(Clean_Data[[#This Row],[Country]],country_region[Country],country_region[Region],"Not found")</f>
        <v>Europe</v>
      </c>
      <c r="R816" s="5" t="str">
        <f>_xlfn.XLOOKUP(Clean_Data[[#This Row],[Type of Event]],event_type_category[Type of Event],event_type_category[Category],"Not found")</f>
        <v>War &amp; Conflict</v>
      </c>
    </row>
    <row r="817" spans="1:18">
      <c r="A817">
        <v>867</v>
      </c>
      <c r="B817" t="s">
        <v>3706</v>
      </c>
      <c r="E817" t="s">
        <v>3707</v>
      </c>
      <c r="F817" t="s">
        <v>3678</v>
      </c>
      <c r="G817" t="s">
        <v>3708</v>
      </c>
      <c r="H817" t="s">
        <v>3709</v>
      </c>
      <c r="I817" t="s">
        <v>3710</v>
      </c>
      <c r="J817" t="s">
        <v>753</v>
      </c>
      <c r="K817" t="s">
        <v>3711</v>
      </c>
      <c r="L817" t="s">
        <v>21</v>
      </c>
      <c r="M817">
        <v>1503</v>
      </c>
      <c r="N817" s="5">
        <f>ROUNDUP(Clean_Data[[#This Row],[Year_Num]]/100,0)</f>
        <v>16</v>
      </c>
      <c r="O817" s="5" t="str" cm="1">
        <f t="array" ref="O817">_xlfn.LET(_xlpm.y,Clean_Data[[#This Row],[Year_Num]],_xlfn.IFS(_xlpm.y&lt;500,"Ancient",_xlpm.y&lt;1500,"Medieval",_xlpm.y&lt;1800,"Early Modern",_xlpm.y&lt;1946,"Modern",TRUE,"Contemporary"))</f>
        <v>Early Modern</v>
      </c>
      <c r="P817" s="5" t="str">
        <f>_xlfn.XLOOKUP(Clean_Data[[#This Row],[Country]],country_region[Country],country_region[Country_Standard],"Not found")</f>
        <v>Italy</v>
      </c>
      <c r="Q817" s="5" t="str">
        <f>_xlfn.XLOOKUP(Clean_Data[[#This Row],[Country]],country_region[Country],country_region[Region],"Not found")</f>
        <v>Europe</v>
      </c>
      <c r="R817" s="5" t="str">
        <f>_xlfn.XLOOKUP(Clean_Data[[#This Row],[Type of Event]],event_type_category[Type of Event],event_type_category[Category],"Not found")</f>
        <v>Culture, Religion &amp; Sport</v>
      </c>
    </row>
    <row r="818" spans="1:18">
      <c r="A818">
        <v>868</v>
      </c>
      <c r="B818" t="s">
        <v>3712</v>
      </c>
      <c r="C818" t="s">
        <v>321</v>
      </c>
      <c r="D818" t="s">
        <v>47</v>
      </c>
      <c r="E818" t="s">
        <v>3713</v>
      </c>
      <c r="F818" t="s">
        <v>3678</v>
      </c>
      <c r="G818" t="s">
        <v>3714</v>
      </c>
      <c r="H818" t="s">
        <v>3567</v>
      </c>
      <c r="I818" t="s">
        <v>3715</v>
      </c>
      <c r="J818" t="s">
        <v>3680</v>
      </c>
      <c r="K818" t="s">
        <v>3716</v>
      </c>
      <c r="L818" t="s">
        <v>54</v>
      </c>
      <c r="M818">
        <v>1527</v>
      </c>
      <c r="N818" s="5">
        <f>ROUNDUP(Clean_Data[[#This Row],[Year_Num]]/100,0)</f>
        <v>16</v>
      </c>
      <c r="O818" s="5" t="str" cm="1">
        <f t="array" ref="O818">_xlfn.LET(_xlpm.y,Clean_Data[[#This Row],[Year_Num]],_xlfn.IFS(_xlpm.y&lt;500,"Ancient",_xlpm.y&lt;1500,"Medieval",_xlpm.y&lt;1800,"Early Modern",_xlpm.y&lt;1946,"Modern",TRUE,"Contemporary"))</f>
        <v>Early Modern</v>
      </c>
      <c r="P818" s="5" t="str">
        <f>_xlfn.XLOOKUP(Clean_Data[[#This Row],[Country]],country_region[Country],country_region[Country_Standard],"Not found")</f>
        <v>Italy</v>
      </c>
      <c r="Q818" s="5" t="str">
        <f>_xlfn.XLOOKUP(Clean_Data[[#This Row],[Country]],country_region[Country],country_region[Region],"Not found")</f>
        <v>Europe</v>
      </c>
      <c r="R818" s="5" t="str">
        <f>_xlfn.XLOOKUP(Clean_Data[[#This Row],[Type of Event]],event_type_category[Type of Event],event_type_category[Category],"Not found")</f>
        <v>War &amp; Conflict</v>
      </c>
    </row>
    <row r="819" spans="1:18">
      <c r="A819">
        <v>869</v>
      </c>
      <c r="B819" t="s">
        <v>3717</v>
      </c>
      <c r="C819" t="s">
        <v>200</v>
      </c>
      <c r="D819" t="s">
        <v>57</v>
      </c>
      <c r="E819" t="s">
        <v>3718</v>
      </c>
      <c r="F819" t="s">
        <v>3678</v>
      </c>
      <c r="G819" t="s">
        <v>3719</v>
      </c>
      <c r="H819" t="s">
        <v>3720</v>
      </c>
      <c r="I819" t="s">
        <v>3721</v>
      </c>
      <c r="J819" t="s">
        <v>328</v>
      </c>
      <c r="K819" t="s">
        <v>3722</v>
      </c>
      <c r="L819" t="s">
        <v>21</v>
      </c>
      <c r="M819">
        <v>1609</v>
      </c>
      <c r="N819" s="5">
        <f>ROUNDUP(Clean_Data[[#This Row],[Year_Num]]/100,0)</f>
        <v>17</v>
      </c>
      <c r="O819" s="5" t="str" cm="1">
        <f t="array" ref="O819">_xlfn.LET(_xlpm.y,Clean_Data[[#This Row],[Year_Num]],_xlfn.IFS(_xlpm.y&lt;500,"Ancient",_xlpm.y&lt;1500,"Medieval",_xlpm.y&lt;1800,"Early Modern",_xlpm.y&lt;1946,"Modern",TRUE,"Contemporary"))</f>
        <v>Early Modern</v>
      </c>
      <c r="P819" s="5" t="str">
        <f>_xlfn.XLOOKUP(Clean_Data[[#This Row],[Country]],country_region[Country],country_region[Country_Standard],"Not found")</f>
        <v>Italy</v>
      </c>
      <c r="Q819" s="5" t="str">
        <f>_xlfn.XLOOKUP(Clean_Data[[#This Row],[Country]],country_region[Country],country_region[Region],"Not found")</f>
        <v>Europe</v>
      </c>
      <c r="R819" s="5" t="str">
        <f>_xlfn.XLOOKUP(Clean_Data[[#This Row],[Type of Event]],event_type_category[Type of Event],event_type_category[Category],"Not found")</f>
        <v>Science, Technology &amp; Exploration</v>
      </c>
    </row>
    <row r="820" spans="1:18">
      <c r="A820">
        <v>870</v>
      </c>
      <c r="B820" t="s">
        <v>3723</v>
      </c>
      <c r="C820" t="s">
        <v>74</v>
      </c>
      <c r="D820" t="s">
        <v>39</v>
      </c>
      <c r="E820" t="s">
        <v>3724</v>
      </c>
      <c r="F820" t="s">
        <v>3678</v>
      </c>
      <c r="G820" t="s">
        <v>3559</v>
      </c>
      <c r="H820" t="s">
        <v>3725</v>
      </c>
      <c r="I820" t="s">
        <v>3726</v>
      </c>
      <c r="J820" t="s">
        <v>3727</v>
      </c>
      <c r="K820" t="s">
        <v>3728</v>
      </c>
      <c r="L820" t="s">
        <v>36</v>
      </c>
      <c r="M820">
        <v>1713</v>
      </c>
      <c r="N820" s="5">
        <f>ROUNDUP(Clean_Data[[#This Row],[Year_Num]]/100,0)</f>
        <v>18</v>
      </c>
      <c r="O820" s="5" t="str" cm="1">
        <f t="array" ref="O820">_xlfn.LET(_xlpm.y,Clean_Data[[#This Row],[Year_Num]],_xlfn.IFS(_xlpm.y&lt;500,"Ancient",_xlpm.y&lt;1500,"Medieval",_xlpm.y&lt;1800,"Early Modern",_xlpm.y&lt;1946,"Modern",TRUE,"Contemporary"))</f>
        <v>Early Modern</v>
      </c>
      <c r="P820" s="5" t="str">
        <f>_xlfn.XLOOKUP(Clean_Data[[#This Row],[Country]],country_region[Country],country_region[Country_Standard],"Not found")</f>
        <v>Italy</v>
      </c>
      <c r="Q820" s="5" t="str">
        <f>_xlfn.XLOOKUP(Clean_Data[[#This Row],[Country]],country_region[Country],country_region[Region],"Not found")</f>
        <v>Europe</v>
      </c>
      <c r="R820" s="5" t="str">
        <f>_xlfn.XLOOKUP(Clean_Data[[#This Row],[Type of Event]],event_type_category[Type of Event],event_type_category[Category],"Not found")</f>
        <v>Diplomacy &amp; International Relations</v>
      </c>
    </row>
    <row r="821" spans="1:18">
      <c r="A821">
        <v>871</v>
      </c>
      <c r="B821" t="s">
        <v>3729</v>
      </c>
      <c r="C821" t="s">
        <v>1129</v>
      </c>
      <c r="D821" t="s">
        <v>267</v>
      </c>
      <c r="E821" t="s">
        <v>1671</v>
      </c>
      <c r="F821" t="s">
        <v>3678</v>
      </c>
      <c r="G821" t="s">
        <v>3730</v>
      </c>
      <c r="H821" t="s">
        <v>3731</v>
      </c>
      <c r="I821" t="s">
        <v>3732</v>
      </c>
      <c r="J821" t="s">
        <v>3733</v>
      </c>
      <c r="K821" t="s">
        <v>3734</v>
      </c>
      <c r="L821" t="s">
        <v>21</v>
      </c>
      <c r="M821">
        <v>1861</v>
      </c>
      <c r="N821" s="5">
        <f>ROUNDUP(Clean_Data[[#This Row],[Year_Num]]/100,0)</f>
        <v>19</v>
      </c>
      <c r="O821" s="5" t="str" cm="1">
        <f t="array" ref="O821">_xlfn.LET(_xlpm.y,Clean_Data[[#This Row],[Year_Num]],_xlfn.IFS(_xlpm.y&lt;500,"Ancient",_xlpm.y&lt;1500,"Medieval",_xlpm.y&lt;1800,"Early Modern",_xlpm.y&lt;1946,"Modern",TRUE,"Contemporary"))</f>
        <v>Modern</v>
      </c>
      <c r="P821" s="5" t="str">
        <f>_xlfn.XLOOKUP(Clean_Data[[#This Row],[Country]],country_region[Country],country_region[Country_Standard],"Not found")</f>
        <v>Italy</v>
      </c>
      <c r="Q821" s="5" t="str">
        <f>_xlfn.XLOOKUP(Clean_Data[[#This Row],[Country]],country_region[Country],country_region[Region],"Not found")</f>
        <v>Europe</v>
      </c>
      <c r="R821" s="5" t="str">
        <f>_xlfn.XLOOKUP(Clean_Data[[#This Row],[Type of Event]],event_type_category[Type of Event],event_type_category[Category],"Not found")</f>
        <v>Independence &amp; Nation-Building</v>
      </c>
    </row>
    <row r="822" spans="1:18">
      <c r="A822">
        <v>872</v>
      </c>
      <c r="B822" t="s">
        <v>3735</v>
      </c>
      <c r="C822" t="s">
        <v>362</v>
      </c>
      <c r="D822" t="s">
        <v>158</v>
      </c>
      <c r="E822" t="s">
        <v>387</v>
      </c>
      <c r="F822" t="s">
        <v>3678</v>
      </c>
      <c r="G822" t="s">
        <v>3736</v>
      </c>
      <c r="H822" t="s">
        <v>3567</v>
      </c>
      <c r="I822" t="s">
        <v>3737</v>
      </c>
      <c r="J822" t="s">
        <v>3733</v>
      </c>
      <c r="K822" t="s">
        <v>3738</v>
      </c>
      <c r="L822" t="s">
        <v>54</v>
      </c>
      <c r="M822">
        <v>1922</v>
      </c>
      <c r="N822" s="5">
        <f>ROUNDUP(Clean_Data[[#This Row],[Year_Num]]/100,0)</f>
        <v>20</v>
      </c>
      <c r="O822" s="5" t="str" cm="1">
        <f t="array" ref="O822">_xlfn.LET(_xlpm.y,Clean_Data[[#This Row],[Year_Num]],_xlfn.IFS(_xlpm.y&lt;500,"Ancient",_xlpm.y&lt;1500,"Medieval",_xlpm.y&lt;1800,"Early Modern",_xlpm.y&lt;1946,"Modern",TRUE,"Contemporary"))</f>
        <v>Modern</v>
      </c>
      <c r="P822" s="5" t="str">
        <f>_xlfn.XLOOKUP(Clean_Data[[#This Row],[Country]],country_region[Country],country_region[Country_Standard],"Not found")</f>
        <v>Italy</v>
      </c>
      <c r="Q822" s="5" t="str">
        <f>_xlfn.XLOOKUP(Clean_Data[[#This Row],[Country]],country_region[Country],country_region[Region],"Not found")</f>
        <v>Europe</v>
      </c>
      <c r="R822" s="5" t="str">
        <f>_xlfn.XLOOKUP(Clean_Data[[#This Row],[Type of Event]],event_type_category[Type of Event],event_type_category[Category],"Not found")</f>
        <v>War &amp; Conflict</v>
      </c>
    </row>
    <row r="823" spans="1:18">
      <c r="A823">
        <v>873</v>
      </c>
      <c r="B823" t="s">
        <v>3739</v>
      </c>
      <c r="C823" t="s">
        <v>74</v>
      </c>
      <c r="D823" t="s">
        <v>173</v>
      </c>
      <c r="E823" t="s">
        <v>1109</v>
      </c>
      <c r="F823" t="s">
        <v>3678</v>
      </c>
      <c r="G823" t="s">
        <v>3559</v>
      </c>
      <c r="H823" t="s">
        <v>3567</v>
      </c>
      <c r="I823" t="s">
        <v>3740</v>
      </c>
      <c r="J823" t="s">
        <v>3741</v>
      </c>
      <c r="K823" t="s">
        <v>3742</v>
      </c>
      <c r="L823" t="s">
        <v>21</v>
      </c>
      <c r="M823">
        <v>1929</v>
      </c>
      <c r="N823" s="5">
        <f>ROUNDUP(Clean_Data[[#This Row],[Year_Num]]/100,0)</f>
        <v>20</v>
      </c>
      <c r="O823" s="5" t="str" cm="1">
        <f t="array" ref="O823">_xlfn.LET(_xlpm.y,Clean_Data[[#This Row],[Year_Num]],_xlfn.IFS(_xlpm.y&lt;500,"Ancient",_xlpm.y&lt;1500,"Medieval",_xlpm.y&lt;1800,"Early Modern",_xlpm.y&lt;1946,"Modern",TRUE,"Contemporary"))</f>
        <v>Modern</v>
      </c>
      <c r="P823" s="5" t="str">
        <f>_xlfn.XLOOKUP(Clean_Data[[#This Row],[Country]],country_region[Country],country_region[Country_Standard],"Not found")</f>
        <v>Italy</v>
      </c>
      <c r="Q823" s="5" t="str">
        <f>_xlfn.XLOOKUP(Clean_Data[[#This Row],[Country]],country_region[Country],country_region[Region],"Not found")</f>
        <v>Europe</v>
      </c>
      <c r="R823" s="5" t="str">
        <f>_xlfn.XLOOKUP(Clean_Data[[#This Row],[Type of Event]],event_type_category[Type of Event],event_type_category[Category],"Not found")</f>
        <v>Diplomacy &amp; International Relations</v>
      </c>
    </row>
    <row r="824" spans="1:18">
      <c r="A824">
        <v>874</v>
      </c>
      <c r="B824" t="s">
        <v>3743</v>
      </c>
      <c r="C824" t="s">
        <v>107</v>
      </c>
      <c r="D824" t="s">
        <v>100</v>
      </c>
      <c r="E824" t="s">
        <v>571</v>
      </c>
      <c r="F824" t="s">
        <v>3678</v>
      </c>
      <c r="G824" t="s">
        <v>3744</v>
      </c>
      <c r="H824" t="s">
        <v>433</v>
      </c>
      <c r="I824" t="s">
        <v>3745</v>
      </c>
      <c r="J824" t="s">
        <v>3733</v>
      </c>
      <c r="K824" t="s">
        <v>3738</v>
      </c>
      <c r="L824" t="s">
        <v>54</v>
      </c>
      <c r="M824">
        <v>1940</v>
      </c>
      <c r="N824" s="5">
        <f>ROUNDUP(Clean_Data[[#This Row],[Year_Num]]/100,0)</f>
        <v>20</v>
      </c>
      <c r="O824" s="5" t="str" cm="1">
        <f t="array" ref="O824">_xlfn.LET(_xlpm.y,Clean_Data[[#This Row],[Year_Num]],_xlfn.IFS(_xlpm.y&lt;500,"Ancient",_xlpm.y&lt;1500,"Medieval",_xlpm.y&lt;1800,"Early Modern",_xlpm.y&lt;1946,"Modern",TRUE,"Contemporary"))</f>
        <v>Modern</v>
      </c>
      <c r="P824" s="5" t="str">
        <f>_xlfn.XLOOKUP(Clean_Data[[#This Row],[Country]],country_region[Country],country_region[Country_Standard],"Not found")</f>
        <v>Italy</v>
      </c>
      <c r="Q824" s="5" t="str">
        <f>_xlfn.XLOOKUP(Clean_Data[[#This Row],[Country]],country_region[Country],country_region[Region],"Not found")</f>
        <v>Europe</v>
      </c>
      <c r="R824" s="5" t="str">
        <f>_xlfn.XLOOKUP(Clean_Data[[#This Row],[Type of Event]],event_type_category[Type of Event],event_type_category[Category],"Not found")</f>
        <v>War &amp; Conflict</v>
      </c>
    </row>
    <row r="825" spans="1:18">
      <c r="A825">
        <v>875</v>
      </c>
      <c r="B825" t="s">
        <v>3746</v>
      </c>
      <c r="C825" t="s">
        <v>200</v>
      </c>
      <c r="D825" t="s">
        <v>211</v>
      </c>
      <c r="E825" t="s">
        <v>422</v>
      </c>
      <c r="F825" t="s">
        <v>3678</v>
      </c>
      <c r="G825" t="s">
        <v>1712</v>
      </c>
      <c r="H825" t="s">
        <v>3567</v>
      </c>
      <c r="I825" t="s">
        <v>3747</v>
      </c>
      <c r="J825" t="s">
        <v>3733</v>
      </c>
      <c r="K825" t="s">
        <v>3748</v>
      </c>
      <c r="L825" t="s">
        <v>54</v>
      </c>
      <c r="M825">
        <v>1943</v>
      </c>
      <c r="N825" s="5">
        <f>ROUNDUP(Clean_Data[[#This Row],[Year_Num]]/100,0)</f>
        <v>20</v>
      </c>
      <c r="O825" s="5" t="str" cm="1">
        <f t="array" ref="O825">_xlfn.LET(_xlpm.y,Clean_Data[[#This Row],[Year_Num]],_xlfn.IFS(_xlpm.y&lt;500,"Ancient",_xlpm.y&lt;1500,"Medieval",_xlpm.y&lt;1800,"Early Modern",_xlpm.y&lt;1946,"Modern",TRUE,"Contemporary"))</f>
        <v>Modern</v>
      </c>
      <c r="P825" s="5" t="str">
        <f>_xlfn.XLOOKUP(Clean_Data[[#This Row],[Country]],country_region[Country],country_region[Country_Standard],"Not found")</f>
        <v>Italy</v>
      </c>
      <c r="Q825" s="5" t="str">
        <f>_xlfn.XLOOKUP(Clean_Data[[#This Row],[Country]],country_region[Country],country_region[Region],"Not found")</f>
        <v>Europe</v>
      </c>
      <c r="R825" s="5" t="str">
        <f>_xlfn.XLOOKUP(Clean_Data[[#This Row],[Type of Event]],event_type_category[Type of Event],event_type_category[Category],"Not found")</f>
        <v>Politics &amp; Law</v>
      </c>
    </row>
    <row r="826" spans="1:18">
      <c r="A826">
        <v>876</v>
      </c>
      <c r="B826" t="s">
        <v>3749</v>
      </c>
      <c r="C826" t="s">
        <v>331</v>
      </c>
      <c r="D826" t="s">
        <v>100</v>
      </c>
      <c r="E826" t="s">
        <v>2126</v>
      </c>
      <c r="F826" t="s">
        <v>3678</v>
      </c>
      <c r="G826" t="s">
        <v>3750</v>
      </c>
      <c r="H826" t="s">
        <v>3567</v>
      </c>
      <c r="I826" t="s">
        <v>3751</v>
      </c>
      <c r="J826" t="s">
        <v>3733</v>
      </c>
      <c r="K826" t="s">
        <v>3752</v>
      </c>
      <c r="L826" t="s">
        <v>21</v>
      </c>
      <c r="M826">
        <v>1946</v>
      </c>
      <c r="N826" s="5">
        <f>ROUNDUP(Clean_Data[[#This Row],[Year_Num]]/100,0)</f>
        <v>20</v>
      </c>
      <c r="O826" s="5" t="str" cm="1">
        <f t="array" ref="O826">_xlfn.LET(_xlpm.y,Clean_Data[[#This Row],[Year_Num]],_xlfn.IFS(_xlpm.y&lt;500,"Ancient",_xlpm.y&lt;1500,"Medieval",_xlpm.y&lt;1800,"Early Modern",_xlpm.y&lt;1946,"Modern",TRUE,"Contemporary"))</f>
        <v>Contemporary</v>
      </c>
      <c r="P826" s="5" t="str">
        <f>_xlfn.XLOOKUP(Clean_Data[[#This Row],[Country]],country_region[Country],country_region[Country_Standard],"Not found")</f>
        <v>Italy</v>
      </c>
      <c r="Q826" s="5" t="str">
        <f>_xlfn.XLOOKUP(Clean_Data[[#This Row],[Country]],country_region[Country],country_region[Region],"Not found")</f>
        <v>Europe</v>
      </c>
      <c r="R826" s="5" t="str">
        <f>_xlfn.XLOOKUP(Clean_Data[[#This Row],[Type of Event]],event_type_category[Type of Event],event_type_category[Category],"Not found")</f>
        <v>Politics &amp; Law</v>
      </c>
    </row>
    <row r="827" spans="1:18">
      <c r="A827">
        <v>877</v>
      </c>
      <c r="B827" t="s">
        <v>3664</v>
      </c>
      <c r="C827" t="s">
        <v>200</v>
      </c>
      <c r="D827" t="s">
        <v>267</v>
      </c>
      <c r="E827" t="s">
        <v>1150</v>
      </c>
      <c r="F827" t="s">
        <v>3678</v>
      </c>
      <c r="G827" t="s">
        <v>3559</v>
      </c>
      <c r="H827" t="s">
        <v>3567</v>
      </c>
      <c r="I827" t="s">
        <v>3753</v>
      </c>
      <c r="J827" t="s">
        <v>3666</v>
      </c>
      <c r="K827" t="s">
        <v>3754</v>
      </c>
      <c r="L827" t="s">
        <v>21</v>
      </c>
      <c r="M827">
        <v>1957</v>
      </c>
      <c r="N827" s="5">
        <f>ROUNDUP(Clean_Data[[#This Row],[Year_Num]]/100,0)</f>
        <v>20</v>
      </c>
      <c r="O827" s="5" t="str" cm="1">
        <f t="array" ref="O827">_xlfn.LET(_xlpm.y,Clean_Data[[#This Row],[Year_Num]],_xlfn.IFS(_xlpm.y&lt;500,"Ancient",_xlpm.y&lt;1500,"Medieval",_xlpm.y&lt;1800,"Early Modern",_xlpm.y&lt;1946,"Modern",TRUE,"Contemporary"))</f>
        <v>Contemporary</v>
      </c>
      <c r="P827" s="5" t="str">
        <f>_xlfn.XLOOKUP(Clean_Data[[#This Row],[Country]],country_region[Country],country_region[Country_Standard],"Not found")</f>
        <v>Italy</v>
      </c>
      <c r="Q827" s="5" t="str">
        <f>_xlfn.XLOOKUP(Clean_Data[[#This Row],[Country]],country_region[Country],country_region[Region],"Not found")</f>
        <v>Europe</v>
      </c>
      <c r="R827" s="5" t="str">
        <f>_xlfn.XLOOKUP(Clean_Data[[#This Row],[Type of Event]],event_type_category[Type of Event],event_type_category[Category],"Not found")</f>
        <v>Diplomacy &amp; International Relations</v>
      </c>
    </row>
    <row r="828" spans="1:18">
      <c r="A828">
        <v>878</v>
      </c>
      <c r="B828" t="s">
        <v>3755</v>
      </c>
      <c r="C828" t="s">
        <v>230</v>
      </c>
      <c r="D828" t="s">
        <v>83</v>
      </c>
      <c r="E828" t="s">
        <v>818</v>
      </c>
      <c r="F828" t="s">
        <v>3678</v>
      </c>
      <c r="G828" t="s">
        <v>280</v>
      </c>
      <c r="H828" t="s">
        <v>3709</v>
      </c>
      <c r="I828" t="s">
        <v>3756</v>
      </c>
      <c r="J828" t="s">
        <v>3757</v>
      </c>
      <c r="K828" t="s">
        <v>3758</v>
      </c>
      <c r="L828" t="s">
        <v>54</v>
      </c>
      <c r="M828">
        <v>1966</v>
      </c>
      <c r="N828" s="5">
        <f>ROUNDUP(Clean_Data[[#This Row],[Year_Num]]/100,0)</f>
        <v>20</v>
      </c>
      <c r="O828" s="5" t="str" cm="1">
        <f t="array" ref="O828">_xlfn.LET(_xlpm.y,Clean_Data[[#This Row],[Year_Num]],_xlfn.IFS(_xlpm.y&lt;500,"Ancient",_xlpm.y&lt;1500,"Medieval",_xlpm.y&lt;1800,"Early Modern",_xlpm.y&lt;1946,"Modern",TRUE,"Contemporary"))</f>
        <v>Contemporary</v>
      </c>
      <c r="P828" s="5" t="str">
        <f>_xlfn.XLOOKUP(Clean_Data[[#This Row],[Country]],country_region[Country],country_region[Country_Standard],"Not found")</f>
        <v>Italy</v>
      </c>
      <c r="Q828" s="5" t="str">
        <f>_xlfn.XLOOKUP(Clean_Data[[#This Row],[Country]],country_region[Country],country_region[Region],"Not found")</f>
        <v>Europe</v>
      </c>
      <c r="R828" s="5" t="str">
        <f>_xlfn.XLOOKUP(Clean_Data[[#This Row],[Type of Event]],event_type_category[Type of Event],event_type_category[Category],"Not found")</f>
        <v>Disasters &amp; Accidents</v>
      </c>
    </row>
    <row r="829" spans="1:18">
      <c r="A829">
        <v>879</v>
      </c>
      <c r="B829" t="s">
        <v>3759</v>
      </c>
      <c r="C829" t="s">
        <v>150</v>
      </c>
      <c r="D829" t="s">
        <v>267</v>
      </c>
      <c r="E829" t="s">
        <v>713</v>
      </c>
      <c r="F829" t="s">
        <v>3678</v>
      </c>
      <c r="G829" t="s">
        <v>85</v>
      </c>
      <c r="H829" t="s">
        <v>3567</v>
      </c>
      <c r="I829" t="s">
        <v>3760</v>
      </c>
      <c r="J829" t="s">
        <v>3733</v>
      </c>
      <c r="K829" t="s">
        <v>3761</v>
      </c>
      <c r="L829" t="s">
        <v>54</v>
      </c>
      <c r="M829">
        <v>1978</v>
      </c>
      <c r="N829" s="5">
        <f>ROUNDUP(Clean_Data[[#This Row],[Year_Num]]/100,0)</f>
        <v>20</v>
      </c>
      <c r="O829" s="5" t="str" cm="1">
        <f t="array" ref="O829">_xlfn.LET(_xlpm.y,Clean_Data[[#This Row],[Year_Num]],_xlfn.IFS(_xlpm.y&lt;500,"Ancient",_xlpm.y&lt;1500,"Medieval",_xlpm.y&lt;1800,"Early Modern",_xlpm.y&lt;1946,"Modern",TRUE,"Contemporary"))</f>
        <v>Contemporary</v>
      </c>
      <c r="P829" s="5" t="str">
        <f>_xlfn.XLOOKUP(Clean_Data[[#This Row],[Country]],country_region[Country],country_region[Country_Standard],"Not found")</f>
        <v>Italy</v>
      </c>
      <c r="Q829" s="5" t="str">
        <f>_xlfn.XLOOKUP(Clean_Data[[#This Row],[Country]],country_region[Country],country_region[Region],"Not found")</f>
        <v>Europe</v>
      </c>
      <c r="R829" s="5" t="str">
        <f>_xlfn.XLOOKUP(Clean_Data[[#This Row],[Type of Event]],event_type_category[Type of Event],event_type_category[Category],"Not found")</f>
        <v>War &amp; Conflict</v>
      </c>
    </row>
    <row r="830" spans="1:18">
      <c r="A830">
        <v>880</v>
      </c>
      <c r="B830" t="s">
        <v>3762</v>
      </c>
      <c r="C830" t="s">
        <v>1129</v>
      </c>
      <c r="D830" t="s">
        <v>173</v>
      </c>
      <c r="E830" t="s">
        <v>893</v>
      </c>
      <c r="F830" t="s">
        <v>3678</v>
      </c>
      <c r="G830" t="s">
        <v>3763</v>
      </c>
      <c r="H830" t="s">
        <v>3764</v>
      </c>
      <c r="I830" t="s">
        <v>3765</v>
      </c>
      <c r="J830" t="s">
        <v>3766</v>
      </c>
      <c r="K830" t="s">
        <v>3767</v>
      </c>
      <c r="L830" t="s">
        <v>21</v>
      </c>
      <c r="M830">
        <v>1992</v>
      </c>
      <c r="N830" s="5">
        <f>ROUNDUP(Clean_Data[[#This Row],[Year_Num]]/100,0)</f>
        <v>20</v>
      </c>
      <c r="O830" s="5" t="str" cm="1">
        <f t="array" ref="O830">_xlfn.LET(_xlpm.y,Clean_Data[[#This Row],[Year_Num]],_xlfn.IFS(_xlpm.y&lt;500,"Ancient",_xlpm.y&lt;1500,"Medieval",_xlpm.y&lt;1800,"Early Modern",_xlpm.y&lt;1946,"Modern",TRUE,"Contemporary"))</f>
        <v>Contemporary</v>
      </c>
      <c r="P830" s="5" t="str">
        <f>_xlfn.XLOOKUP(Clean_Data[[#This Row],[Country]],country_region[Country],country_region[Country_Standard],"Not found")</f>
        <v>Italy</v>
      </c>
      <c r="Q830" s="5" t="str">
        <f>_xlfn.XLOOKUP(Clean_Data[[#This Row],[Country]],country_region[Country],country_region[Region],"Not found")</f>
        <v>Europe</v>
      </c>
      <c r="R830" s="5" t="str">
        <f>_xlfn.XLOOKUP(Clean_Data[[#This Row],[Type of Event]],event_type_category[Type of Event],event_type_category[Category],"Not found")</f>
        <v>Politics &amp; Law</v>
      </c>
    </row>
    <row r="831" spans="1:18">
      <c r="A831">
        <v>881</v>
      </c>
      <c r="B831" t="s">
        <v>3768</v>
      </c>
      <c r="C831" t="s">
        <v>522</v>
      </c>
      <c r="D831" t="s">
        <v>267</v>
      </c>
      <c r="E831" t="s">
        <v>1917</v>
      </c>
      <c r="F831" t="s">
        <v>3678</v>
      </c>
      <c r="G831" t="s">
        <v>1712</v>
      </c>
      <c r="H831" t="s">
        <v>3567</v>
      </c>
      <c r="I831" t="s">
        <v>3769</v>
      </c>
      <c r="J831" t="s">
        <v>3733</v>
      </c>
      <c r="K831" t="s">
        <v>3770</v>
      </c>
      <c r="L831" t="s">
        <v>36</v>
      </c>
      <c r="M831">
        <v>1994</v>
      </c>
      <c r="N831" s="5">
        <f>ROUNDUP(Clean_Data[[#This Row],[Year_Num]]/100,0)</f>
        <v>20</v>
      </c>
      <c r="O831" s="5" t="str" cm="1">
        <f t="array" ref="O831">_xlfn.LET(_xlpm.y,Clean_Data[[#This Row],[Year_Num]],_xlfn.IFS(_xlpm.y&lt;500,"Ancient",_xlpm.y&lt;1500,"Medieval",_xlpm.y&lt;1800,"Early Modern",_xlpm.y&lt;1946,"Modern",TRUE,"Contemporary"))</f>
        <v>Contemporary</v>
      </c>
      <c r="P831" s="5" t="str">
        <f>_xlfn.XLOOKUP(Clean_Data[[#This Row],[Country]],country_region[Country],country_region[Country_Standard],"Not found")</f>
        <v>Italy</v>
      </c>
      <c r="Q831" s="5" t="str">
        <f>_xlfn.XLOOKUP(Clean_Data[[#This Row],[Country]],country_region[Country],country_region[Region],"Not found")</f>
        <v>Europe</v>
      </c>
      <c r="R831" s="5" t="str">
        <f>_xlfn.XLOOKUP(Clean_Data[[#This Row],[Type of Event]],event_type_category[Type of Event],event_type_category[Category],"Not found")</f>
        <v>Politics &amp; Law</v>
      </c>
    </row>
    <row r="832" spans="1:18">
      <c r="A832">
        <v>882</v>
      </c>
      <c r="B832" t="s">
        <v>3771</v>
      </c>
      <c r="C832" t="s">
        <v>107</v>
      </c>
      <c r="D832" t="s">
        <v>173</v>
      </c>
      <c r="E832" t="s">
        <v>603</v>
      </c>
      <c r="F832" t="s">
        <v>3678</v>
      </c>
      <c r="G832" t="s">
        <v>3429</v>
      </c>
      <c r="H832" t="s">
        <v>3731</v>
      </c>
      <c r="I832" t="s">
        <v>3772</v>
      </c>
      <c r="J832" t="s">
        <v>3773</v>
      </c>
      <c r="K832" t="s">
        <v>3432</v>
      </c>
      <c r="L832" t="s">
        <v>21</v>
      </c>
      <c r="M832">
        <v>2006</v>
      </c>
      <c r="N832" s="5">
        <f>ROUNDUP(Clean_Data[[#This Row],[Year_Num]]/100,0)</f>
        <v>21</v>
      </c>
      <c r="O832" s="5" t="str" cm="1">
        <f t="array" ref="O832">_xlfn.LET(_xlpm.y,Clean_Data[[#This Row],[Year_Num]],_xlfn.IFS(_xlpm.y&lt;500,"Ancient",_xlpm.y&lt;1500,"Medieval",_xlpm.y&lt;1800,"Early Modern",_xlpm.y&lt;1946,"Modern",TRUE,"Contemporary"))</f>
        <v>Contemporary</v>
      </c>
      <c r="P832" s="5" t="str">
        <f>_xlfn.XLOOKUP(Clean_Data[[#This Row],[Country]],country_region[Country],country_region[Country_Standard],"Not found")</f>
        <v>Italy</v>
      </c>
      <c r="Q832" s="5" t="str">
        <f>_xlfn.XLOOKUP(Clean_Data[[#This Row],[Country]],country_region[Country],country_region[Region],"Not found")</f>
        <v>Europe</v>
      </c>
      <c r="R832" s="5" t="str">
        <f>_xlfn.XLOOKUP(Clean_Data[[#This Row],[Type of Event]],event_type_category[Type of Event],event_type_category[Category],"Not found")</f>
        <v>Culture, Religion &amp; Sport</v>
      </c>
    </row>
    <row r="833" spans="1:18">
      <c r="A833">
        <v>883</v>
      </c>
      <c r="B833" t="s">
        <v>3774</v>
      </c>
      <c r="C833" t="s">
        <v>321</v>
      </c>
      <c r="D833" t="s">
        <v>39</v>
      </c>
      <c r="E833" t="s">
        <v>231</v>
      </c>
      <c r="F833" t="s">
        <v>3678</v>
      </c>
      <c r="G833" t="s">
        <v>280</v>
      </c>
      <c r="H833" t="s">
        <v>3775</v>
      </c>
      <c r="I833" t="s">
        <v>3776</v>
      </c>
      <c r="J833" t="s">
        <v>3777</v>
      </c>
      <c r="K833" t="s">
        <v>3758</v>
      </c>
      <c r="L833" t="s">
        <v>54</v>
      </c>
      <c r="M833">
        <v>2009</v>
      </c>
      <c r="N833" s="5">
        <f>ROUNDUP(Clean_Data[[#This Row],[Year_Num]]/100,0)</f>
        <v>21</v>
      </c>
      <c r="O833" s="5" t="str" cm="1">
        <f t="array" ref="O833">_xlfn.LET(_xlpm.y,Clean_Data[[#This Row],[Year_Num]],_xlfn.IFS(_xlpm.y&lt;500,"Ancient",_xlpm.y&lt;1500,"Medieval",_xlpm.y&lt;1800,"Early Modern",_xlpm.y&lt;1946,"Modern",TRUE,"Contemporary"))</f>
        <v>Contemporary</v>
      </c>
      <c r="P833" s="5" t="str">
        <f>_xlfn.XLOOKUP(Clean_Data[[#This Row],[Country]],country_region[Country],country_region[Country_Standard],"Not found")</f>
        <v>Italy</v>
      </c>
      <c r="Q833" s="5" t="str">
        <f>_xlfn.XLOOKUP(Clean_Data[[#This Row],[Country]],country_region[Country],country_region[Region],"Not found")</f>
        <v>Europe</v>
      </c>
      <c r="R833" s="5" t="str">
        <f>_xlfn.XLOOKUP(Clean_Data[[#This Row],[Type of Event]],event_type_category[Type of Event],event_type_category[Category],"Not found")</f>
        <v>Disasters &amp; Accidents</v>
      </c>
    </row>
    <row r="834" spans="1:18">
      <c r="A834">
        <v>884</v>
      </c>
      <c r="B834" t="s">
        <v>3778</v>
      </c>
      <c r="C834" t="s">
        <v>224</v>
      </c>
      <c r="D834" t="s">
        <v>260</v>
      </c>
      <c r="E834" t="s">
        <v>151</v>
      </c>
      <c r="F834" t="s">
        <v>3678</v>
      </c>
      <c r="G834" t="s">
        <v>3779</v>
      </c>
      <c r="H834" t="s">
        <v>3780</v>
      </c>
      <c r="I834" t="s">
        <v>3781</v>
      </c>
      <c r="J834" t="s">
        <v>3782</v>
      </c>
      <c r="K834" t="s">
        <v>3783</v>
      </c>
      <c r="L834" t="s">
        <v>54</v>
      </c>
      <c r="M834">
        <v>2012</v>
      </c>
      <c r="N834" s="5">
        <f>ROUNDUP(Clean_Data[[#This Row],[Year_Num]]/100,0)</f>
        <v>21</v>
      </c>
      <c r="O834" s="5" t="str" cm="1">
        <f t="array" ref="O834">_xlfn.LET(_xlpm.y,Clean_Data[[#This Row],[Year_Num]],_xlfn.IFS(_xlpm.y&lt;500,"Ancient",_xlpm.y&lt;1500,"Medieval",_xlpm.y&lt;1800,"Early Modern",_xlpm.y&lt;1946,"Modern",TRUE,"Contemporary"))</f>
        <v>Contemporary</v>
      </c>
      <c r="P834" s="5" t="str">
        <f>_xlfn.XLOOKUP(Clean_Data[[#This Row],[Country]],country_region[Country],country_region[Country_Standard],"Not found")</f>
        <v>Italy</v>
      </c>
      <c r="Q834" s="5" t="str">
        <f>_xlfn.XLOOKUP(Clean_Data[[#This Row],[Country]],country_region[Country],country_region[Region],"Not found")</f>
        <v>Europe</v>
      </c>
      <c r="R834" s="5" t="str">
        <f>_xlfn.XLOOKUP(Clean_Data[[#This Row],[Type of Event]],event_type_category[Type of Event],event_type_category[Category],"Not found")</f>
        <v>Disasters &amp; Accidents</v>
      </c>
    </row>
    <row r="835" spans="1:18">
      <c r="A835">
        <v>885</v>
      </c>
      <c r="B835" t="s">
        <v>3784</v>
      </c>
      <c r="C835" t="s">
        <v>46</v>
      </c>
      <c r="D835" t="s">
        <v>47</v>
      </c>
      <c r="E835" t="s">
        <v>341</v>
      </c>
      <c r="F835" t="s">
        <v>3678</v>
      </c>
      <c r="G835" t="s">
        <v>3785</v>
      </c>
      <c r="H835" t="s">
        <v>3764</v>
      </c>
      <c r="I835" t="s">
        <v>3786</v>
      </c>
      <c r="J835" t="s">
        <v>3773</v>
      </c>
      <c r="K835" t="s">
        <v>3787</v>
      </c>
      <c r="L835" t="s">
        <v>21</v>
      </c>
      <c r="M835">
        <v>2015</v>
      </c>
      <c r="N835" s="5">
        <f>ROUNDUP(Clean_Data[[#This Row],[Year_Num]]/100,0)</f>
        <v>21</v>
      </c>
      <c r="O835" s="5" t="str" cm="1">
        <f t="array" ref="O835">_xlfn.LET(_xlpm.y,Clean_Data[[#This Row],[Year_Num]],_xlfn.IFS(_xlpm.y&lt;500,"Ancient",_xlpm.y&lt;1500,"Medieval",_xlpm.y&lt;1800,"Early Modern",_xlpm.y&lt;1946,"Modern",TRUE,"Contemporary"))</f>
        <v>Contemporary</v>
      </c>
      <c r="P835" s="5" t="str">
        <f>_xlfn.XLOOKUP(Clean_Data[[#This Row],[Country]],country_region[Country],country_region[Country_Standard],"Not found")</f>
        <v>Italy</v>
      </c>
      <c r="Q835" s="5" t="str">
        <f>_xlfn.XLOOKUP(Clean_Data[[#This Row],[Country]],country_region[Country],country_region[Region],"Not found")</f>
        <v>Europe</v>
      </c>
      <c r="R835" s="5" t="str">
        <f>_xlfn.XLOOKUP(Clean_Data[[#This Row],[Type of Event]],event_type_category[Type of Event],event_type_category[Category],"Not found")</f>
        <v>Culture, Religion &amp; Sport</v>
      </c>
    </row>
    <row r="836" spans="1:18">
      <c r="A836">
        <v>886</v>
      </c>
      <c r="B836" t="s">
        <v>3788</v>
      </c>
      <c r="C836" t="s">
        <v>65</v>
      </c>
      <c r="D836" t="s">
        <v>57</v>
      </c>
      <c r="E836" t="s">
        <v>3789</v>
      </c>
      <c r="F836" t="s">
        <v>3790</v>
      </c>
      <c r="G836" t="s">
        <v>3791</v>
      </c>
      <c r="H836" t="s">
        <v>3792</v>
      </c>
      <c r="I836" t="s">
        <v>3793</v>
      </c>
      <c r="J836" t="s">
        <v>3794</v>
      </c>
      <c r="K836" t="s">
        <v>3795</v>
      </c>
      <c r="L836" t="s">
        <v>21</v>
      </c>
      <c r="M836">
        <v>1492</v>
      </c>
      <c r="N836" s="5">
        <f>ROUNDUP(Clean_Data[[#This Row],[Year_Num]]/100,0)</f>
        <v>15</v>
      </c>
      <c r="O836" s="5" t="str" cm="1">
        <f t="array" ref="O836">_xlfn.LET(_xlpm.y,Clean_Data[[#This Row],[Year_Num]],_xlfn.IFS(_xlpm.y&lt;500,"Ancient",_xlpm.y&lt;1500,"Medieval",_xlpm.y&lt;1800,"Early Modern",_xlpm.y&lt;1946,"Modern",TRUE,"Contemporary"))</f>
        <v>Medieval</v>
      </c>
      <c r="P836" s="5" t="str">
        <f>_xlfn.XLOOKUP(Clean_Data[[#This Row],[Country]],country_region[Country],country_region[Country_Standard],"Not found")</f>
        <v>Spain</v>
      </c>
      <c r="Q836" s="5" t="str">
        <f>_xlfn.XLOOKUP(Clean_Data[[#This Row],[Country]],country_region[Country],country_region[Region],"Not found")</f>
        <v>Europe</v>
      </c>
      <c r="R836" s="5" t="str">
        <f>_xlfn.XLOOKUP(Clean_Data[[#This Row],[Type of Event]],event_type_category[Type of Event],event_type_category[Category],"Not found")</f>
        <v>Science, Technology &amp; Exploration</v>
      </c>
    </row>
    <row r="837" spans="1:18">
      <c r="A837">
        <v>887</v>
      </c>
      <c r="B837" t="s">
        <v>3796</v>
      </c>
      <c r="E837" t="s">
        <v>3789</v>
      </c>
      <c r="F837" t="s">
        <v>3790</v>
      </c>
      <c r="G837" t="s">
        <v>3797</v>
      </c>
      <c r="H837" t="s">
        <v>3798</v>
      </c>
      <c r="I837" t="s">
        <v>3799</v>
      </c>
      <c r="J837" t="s">
        <v>3800</v>
      </c>
      <c r="K837" t="s">
        <v>3801</v>
      </c>
      <c r="L837" t="s">
        <v>36</v>
      </c>
      <c r="M837">
        <v>1492</v>
      </c>
      <c r="N837" s="5">
        <f>ROUNDUP(Clean_Data[[#This Row],[Year_Num]]/100,0)</f>
        <v>15</v>
      </c>
      <c r="O837" s="5" t="str" cm="1">
        <f t="array" ref="O837">_xlfn.LET(_xlpm.y,Clean_Data[[#This Row],[Year_Num]],_xlfn.IFS(_xlpm.y&lt;500,"Ancient",_xlpm.y&lt;1500,"Medieval",_xlpm.y&lt;1800,"Early Modern",_xlpm.y&lt;1946,"Modern",TRUE,"Contemporary"))</f>
        <v>Medieval</v>
      </c>
      <c r="P837" s="5" t="str">
        <f>_xlfn.XLOOKUP(Clean_Data[[#This Row],[Country]],country_region[Country],country_region[Country_Standard],"Not found")</f>
        <v>Spain</v>
      </c>
      <c r="Q837" s="5" t="str">
        <f>_xlfn.XLOOKUP(Clean_Data[[#This Row],[Country]],country_region[Country],country_region[Region],"Not found")</f>
        <v>Europe</v>
      </c>
      <c r="R837" s="5" t="str">
        <f>_xlfn.XLOOKUP(Clean_Data[[#This Row],[Type of Event]],event_type_category[Type of Event],event_type_category[Category],"Not found")</f>
        <v>War &amp; Conflict</v>
      </c>
    </row>
    <row r="838" spans="1:18">
      <c r="A838">
        <v>888</v>
      </c>
      <c r="B838" t="s">
        <v>3802</v>
      </c>
      <c r="C838" t="s">
        <v>298</v>
      </c>
      <c r="D838" t="s">
        <v>57</v>
      </c>
      <c r="E838" t="s">
        <v>3311</v>
      </c>
      <c r="F838" t="s">
        <v>3790</v>
      </c>
      <c r="G838" t="s">
        <v>3803</v>
      </c>
      <c r="H838" t="s">
        <v>3312</v>
      </c>
      <c r="I838" t="s">
        <v>3804</v>
      </c>
      <c r="J838" t="s">
        <v>3805</v>
      </c>
      <c r="K838" t="s">
        <v>3806</v>
      </c>
      <c r="L838" t="s">
        <v>54</v>
      </c>
      <c r="M838">
        <v>1588</v>
      </c>
      <c r="N838" s="5">
        <f>ROUNDUP(Clean_Data[[#This Row],[Year_Num]]/100,0)</f>
        <v>16</v>
      </c>
      <c r="O838" s="5" t="str" cm="1">
        <f t="array" ref="O838">_xlfn.LET(_xlpm.y,Clean_Data[[#This Row],[Year_Num]],_xlfn.IFS(_xlpm.y&lt;500,"Ancient",_xlpm.y&lt;1500,"Medieval",_xlpm.y&lt;1800,"Early Modern",_xlpm.y&lt;1946,"Modern",TRUE,"Contemporary"))</f>
        <v>Early Modern</v>
      </c>
      <c r="P838" s="5" t="str">
        <f>_xlfn.XLOOKUP(Clean_Data[[#This Row],[Country]],country_region[Country],country_region[Country_Standard],"Not found")</f>
        <v>Spain</v>
      </c>
      <c r="Q838" s="5" t="str">
        <f>_xlfn.XLOOKUP(Clean_Data[[#This Row],[Country]],country_region[Country],country_region[Region],"Not found")</f>
        <v>Europe</v>
      </c>
      <c r="R838" s="5" t="str">
        <f>_xlfn.XLOOKUP(Clean_Data[[#This Row],[Type of Event]],event_type_category[Type of Event],event_type_category[Category],"Not found")</f>
        <v>War &amp; Conflict</v>
      </c>
    </row>
    <row r="839" spans="1:18">
      <c r="A839">
        <v>889</v>
      </c>
      <c r="B839" t="s">
        <v>3807</v>
      </c>
      <c r="C839" t="s">
        <v>115</v>
      </c>
      <c r="D839" t="s">
        <v>83</v>
      </c>
      <c r="E839" t="s">
        <v>3808</v>
      </c>
      <c r="F839" t="s">
        <v>3790</v>
      </c>
      <c r="G839" t="s">
        <v>3809</v>
      </c>
      <c r="H839" t="s">
        <v>3810</v>
      </c>
      <c r="I839" t="s">
        <v>5054</v>
      </c>
      <c r="J839" t="s">
        <v>3812</v>
      </c>
      <c r="K839" t="s">
        <v>3813</v>
      </c>
      <c r="L839" t="s">
        <v>36</v>
      </c>
      <c r="M839">
        <v>1659</v>
      </c>
      <c r="N839" s="5">
        <f>ROUNDUP(Clean_Data[[#This Row],[Year_Num]]/100,0)</f>
        <v>17</v>
      </c>
      <c r="O839" s="5" t="str" cm="1">
        <f t="array" ref="O839">_xlfn.LET(_xlpm.y,Clean_Data[[#This Row],[Year_Num]],_xlfn.IFS(_xlpm.y&lt;500,"Ancient",_xlpm.y&lt;1500,"Medieval",_xlpm.y&lt;1800,"Early Modern",_xlpm.y&lt;1946,"Modern",TRUE,"Contemporary"))</f>
        <v>Early Modern</v>
      </c>
      <c r="P839" s="5" t="str">
        <f>_xlfn.XLOOKUP(Clean_Data[[#This Row],[Country]],country_region[Country],country_region[Country_Standard],"Not found")</f>
        <v>Spain</v>
      </c>
      <c r="Q839" s="5" t="str">
        <f>_xlfn.XLOOKUP(Clean_Data[[#This Row],[Country]],country_region[Country],country_region[Region],"Not found")</f>
        <v>Europe</v>
      </c>
      <c r="R839" s="5" t="str">
        <f>_xlfn.XLOOKUP(Clean_Data[[#This Row],[Type of Event]],event_type_category[Type of Event],event_type_category[Category],"Not found")</f>
        <v>Diplomacy &amp; International Relations</v>
      </c>
    </row>
    <row r="840" spans="1:18">
      <c r="A840">
        <v>890</v>
      </c>
      <c r="B840" t="s">
        <v>3814</v>
      </c>
      <c r="E840" t="s">
        <v>3815</v>
      </c>
      <c r="F840" t="s">
        <v>3790</v>
      </c>
      <c r="G840" t="s">
        <v>68</v>
      </c>
      <c r="H840" t="s">
        <v>3072</v>
      </c>
      <c r="I840" t="s">
        <v>3816</v>
      </c>
      <c r="J840" t="s">
        <v>3817</v>
      </c>
      <c r="K840" t="s">
        <v>3818</v>
      </c>
      <c r="L840" t="s">
        <v>54</v>
      </c>
      <c r="M840">
        <v>1701</v>
      </c>
      <c r="N840" s="5">
        <f>ROUNDUP(Clean_Data[[#This Row],[Year_Num]]/100,0)</f>
        <v>18</v>
      </c>
      <c r="O840" s="5" t="str" cm="1">
        <f t="array" ref="O840">_xlfn.LET(_xlpm.y,Clean_Data[[#This Row],[Year_Num]],_xlfn.IFS(_xlpm.y&lt;500,"Ancient",_xlpm.y&lt;1500,"Medieval",_xlpm.y&lt;1800,"Early Modern",_xlpm.y&lt;1946,"Modern",TRUE,"Contemporary"))</f>
        <v>Early Modern</v>
      </c>
      <c r="P840" s="5" t="str">
        <f>_xlfn.XLOOKUP(Clean_Data[[#This Row],[Country]],country_region[Country],country_region[Country_Standard],"Not found")</f>
        <v>Spain</v>
      </c>
      <c r="Q840" s="5" t="str">
        <f>_xlfn.XLOOKUP(Clean_Data[[#This Row],[Country]],country_region[Country],country_region[Region],"Not found")</f>
        <v>Europe</v>
      </c>
      <c r="R840" s="5" t="str">
        <f>_xlfn.XLOOKUP(Clean_Data[[#This Row],[Type of Event]],event_type_category[Type of Event],event_type_category[Category],"Not found")</f>
        <v>War &amp; Conflict</v>
      </c>
    </row>
    <row r="841" spans="1:18">
      <c r="A841">
        <v>891</v>
      </c>
      <c r="B841" t="s">
        <v>3819</v>
      </c>
      <c r="C841" t="s">
        <v>46</v>
      </c>
      <c r="D841" t="s">
        <v>83</v>
      </c>
      <c r="E841" t="s">
        <v>3820</v>
      </c>
      <c r="F841" t="s">
        <v>3790</v>
      </c>
      <c r="G841" t="s">
        <v>3821</v>
      </c>
      <c r="H841" t="s">
        <v>433</v>
      </c>
      <c r="I841" t="s">
        <v>3822</v>
      </c>
      <c r="J841" t="s">
        <v>3823</v>
      </c>
      <c r="K841" t="s">
        <v>3801</v>
      </c>
      <c r="L841" t="s">
        <v>54</v>
      </c>
      <c r="M841">
        <v>1478</v>
      </c>
      <c r="N841" s="5">
        <f>ROUNDUP(Clean_Data[[#This Row],[Year_Num]]/100,0)</f>
        <v>15</v>
      </c>
      <c r="O841" s="5" t="str" cm="1">
        <f t="array" ref="O841">_xlfn.LET(_xlpm.y,Clean_Data[[#This Row],[Year_Num]],_xlfn.IFS(_xlpm.y&lt;500,"Ancient",_xlpm.y&lt;1500,"Medieval",_xlpm.y&lt;1800,"Early Modern",_xlpm.y&lt;1946,"Modern",TRUE,"Contemporary"))</f>
        <v>Medieval</v>
      </c>
      <c r="P841" s="5" t="str">
        <f>_xlfn.XLOOKUP(Clean_Data[[#This Row],[Country]],country_region[Country],country_region[Country_Standard],"Not found")</f>
        <v>Spain</v>
      </c>
      <c r="Q841" s="5" t="str">
        <f>_xlfn.XLOOKUP(Clean_Data[[#This Row],[Country]],country_region[Country],country_region[Region],"Not found")</f>
        <v>Europe</v>
      </c>
      <c r="R841" s="5" t="str">
        <f>_xlfn.XLOOKUP(Clean_Data[[#This Row],[Type of Event]],event_type_category[Type of Event],event_type_category[Category],"Not found")</f>
        <v>Culture, Religion &amp; Sport</v>
      </c>
    </row>
    <row r="842" spans="1:18">
      <c r="A842">
        <v>892</v>
      </c>
      <c r="B842" t="s">
        <v>3824</v>
      </c>
      <c r="E842" t="s">
        <v>3042</v>
      </c>
      <c r="F842" t="s">
        <v>3790</v>
      </c>
      <c r="G842" t="s">
        <v>49</v>
      </c>
      <c r="H842" t="s">
        <v>3825</v>
      </c>
      <c r="I842" t="s">
        <v>3826</v>
      </c>
      <c r="J842" t="s">
        <v>3827</v>
      </c>
      <c r="K842" t="s">
        <v>3828</v>
      </c>
      <c r="L842" t="s">
        <v>54</v>
      </c>
      <c r="M842">
        <v>1898</v>
      </c>
      <c r="N842" s="5">
        <f>ROUNDUP(Clean_Data[[#This Row],[Year_Num]]/100,0)</f>
        <v>19</v>
      </c>
      <c r="O842" s="5" t="str" cm="1">
        <f t="array" ref="O842">_xlfn.LET(_xlpm.y,Clean_Data[[#This Row],[Year_Num]],_xlfn.IFS(_xlpm.y&lt;500,"Ancient",_xlpm.y&lt;1500,"Medieval",_xlpm.y&lt;1800,"Early Modern",_xlpm.y&lt;1946,"Modern",TRUE,"Contemporary"))</f>
        <v>Modern</v>
      </c>
      <c r="P842" s="5" t="str">
        <f>_xlfn.XLOOKUP(Clean_Data[[#This Row],[Country]],country_region[Country],country_region[Country_Standard],"Not found")</f>
        <v>Spain</v>
      </c>
      <c r="Q842" s="5" t="str">
        <f>_xlfn.XLOOKUP(Clean_Data[[#This Row],[Country]],country_region[Country],country_region[Region],"Not found")</f>
        <v>Europe</v>
      </c>
      <c r="R842" s="5" t="str">
        <f>_xlfn.XLOOKUP(Clean_Data[[#This Row],[Type of Event]],event_type_category[Type of Event],event_type_category[Category],"Not found")</f>
        <v>Independence &amp; Nation-Building</v>
      </c>
    </row>
    <row r="843" spans="1:18">
      <c r="A843">
        <v>893</v>
      </c>
      <c r="B843" t="s">
        <v>3829</v>
      </c>
      <c r="C843" t="s">
        <v>1129</v>
      </c>
      <c r="D843" t="s">
        <v>211</v>
      </c>
      <c r="E843" t="s">
        <v>1076</v>
      </c>
      <c r="F843" t="s">
        <v>3790</v>
      </c>
      <c r="G843" t="s">
        <v>801</v>
      </c>
      <c r="H843" t="s">
        <v>3790</v>
      </c>
      <c r="I843" t="s">
        <v>3830</v>
      </c>
      <c r="J843" t="s">
        <v>3831</v>
      </c>
      <c r="K843" t="s">
        <v>3832</v>
      </c>
      <c r="L843" t="s">
        <v>54</v>
      </c>
      <c r="M843">
        <v>1936</v>
      </c>
      <c r="N843" s="5">
        <f>ROUNDUP(Clean_Data[[#This Row],[Year_Num]]/100,0)</f>
        <v>20</v>
      </c>
      <c r="O843" s="5" t="str" cm="1">
        <f t="array" ref="O843">_xlfn.LET(_xlpm.y,Clean_Data[[#This Row],[Year_Num]],_xlfn.IFS(_xlpm.y&lt;500,"Ancient",_xlpm.y&lt;1500,"Medieval",_xlpm.y&lt;1800,"Early Modern",_xlpm.y&lt;1946,"Modern",TRUE,"Contemporary"))</f>
        <v>Modern</v>
      </c>
      <c r="P843" s="5" t="str">
        <f>_xlfn.XLOOKUP(Clean_Data[[#This Row],[Country]],country_region[Country],country_region[Country_Standard],"Not found")</f>
        <v>Spain</v>
      </c>
      <c r="Q843" s="5" t="str">
        <f>_xlfn.XLOOKUP(Clean_Data[[#This Row],[Country]],country_region[Country],country_region[Region],"Not found")</f>
        <v>Europe</v>
      </c>
      <c r="R843" s="5" t="str">
        <f>_xlfn.XLOOKUP(Clean_Data[[#This Row],[Type of Event]],event_type_category[Type of Event],event_type_category[Category],"Not found")</f>
        <v>War &amp; Conflict</v>
      </c>
    </row>
    <row r="844" spans="1:18">
      <c r="A844">
        <v>894</v>
      </c>
      <c r="B844" t="s">
        <v>3833</v>
      </c>
      <c r="C844" t="s">
        <v>91</v>
      </c>
      <c r="D844" t="s">
        <v>83</v>
      </c>
      <c r="E844" t="s">
        <v>201</v>
      </c>
      <c r="F844" t="s">
        <v>3790</v>
      </c>
      <c r="G844" t="s">
        <v>3834</v>
      </c>
      <c r="H844" t="s">
        <v>3790</v>
      </c>
      <c r="I844" t="s">
        <v>3835</v>
      </c>
      <c r="J844" t="s">
        <v>3831</v>
      </c>
      <c r="K844" t="s">
        <v>3836</v>
      </c>
      <c r="L844" t="s">
        <v>21</v>
      </c>
      <c r="M844">
        <v>1975</v>
      </c>
      <c r="N844" s="5">
        <f>ROUNDUP(Clean_Data[[#This Row],[Year_Num]]/100,0)</f>
        <v>20</v>
      </c>
      <c r="O844" s="5" t="str" cm="1">
        <f t="array" ref="O844">_xlfn.LET(_xlpm.y,Clean_Data[[#This Row],[Year_Num]],_xlfn.IFS(_xlpm.y&lt;500,"Ancient",_xlpm.y&lt;1500,"Medieval",_xlpm.y&lt;1800,"Early Modern",_xlpm.y&lt;1946,"Modern",TRUE,"Contemporary"))</f>
        <v>Contemporary</v>
      </c>
      <c r="P844" s="5" t="str">
        <f>_xlfn.XLOOKUP(Clean_Data[[#This Row],[Country]],country_region[Country],country_region[Country_Standard],"Not found")</f>
        <v>Spain</v>
      </c>
      <c r="Q844" s="5" t="str">
        <f>_xlfn.XLOOKUP(Clean_Data[[#This Row],[Country]],country_region[Country],country_region[Region],"Not found")</f>
        <v>Europe</v>
      </c>
      <c r="R844" s="5" t="str">
        <f>_xlfn.XLOOKUP(Clean_Data[[#This Row],[Type of Event]],event_type_category[Type of Event],event_type_category[Category],"Not found")</f>
        <v>Politics &amp; Law</v>
      </c>
    </row>
    <row r="845" spans="1:18">
      <c r="A845">
        <v>895</v>
      </c>
      <c r="B845" t="s">
        <v>3837</v>
      </c>
      <c r="C845" t="s">
        <v>74</v>
      </c>
      <c r="D845" t="s">
        <v>267</v>
      </c>
      <c r="E845" t="s">
        <v>643</v>
      </c>
      <c r="F845" t="s">
        <v>3790</v>
      </c>
      <c r="G845" t="s">
        <v>85</v>
      </c>
      <c r="H845" t="s">
        <v>3838</v>
      </c>
      <c r="I845" t="s">
        <v>87</v>
      </c>
      <c r="J845" t="s">
        <v>3839</v>
      </c>
      <c r="K845" t="s">
        <v>3840</v>
      </c>
      <c r="L845" t="s">
        <v>54</v>
      </c>
      <c r="M845">
        <v>2004</v>
      </c>
      <c r="N845" s="5">
        <f>ROUNDUP(Clean_Data[[#This Row],[Year_Num]]/100,0)</f>
        <v>21</v>
      </c>
      <c r="O845" s="5" t="str" cm="1">
        <f t="array" ref="O845">_xlfn.LET(_xlpm.y,Clean_Data[[#This Row],[Year_Num]],_xlfn.IFS(_xlpm.y&lt;500,"Ancient",_xlpm.y&lt;1500,"Medieval",_xlpm.y&lt;1800,"Early Modern",_xlpm.y&lt;1946,"Modern",TRUE,"Contemporary"))</f>
        <v>Contemporary</v>
      </c>
      <c r="P845" s="5" t="str">
        <f>_xlfn.XLOOKUP(Clean_Data[[#This Row],[Country]],country_region[Country],country_region[Country_Standard],"Not found")</f>
        <v>Spain</v>
      </c>
      <c r="Q845" s="5" t="str">
        <f>_xlfn.XLOOKUP(Clean_Data[[#This Row],[Country]],country_region[Country],country_region[Region],"Not found")</f>
        <v>Europe</v>
      </c>
      <c r="R845" s="5" t="str">
        <f>_xlfn.XLOOKUP(Clean_Data[[#This Row],[Type of Event]],event_type_category[Type of Event],event_type_category[Category],"Not found")</f>
        <v>War &amp; Conflict</v>
      </c>
    </row>
    <row r="846" spans="1:18">
      <c r="A846">
        <v>896</v>
      </c>
      <c r="B846" t="s">
        <v>5025</v>
      </c>
      <c r="C846" t="s">
        <v>200</v>
      </c>
      <c r="D846" t="s">
        <v>39</v>
      </c>
      <c r="E846" t="s">
        <v>3042</v>
      </c>
      <c r="F846" t="s">
        <v>3841</v>
      </c>
      <c r="G846" t="s">
        <v>68</v>
      </c>
      <c r="H846" t="s">
        <v>3842</v>
      </c>
      <c r="I846" t="s">
        <v>3843</v>
      </c>
      <c r="J846" t="s">
        <v>3844</v>
      </c>
      <c r="K846" t="s">
        <v>3845</v>
      </c>
      <c r="L846" t="s">
        <v>54</v>
      </c>
      <c r="M846">
        <v>1898</v>
      </c>
      <c r="N846" s="5">
        <f>ROUNDUP(Clean_Data[[#This Row],[Year_Num]]/100,0)</f>
        <v>19</v>
      </c>
      <c r="O846" s="5" t="str" cm="1">
        <f t="array" ref="O846">_xlfn.LET(_xlpm.y,Clean_Data[[#This Row],[Year_Num]],_xlfn.IFS(_xlpm.y&lt;500,"Ancient",_xlpm.y&lt;1500,"Medieval",_xlpm.y&lt;1800,"Early Modern",_xlpm.y&lt;1946,"Modern",TRUE,"Contemporary"))</f>
        <v>Modern</v>
      </c>
      <c r="P846" s="5" t="str">
        <f>_xlfn.XLOOKUP(Clean_Data[[#This Row],[Country]],country_region[Country],country_region[Country_Standard],"Not found")</f>
        <v>Spain / USA</v>
      </c>
      <c r="Q846" s="5" t="str">
        <f>_xlfn.XLOOKUP(Clean_Data[[#This Row],[Country]],country_region[Country],country_region[Region],"Not found")</f>
        <v>Multiple Regions</v>
      </c>
      <c r="R846" s="5" t="str">
        <f>_xlfn.XLOOKUP(Clean_Data[[#This Row],[Type of Event]],event_type_category[Type of Event],event_type_category[Category],"Not found")</f>
        <v>War &amp; Conflict</v>
      </c>
    </row>
    <row r="847" spans="1:18">
      <c r="A847">
        <v>897</v>
      </c>
      <c r="B847" t="s">
        <v>3846</v>
      </c>
      <c r="C847" t="s">
        <v>46</v>
      </c>
      <c r="D847" t="s">
        <v>260</v>
      </c>
      <c r="E847" t="s">
        <v>613</v>
      </c>
      <c r="F847" t="s">
        <v>3790</v>
      </c>
      <c r="G847" t="s">
        <v>3847</v>
      </c>
      <c r="H847" t="s">
        <v>3072</v>
      </c>
      <c r="I847" t="s">
        <v>3848</v>
      </c>
      <c r="J847" t="s">
        <v>3831</v>
      </c>
      <c r="K847" t="s">
        <v>3828</v>
      </c>
      <c r="L847" t="s">
        <v>21</v>
      </c>
      <c r="M847">
        <v>1986</v>
      </c>
      <c r="N847" s="5">
        <f>ROUNDUP(Clean_Data[[#This Row],[Year_Num]]/100,0)</f>
        <v>20</v>
      </c>
      <c r="O847" s="5" t="str" cm="1">
        <f t="array" ref="O847">_xlfn.LET(_xlpm.y,Clean_Data[[#This Row],[Year_Num]],_xlfn.IFS(_xlpm.y&lt;500,"Ancient",_xlpm.y&lt;1500,"Medieval",_xlpm.y&lt;1800,"Early Modern",_xlpm.y&lt;1946,"Modern",TRUE,"Contemporary"))</f>
        <v>Contemporary</v>
      </c>
      <c r="P847" s="5" t="str">
        <f>_xlfn.XLOOKUP(Clean_Data[[#This Row],[Country]],country_region[Country],country_region[Country_Standard],"Not found")</f>
        <v>Spain</v>
      </c>
      <c r="Q847" s="5" t="str">
        <f>_xlfn.XLOOKUP(Clean_Data[[#This Row],[Country]],country_region[Country],country_region[Region],"Not found")</f>
        <v>Europe</v>
      </c>
      <c r="R847" s="5" t="str">
        <f>_xlfn.XLOOKUP(Clean_Data[[#This Row],[Type of Event]],event_type_category[Type of Event],event_type_category[Category],"Not found")</f>
        <v>Diplomacy &amp; International Relations</v>
      </c>
    </row>
    <row r="848" spans="1:18">
      <c r="A848">
        <v>898</v>
      </c>
      <c r="B848" t="s">
        <v>3849</v>
      </c>
      <c r="C848" t="s">
        <v>353</v>
      </c>
      <c r="D848" t="s">
        <v>158</v>
      </c>
      <c r="E848" t="s">
        <v>3789</v>
      </c>
      <c r="F848" t="s">
        <v>3790</v>
      </c>
      <c r="G848" t="s">
        <v>93</v>
      </c>
      <c r="H848" t="s">
        <v>3850</v>
      </c>
      <c r="I848" t="s">
        <v>3851</v>
      </c>
      <c r="J848" t="s">
        <v>3852</v>
      </c>
      <c r="K848" t="s">
        <v>3853</v>
      </c>
      <c r="L848" t="s">
        <v>36</v>
      </c>
      <c r="M848">
        <v>1492</v>
      </c>
      <c r="N848" s="5">
        <f>ROUNDUP(Clean_Data[[#This Row],[Year_Num]]/100,0)</f>
        <v>15</v>
      </c>
      <c r="O848" s="5" t="str" cm="1">
        <f t="array" ref="O848">_xlfn.LET(_xlpm.y,Clean_Data[[#This Row],[Year_Num]],_xlfn.IFS(_xlpm.y&lt;500,"Ancient",_xlpm.y&lt;1500,"Medieval",_xlpm.y&lt;1800,"Early Modern",_xlpm.y&lt;1946,"Modern",TRUE,"Contemporary"))</f>
        <v>Medieval</v>
      </c>
      <c r="P848" s="5" t="str">
        <f>_xlfn.XLOOKUP(Clean_Data[[#This Row],[Country]],country_region[Country],country_region[Country_Standard],"Not found")</f>
        <v>Spain</v>
      </c>
      <c r="Q848" s="5" t="str">
        <f>_xlfn.XLOOKUP(Clean_Data[[#This Row],[Country]],country_region[Country],country_region[Region],"Not found")</f>
        <v>Europe</v>
      </c>
      <c r="R848" s="5" t="str">
        <f>_xlfn.XLOOKUP(Clean_Data[[#This Row],[Type of Event]],event_type_category[Type of Event],event_type_category[Category],"Not found")</f>
        <v>Science, Technology &amp; Exploration</v>
      </c>
    </row>
    <row r="849" spans="1:18">
      <c r="A849">
        <v>899</v>
      </c>
      <c r="B849" t="s">
        <v>3854</v>
      </c>
      <c r="C849" t="s">
        <v>251</v>
      </c>
      <c r="D849" t="s">
        <v>267</v>
      </c>
      <c r="E849" t="s">
        <v>3789</v>
      </c>
      <c r="F849" t="s">
        <v>3790</v>
      </c>
      <c r="G849" t="s">
        <v>3855</v>
      </c>
      <c r="H849" t="s">
        <v>3790</v>
      </c>
      <c r="I849" t="s">
        <v>3856</v>
      </c>
      <c r="J849" t="s">
        <v>3857</v>
      </c>
      <c r="K849" t="s">
        <v>3801</v>
      </c>
      <c r="L849" t="s">
        <v>54</v>
      </c>
      <c r="M849">
        <v>1492</v>
      </c>
      <c r="N849" s="5">
        <f>ROUNDUP(Clean_Data[[#This Row],[Year_Num]]/100,0)</f>
        <v>15</v>
      </c>
      <c r="O849" s="5" t="str" cm="1">
        <f t="array" ref="O849">_xlfn.LET(_xlpm.y,Clean_Data[[#This Row],[Year_Num]],_xlfn.IFS(_xlpm.y&lt;500,"Ancient",_xlpm.y&lt;1500,"Medieval",_xlpm.y&lt;1800,"Early Modern",_xlpm.y&lt;1946,"Modern",TRUE,"Contemporary"))</f>
        <v>Medieval</v>
      </c>
      <c r="P849" s="5" t="str">
        <f>_xlfn.XLOOKUP(Clean_Data[[#This Row],[Country]],country_region[Country],country_region[Country_Standard],"Not found")</f>
        <v>Spain</v>
      </c>
      <c r="Q849" s="5" t="str">
        <f>_xlfn.XLOOKUP(Clean_Data[[#This Row],[Country]],country_region[Country],country_region[Region],"Not found")</f>
        <v>Europe</v>
      </c>
      <c r="R849" s="5" t="str">
        <f>_xlfn.XLOOKUP(Clean_Data[[#This Row],[Type of Event]],event_type_category[Type of Event],event_type_category[Category],"Not found")</f>
        <v>Culture, Religion &amp; Sport</v>
      </c>
    </row>
    <row r="850" spans="1:18">
      <c r="A850">
        <v>900</v>
      </c>
      <c r="B850" t="s">
        <v>3345</v>
      </c>
      <c r="C850" t="s">
        <v>38</v>
      </c>
      <c r="D850" t="s">
        <v>158</v>
      </c>
      <c r="E850" t="s">
        <v>3346</v>
      </c>
      <c r="F850" t="s">
        <v>3790</v>
      </c>
      <c r="G850" t="s">
        <v>3858</v>
      </c>
      <c r="H850" t="s">
        <v>3859</v>
      </c>
      <c r="I850" t="s">
        <v>3860</v>
      </c>
      <c r="J850" t="s">
        <v>3861</v>
      </c>
      <c r="K850" t="s">
        <v>5055</v>
      </c>
      <c r="L850" t="s">
        <v>54</v>
      </c>
      <c r="M850">
        <v>1805</v>
      </c>
      <c r="N850" s="5">
        <f>ROUNDUP(Clean_Data[[#This Row],[Year_Num]]/100,0)</f>
        <v>19</v>
      </c>
      <c r="O850" s="5" t="str" cm="1">
        <f t="array" ref="O850">_xlfn.LET(_xlpm.y,Clean_Data[[#This Row],[Year_Num]],_xlfn.IFS(_xlpm.y&lt;500,"Ancient",_xlpm.y&lt;1500,"Medieval",_xlpm.y&lt;1800,"Early Modern",_xlpm.y&lt;1946,"Modern",TRUE,"Contemporary"))</f>
        <v>Modern</v>
      </c>
      <c r="P850" s="5" t="str">
        <f>_xlfn.XLOOKUP(Clean_Data[[#This Row],[Country]],country_region[Country],country_region[Country_Standard],"Not found")</f>
        <v>Spain</v>
      </c>
      <c r="Q850" s="5" t="str">
        <f>_xlfn.XLOOKUP(Clean_Data[[#This Row],[Country]],country_region[Country],country_region[Region],"Not found")</f>
        <v>Europe</v>
      </c>
      <c r="R850" s="5" t="str">
        <f>_xlfn.XLOOKUP(Clean_Data[[#This Row],[Type of Event]],event_type_category[Type of Event],event_type_category[Category],"Not found")</f>
        <v>War &amp; Conflict</v>
      </c>
    </row>
    <row r="851" spans="1:18">
      <c r="A851">
        <v>901</v>
      </c>
      <c r="B851" t="s">
        <v>3863</v>
      </c>
      <c r="E851" t="s">
        <v>3864</v>
      </c>
      <c r="F851" t="s">
        <v>3790</v>
      </c>
      <c r="G851" t="s">
        <v>3865</v>
      </c>
      <c r="H851" t="s">
        <v>3790</v>
      </c>
      <c r="I851" t="s">
        <v>3866</v>
      </c>
      <c r="J851" t="s">
        <v>3867</v>
      </c>
      <c r="K851" t="s">
        <v>3868</v>
      </c>
      <c r="L851" t="s">
        <v>21</v>
      </c>
      <c r="M851">
        <v>1469</v>
      </c>
      <c r="N851" s="5">
        <f>ROUNDUP(Clean_Data[[#This Row],[Year_Num]]/100,0)</f>
        <v>15</v>
      </c>
      <c r="O851" s="5" t="str" cm="1">
        <f t="array" ref="O851">_xlfn.LET(_xlpm.y,Clean_Data[[#This Row],[Year_Num]],_xlfn.IFS(_xlpm.y&lt;500,"Ancient",_xlpm.y&lt;1500,"Medieval",_xlpm.y&lt;1800,"Early Modern",_xlpm.y&lt;1946,"Modern",TRUE,"Contemporary"))</f>
        <v>Medieval</v>
      </c>
      <c r="P851" s="5" t="str">
        <f>_xlfn.XLOOKUP(Clean_Data[[#This Row],[Country]],country_region[Country],country_region[Country_Standard],"Not found")</f>
        <v>Spain</v>
      </c>
      <c r="Q851" s="5" t="str">
        <f>_xlfn.XLOOKUP(Clean_Data[[#This Row],[Country]],country_region[Country],country_region[Region],"Not found")</f>
        <v>Europe</v>
      </c>
      <c r="R851" s="5" t="str">
        <f>_xlfn.XLOOKUP(Clean_Data[[#This Row],[Type of Event]],event_type_category[Type of Event],event_type_category[Category],"Not found")</f>
        <v>Independence &amp; Nation-Building</v>
      </c>
    </row>
    <row r="852" spans="1:18">
      <c r="A852">
        <v>902</v>
      </c>
      <c r="B852" t="s">
        <v>3869</v>
      </c>
      <c r="E852" t="s">
        <v>2078</v>
      </c>
      <c r="F852" t="s">
        <v>3790</v>
      </c>
      <c r="G852" t="s">
        <v>3870</v>
      </c>
      <c r="H852" t="s">
        <v>3790</v>
      </c>
      <c r="I852" t="s">
        <v>3871</v>
      </c>
      <c r="J852" t="s">
        <v>3831</v>
      </c>
      <c r="K852" t="s">
        <v>3872</v>
      </c>
      <c r="L852" t="s">
        <v>21</v>
      </c>
      <c r="M852">
        <v>1650</v>
      </c>
      <c r="N852" s="5">
        <f>ROUNDUP(Clean_Data[[#This Row],[Year_Num]]/100,0)</f>
        <v>17</v>
      </c>
      <c r="O852" s="5" t="str" cm="1">
        <f t="array" ref="O852">_xlfn.LET(_xlpm.y,Clean_Data[[#This Row],[Year_Num]],_xlfn.IFS(_xlpm.y&lt;500,"Ancient",_xlpm.y&lt;1500,"Medieval",_xlpm.y&lt;1800,"Early Modern",_xlpm.y&lt;1946,"Modern",TRUE,"Contemporary"))</f>
        <v>Early Modern</v>
      </c>
      <c r="P852" s="5" t="str">
        <f>_xlfn.XLOOKUP(Clean_Data[[#This Row],[Country]],country_region[Country],country_region[Country_Standard],"Not found")</f>
        <v>Spain</v>
      </c>
      <c r="Q852" s="5" t="str">
        <f>_xlfn.XLOOKUP(Clean_Data[[#This Row],[Country]],country_region[Country],country_region[Region],"Not found")</f>
        <v>Europe</v>
      </c>
      <c r="R852" s="5" t="str">
        <f>_xlfn.XLOOKUP(Clean_Data[[#This Row],[Type of Event]],event_type_category[Type of Event],event_type_category[Category],"Not found")</f>
        <v>Culture, Religion &amp; Sport</v>
      </c>
    </row>
    <row r="853" spans="1:18">
      <c r="A853">
        <v>903</v>
      </c>
      <c r="B853" t="s">
        <v>3873</v>
      </c>
      <c r="E853" t="s">
        <v>3815</v>
      </c>
      <c r="F853" t="s">
        <v>3790</v>
      </c>
      <c r="G853" t="s">
        <v>68</v>
      </c>
      <c r="H853" t="s">
        <v>3072</v>
      </c>
      <c r="I853" t="s">
        <v>3726</v>
      </c>
      <c r="J853" t="s">
        <v>3728</v>
      </c>
      <c r="K853" t="s">
        <v>3874</v>
      </c>
      <c r="L853" t="s">
        <v>36</v>
      </c>
      <c r="M853">
        <v>1701</v>
      </c>
      <c r="N853" s="5">
        <f>ROUNDUP(Clean_Data[[#This Row],[Year_Num]]/100,0)</f>
        <v>18</v>
      </c>
      <c r="O853" s="5" t="str" cm="1">
        <f t="array" ref="O853">_xlfn.LET(_xlpm.y,Clean_Data[[#This Row],[Year_Num]],_xlfn.IFS(_xlpm.y&lt;500,"Ancient",_xlpm.y&lt;1500,"Medieval",_xlpm.y&lt;1800,"Early Modern",_xlpm.y&lt;1946,"Modern",TRUE,"Contemporary"))</f>
        <v>Early Modern</v>
      </c>
      <c r="P853" s="5" t="str">
        <f>_xlfn.XLOOKUP(Clean_Data[[#This Row],[Country]],country_region[Country],country_region[Country_Standard],"Not found")</f>
        <v>Spain</v>
      </c>
      <c r="Q853" s="5" t="str">
        <f>_xlfn.XLOOKUP(Clean_Data[[#This Row],[Country]],country_region[Country],country_region[Region],"Not found")</f>
        <v>Europe</v>
      </c>
      <c r="R853" s="5" t="str">
        <f>_xlfn.XLOOKUP(Clean_Data[[#This Row],[Type of Event]],event_type_category[Type of Event],event_type_category[Category],"Not found")</f>
        <v>War &amp; Conflict</v>
      </c>
    </row>
    <row r="854" spans="1:18">
      <c r="A854">
        <v>904</v>
      </c>
      <c r="B854" t="s">
        <v>3875</v>
      </c>
      <c r="C854" t="s">
        <v>74</v>
      </c>
      <c r="D854" t="s">
        <v>39</v>
      </c>
      <c r="E854" t="s">
        <v>3724</v>
      </c>
      <c r="F854" t="s">
        <v>3790</v>
      </c>
      <c r="G854" t="s">
        <v>3809</v>
      </c>
      <c r="H854" t="s">
        <v>3876</v>
      </c>
      <c r="I854" t="s">
        <v>3877</v>
      </c>
      <c r="J854" t="s">
        <v>3728</v>
      </c>
      <c r="K854" t="s">
        <v>3878</v>
      </c>
      <c r="L854" t="s">
        <v>54</v>
      </c>
      <c r="M854">
        <v>1713</v>
      </c>
      <c r="N854" s="5">
        <f>ROUNDUP(Clean_Data[[#This Row],[Year_Num]]/100,0)</f>
        <v>18</v>
      </c>
      <c r="O854" s="5" t="str" cm="1">
        <f t="array" ref="O854">_xlfn.LET(_xlpm.y,Clean_Data[[#This Row],[Year_Num]],_xlfn.IFS(_xlpm.y&lt;500,"Ancient",_xlpm.y&lt;1500,"Medieval",_xlpm.y&lt;1800,"Early Modern",_xlpm.y&lt;1946,"Modern",TRUE,"Contemporary"))</f>
        <v>Early Modern</v>
      </c>
      <c r="P854" s="5" t="str">
        <f>_xlfn.XLOOKUP(Clean_Data[[#This Row],[Country]],country_region[Country],country_region[Country_Standard],"Not found")</f>
        <v>Spain</v>
      </c>
      <c r="Q854" s="5" t="str">
        <f>_xlfn.XLOOKUP(Clean_Data[[#This Row],[Country]],country_region[Country],country_region[Region],"Not found")</f>
        <v>Europe</v>
      </c>
      <c r="R854" s="5" t="str">
        <f>_xlfn.XLOOKUP(Clean_Data[[#This Row],[Type of Event]],event_type_category[Type of Event],event_type_category[Category],"Not found")</f>
        <v>Diplomacy &amp; International Relations</v>
      </c>
    </row>
    <row r="855" spans="1:18">
      <c r="A855">
        <v>905</v>
      </c>
      <c r="B855" t="s">
        <v>3879</v>
      </c>
      <c r="C855" t="s">
        <v>331</v>
      </c>
      <c r="D855" t="s">
        <v>47</v>
      </c>
      <c r="E855" t="s">
        <v>3880</v>
      </c>
      <c r="F855" t="s">
        <v>3790</v>
      </c>
      <c r="G855" t="s">
        <v>68</v>
      </c>
      <c r="H855" t="s">
        <v>3881</v>
      </c>
      <c r="I855" t="s">
        <v>3882</v>
      </c>
      <c r="J855" t="s">
        <v>3831</v>
      </c>
      <c r="K855" t="s">
        <v>3883</v>
      </c>
      <c r="L855" t="s">
        <v>54</v>
      </c>
      <c r="M855">
        <v>1808</v>
      </c>
      <c r="N855" s="5">
        <f>ROUNDUP(Clean_Data[[#This Row],[Year_Num]]/100,0)</f>
        <v>19</v>
      </c>
      <c r="O855" s="5" t="str" cm="1">
        <f t="array" ref="O855">_xlfn.LET(_xlpm.y,Clean_Data[[#This Row],[Year_Num]],_xlfn.IFS(_xlpm.y&lt;500,"Ancient",_xlpm.y&lt;1500,"Medieval",_xlpm.y&lt;1800,"Early Modern",_xlpm.y&lt;1946,"Modern",TRUE,"Contemporary"))</f>
        <v>Modern</v>
      </c>
      <c r="P855" s="5" t="str">
        <f>_xlfn.XLOOKUP(Clean_Data[[#This Row],[Country]],country_region[Country],country_region[Country_Standard],"Not found")</f>
        <v>Spain</v>
      </c>
      <c r="Q855" s="5" t="str">
        <f>_xlfn.XLOOKUP(Clean_Data[[#This Row],[Country]],country_region[Country],country_region[Region],"Not found")</f>
        <v>Europe</v>
      </c>
      <c r="R855" s="5" t="str">
        <f>_xlfn.XLOOKUP(Clean_Data[[#This Row],[Type of Event]],event_type_category[Type of Event],event_type_category[Category],"Not found")</f>
        <v>War &amp; Conflict</v>
      </c>
    </row>
    <row r="856" spans="1:18">
      <c r="A856">
        <v>906</v>
      </c>
      <c r="B856" t="s">
        <v>3884</v>
      </c>
      <c r="C856" t="s">
        <v>580</v>
      </c>
      <c r="D856" t="s">
        <v>267</v>
      </c>
      <c r="E856" t="s">
        <v>3132</v>
      </c>
      <c r="F856" t="s">
        <v>3790</v>
      </c>
      <c r="G856" t="s">
        <v>31</v>
      </c>
      <c r="H856" t="s">
        <v>3885</v>
      </c>
      <c r="I856" t="s">
        <v>5056</v>
      </c>
      <c r="J856" t="s">
        <v>3831</v>
      </c>
      <c r="K856" t="s">
        <v>3887</v>
      </c>
      <c r="L856" t="s">
        <v>36</v>
      </c>
      <c r="M856">
        <v>1812</v>
      </c>
      <c r="N856" s="5">
        <f>ROUNDUP(Clean_Data[[#This Row],[Year_Num]]/100,0)</f>
        <v>19</v>
      </c>
      <c r="O856" s="5" t="str" cm="1">
        <f t="array" ref="O856">_xlfn.LET(_xlpm.y,Clean_Data[[#This Row],[Year_Num]],_xlfn.IFS(_xlpm.y&lt;500,"Ancient",_xlpm.y&lt;1500,"Medieval",_xlpm.y&lt;1800,"Early Modern",_xlpm.y&lt;1946,"Modern",TRUE,"Contemporary"))</f>
        <v>Modern</v>
      </c>
      <c r="P856" s="5" t="str">
        <f>_xlfn.XLOOKUP(Clean_Data[[#This Row],[Country]],country_region[Country],country_region[Country_Standard],"Not found")</f>
        <v>Spain</v>
      </c>
      <c r="Q856" s="5" t="str">
        <f>_xlfn.XLOOKUP(Clean_Data[[#This Row],[Country]],country_region[Country],country_region[Region],"Not found")</f>
        <v>Europe</v>
      </c>
      <c r="R856" s="5" t="str">
        <f>_xlfn.XLOOKUP(Clean_Data[[#This Row],[Type of Event]],event_type_category[Type of Event],event_type_category[Category],"Not found")</f>
        <v>Politics &amp; Law</v>
      </c>
    </row>
    <row r="857" spans="1:18">
      <c r="A857">
        <v>907</v>
      </c>
      <c r="B857" t="s">
        <v>5025</v>
      </c>
      <c r="E857" t="s">
        <v>3042</v>
      </c>
      <c r="F857" t="s">
        <v>3790</v>
      </c>
      <c r="G857" t="s">
        <v>3888</v>
      </c>
      <c r="H857" t="s">
        <v>3043</v>
      </c>
      <c r="I857" t="s">
        <v>3889</v>
      </c>
      <c r="J857" t="s">
        <v>3890</v>
      </c>
      <c r="K857" t="s">
        <v>3845</v>
      </c>
      <c r="L857" t="s">
        <v>54</v>
      </c>
      <c r="M857">
        <v>1898</v>
      </c>
      <c r="N857" s="5">
        <f>ROUNDUP(Clean_Data[[#This Row],[Year_Num]]/100,0)</f>
        <v>19</v>
      </c>
      <c r="O857" s="5" t="str" cm="1">
        <f t="array" ref="O857">_xlfn.LET(_xlpm.y,Clean_Data[[#This Row],[Year_Num]],_xlfn.IFS(_xlpm.y&lt;500,"Ancient",_xlpm.y&lt;1500,"Medieval",_xlpm.y&lt;1800,"Early Modern",_xlpm.y&lt;1946,"Modern",TRUE,"Contemporary"))</f>
        <v>Modern</v>
      </c>
      <c r="P857" s="5" t="str">
        <f>_xlfn.XLOOKUP(Clean_Data[[#This Row],[Country]],country_region[Country],country_region[Country_Standard],"Not found")</f>
        <v>Spain</v>
      </c>
      <c r="Q857" s="5" t="str">
        <f>_xlfn.XLOOKUP(Clean_Data[[#This Row],[Country]],country_region[Country],country_region[Region],"Not found")</f>
        <v>Europe</v>
      </c>
      <c r="R857" s="5" t="str">
        <f>_xlfn.XLOOKUP(Clean_Data[[#This Row],[Type of Event]],event_type_category[Type of Event],event_type_category[Category],"Not found")</f>
        <v>War &amp; Conflict</v>
      </c>
    </row>
    <row r="858" spans="1:18">
      <c r="A858">
        <v>908</v>
      </c>
      <c r="B858" t="s">
        <v>3891</v>
      </c>
      <c r="C858" t="s">
        <v>46</v>
      </c>
      <c r="D858" t="s">
        <v>39</v>
      </c>
      <c r="E858" t="s">
        <v>1117</v>
      </c>
      <c r="F858" t="s">
        <v>3790</v>
      </c>
      <c r="G858" t="s">
        <v>3892</v>
      </c>
      <c r="H858" t="s">
        <v>3790</v>
      </c>
      <c r="I858" t="s">
        <v>3893</v>
      </c>
      <c r="J858" t="s">
        <v>3831</v>
      </c>
      <c r="K858" t="s">
        <v>3894</v>
      </c>
      <c r="L858" t="s">
        <v>54</v>
      </c>
      <c r="M858">
        <v>1939</v>
      </c>
      <c r="N858" s="5">
        <f>ROUNDUP(Clean_Data[[#This Row],[Year_Num]]/100,0)</f>
        <v>20</v>
      </c>
      <c r="O858" s="5" t="str" cm="1">
        <f t="array" ref="O858">_xlfn.LET(_xlpm.y,Clean_Data[[#This Row],[Year_Num]],_xlfn.IFS(_xlpm.y&lt;500,"Ancient",_xlpm.y&lt;1500,"Medieval",_xlpm.y&lt;1800,"Early Modern",_xlpm.y&lt;1946,"Modern",TRUE,"Contemporary"))</f>
        <v>Modern</v>
      </c>
      <c r="P858" s="5" t="str">
        <f>_xlfn.XLOOKUP(Clean_Data[[#This Row],[Country]],country_region[Country],country_region[Country_Standard],"Not found")</f>
        <v>Spain</v>
      </c>
      <c r="Q858" s="5" t="str">
        <f>_xlfn.XLOOKUP(Clean_Data[[#This Row],[Country]],country_region[Country],country_region[Region],"Not found")</f>
        <v>Europe</v>
      </c>
      <c r="R858" s="5" t="str">
        <f>_xlfn.XLOOKUP(Clean_Data[[#This Row],[Type of Event]],event_type_category[Type of Event],event_type_category[Category],"Not found")</f>
        <v>Politics &amp; Law</v>
      </c>
    </row>
    <row r="859" spans="1:18">
      <c r="A859">
        <v>909</v>
      </c>
      <c r="B859" t="s">
        <v>3895</v>
      </c>
      <c r="E859" t="s">
        <v>201</v>
      </c>
      <c r="F859" t="s">
        <v>3790</v>
      </c>
      <c r="G859" t="s">
        <v>3834</v>
      </c>
      <c r="H859" t="s">
        <v>3790</v>
      </c>
      <c r="I859" t="s">
        <v>3835</v>
      </c>
      <c r="J859" t="s">
        <v>3831</v>
      </c>
      <c r="K859" t="s">
        <v>3896</v>
      </c>
      <c r="L859" t="s">
        <v>21</v>
      </c>
      <c r="M859">
        <v>1975</v>
      </c>
      <c r="N859" s="5">
        <f>ROUNDUP(Clean_Data[[#This Row],[Year_Num]]/100,0)</f>
        <v>20</v>
      </c>
      <c r="O859" s="5" t="str" cm="1">
        <f t="array" ref="O859">_xlfn.LET(_xlpm.y,Clean_Data[[#This Row],[Year_Num]],_xlfn.IFS(_xlpm.y&lt;500,"Ancient",_xlpm.y&lt;1500,"Medieval",_xlpm.y&lt;1800,"Early Modern",_xlpm.y&lt;1946,"Modern",TRUE,"Contemporary"))</f>
        <v>Contemporary</v>
      </c>
      <c r="P859" s="5" t="str">
        <f>_xlfn.XLOOKUP(Clean_Data[[#This Row],[Country]],country_region[Country],country_region[Country_Standard],"Not found")</f>
        <v>Spain</v>
      </c>
      <c r="Q859" s="5" t="str">
        <f>_xlfn.XLOOKUP(Clean_Data[[#This Row],[Country]],country_region[Country],country_region[Region],"Not found")</f>
        <v>Europe</v>
      </c>
      <c r="R859" s="5" t="str">
        <f>_xlfn.XLOOKUP(Clean_Data[[#This Row],[Type of Event]],event_type_category[Type of Event],event_type_category[Category],"Not found")</f>
        <v>Politics &amp; Law</v>
      </c>
    </row>
    <row r="860" spans="1:18">
      <c r="A860">
        <v>910</v>
      </c>
      <c r="B860" t="s">
        <v>3897</v>
      </c>
      <c r="C860" t="s">
        <v>200</v>
      </c>
      <c r="D860" t="s">
        <v>211</v>
      </c>
      <c r="E860" t="s">
        <v>893</v>
      </c>
      <c r="F860" t="s">
        <v>3790</v>
      </c>
      <c r="G860" t="s">
        <v>3898</v>
      </c>
      <c r="H860" t="s">
        <v>3899</v>
      </c>
      <c r="I860" t="s">
        <v>3900</v>
      </c>
      <c r="J860" t="s">
        <v>3901</v>
      </c>
      <c r="K860" t="s">
        <v>3902</v>
      </c>
      <c r="L860" t="s">
        <v>21</v>
      </c>
      <c r="M860">
        <v>1992</v>
      </c>
      <c r="N860" s="5">
        <f>ROUNDUP(Clean_Data[[#This Row],[Year_Num]]/100,0)</f>
        <v>20</v>
      </c>
      <c r="O860" s="5" t="str" cm="1">
        <f t="array" ref="O860">_xlfn.LET(_xlpm.y,Clean_Data[[#This Row],[Year_Num]],_xlfn.IFS(_xlpm.y&lt;500,"Ancient",_xlpm.y&lt;1500,"Medieval",_xlpm.y&lt;1800,"Early Modern",_xlpm.y&lt;1946,"Modern",TRUE,"Contemporary"))</f>
        <v>Contemporary</v>
      </c>
      <c r="P860" s="5" t="str">
        <f>_xlfn.XLOOKUP(Clean_Data[[#This Row],[Country]],country_region[Country],country_region[Country_Standard],"Not found")</f>
        <v>Spain</v>
      </c>
      <c r="Q860" s="5" t="str">
        <f>_xlfn.XLOOKUP(Clean_Data[[#This Row],[Country]],country_region[Country],country_region[Region],"Not found")</f>
        <v>Europe</v>
      </c>
      <c r="R860" s="5" t="str">
        <f>_xlfn.XLOOKUP(Clean_Data[[#This Row],[Type of Event]],event_type_category[Type of Event],event_type_category[Category],"Not found")</f>
        <v>Diplomacy &amp; International Relations</v>
      </c>
    </row>
    <row r="861" spans="1:18">
      <c r="A861">
        <v>911</v>
      </c>
      <c r="B861" t="s">
        <v>5057</v>
      </c>
      <c r="C861" t="s">
        <v>298</v>
      </c>
      <c r="D861" t="s">
        <v>66</v>
      </c>
      <c r="E861" t="s">
        <v>1203</v>
      </c>
      <c r="F861" t="s">
        <v>3790</v>
      </c>
      <c r="G861" t="s">
        <v>31</v>
      </c>
      <c r="H861" t="s">
        <v>3790</v>
      </c>
      <c r="I861" t="s">
        <v>3904</v>
      </c>
      <c r="J861" t="s">
        <v>3831</v>
      </c>
      <c r="K861" t="s">
        <v>3905</v>
      </c>
      <c r="L861" t="s">
        <v>21</v>
      </c>
      <c r="M861">
        <v>2000</v>
      </c>
      <c r="N861" s="5">
        <f>ROUNDUP(Clean_Data[[#This Row],[Year_Num]]/100,0)</f>
        <v>20</v>
      </c>
      <c r="O861" s="5" t="str" cm="1">
        <f t="array" ref="O861">_xlfn.LET(_xlpm.y,Clean_Data[[#This Row],[Year_Num]],_xlfn.IFS(_xlpm.y&lt;500,"Ancient",_xlpm.y&lt;1500,"Medieval",_xlpm.y&lt;1800,"Early Modern",_xlpm.y&lt;1946,"Modern",TRUE,"Contemporary"))</f>
        <v>Contemporary</v>
      </c>
      <c r="P861" s="5" t="str">
        <f>_xlfn.XLOOKUP(Clean_Data[[#This Row],[Country]],country_region[Country],country_region[Country_Standard],"Not found")</f>
        <v>Spain</v>
      </c>
      <c r="Q861" s="5" t="str">
        <f>_xlfn.XLOOKUP(Clean_Data[[#This Row],[Country]],country_region[Country],country_region[Region],"Not found")</f>
        <v>Europe</v>
      </c>
      <c r="R861" s="5" t="str">
        <f>_xlfn.XLOOKUP(Clean_Data[[#This Row],[Type of Event]],event_type_category[Type of Event],event_type_category[Category],"Not found")</f>
        <v>Politics &amp; Law</v>
      </c>
    </row>
    <row r="862" spans="1:18">
      <c r="A862">
        <v>912</v>
      </c>
      <c r="B862" t="s">
        <v>3906</v>
      </c>
      <c r="E862" t="s">
        <v>84</v>
      </c>
      <c r="F862" t="s">
        <v>3790</v>
      </c>
      <c r="G862" t="s">
        <v>1463</v>
      </c>
      <c r="H862" t="s">
        <v>3790</v>
      </c>
      <c r="I862" t="s">
        <v>3907</v>
      </c>
      <c r="J862" t="s">
        <v>3831</v>
      </c>
      <c r="K862" t="s">
        <v>3908</v>
      </c>
      <c r="L862" t="s">
        <v>54</v>
      </c>
      <c r="M862">
        <v>2008</v>
      </c>
      <c r="N862" s="5">
        <f>ROUNDUP(Clean_Data[[#This Row],[Year_Num]]/100,0)</f>
        <v>21</v>
      </c>
      <c r="O862" s="5" t="str" cm="1">
        <f t="array" ref="O862">_xlfn.LET(_xlpm.y,Clean_Data[[#This Row],[Year_Num]],_xlfn.IFS(_xlpm.y&lt;500,"Ancient",_xlpm.y&lt;1500,"Medieval",_xlpm.y&lt;1800,"Early Modern",_xlpm.y&lt;1946,"Modern",TRUE,"Contemporary"))</f>
        <v>Contemporary</v>
      </c>
      <c r="P862" s="5" t="str">
        <f>_xlfn.XLOOKUP(Clean_Data[[#This Row],[Country]],country_region[Country],country_region[Country_Standard],"Not found")</f>
        <v>Spain</v>
      </c>
      <c r="Q862" s="5" t="str">
        <f>_xlfn.XLOOKUP(Clean_Data[[#This Row],[Country]],country_region[Country],country_region[Region],"Not found")</f>
        <v>Europe</v>
      </c>
      <c r="R862" s="5" t="str">
        <f>_xlfn.XLOOKUP(Clean_Data[[#This Row],[Type of Event]],event_type_category[Type of Event],event_type_category[Category],"Not found")</f>
        <v>Economy &amp; Infrastructure</v>
      </c>
    </row>
    <row r="863" spans="1:18">
      <c r="A863">
        <v>913</v>
      </c>
      <c r="B863" t="s">
        <v>3909</v>
      </c>
      <c r="C863" t="s">
        <v>46</v>
      </c>
      <c r="D863" t="s">
        <v>158</v>
      </c>
      <c r="E863" t="s">
        <v>348</v>
      </c>
      <c r="F863" t="s">
        <v>3790</v>
      </c>
      <c r="G863" t="s">
        <v>3910</v>
      </c>
      <c r="H863" t="s">
        <v>3911</v>
      </c>
      <c r="I863" t="s">
        <v>3912</v>
      </c>
      <c r="J863" t="s">
        <v>3913</v>
      </c>
      <c r="K863" t="s">
        <v>3914</v>
      </c>
      <c r="L863" t="s">
        <v>54</v>
      </c>
      <c r="M863">
        <v>2017</v>
      </c>
      <c r="N863" s="5">
        <f>ROUNDUP(Clean_Data[[#This Row],[Year_Num]]/100,0)</f>
        <v>21</v>
      </c>
      <c r="O863" s="5" t="str" cm="1">
        <f t="array" ref="O863">_xlfn.LET(_xlpm.y,Clean_Data[[#This Row],[Year_Num]],_xlfn.IFS(_xlpm.y&lt;500,"Ancient",_xlpm.y&lt;1500,"Medieval",_xlpm.y&lt;1800,"Early Modern",_xlpm.y&lt;1946,"Modern",TRUE,"Contemporary"))</f>
        <v>Contemporary</v>
      </c>
      <c r="P863" s="5" t="str">
        <f>_xlfn.XLOOKUP(Clean_Data[[#This Row],[Country]],country_region[Country],country_region[Country_Standard],"Not found")</f>
        <v>Spain</v>
      </c>
      <c r="Q863" s="5" t="str">
        <f>_xlfn.XLOOKUP(Clean_Data[[#This Row],[Country]],country_region[Country],country_region[Region],"Not found")</f>
        <v>Europe</v>
      </c>
      <c r="R863" s="5" t="str">
        <f>_xlfn.XLOOKUP(Clean_Data[[#This Row],[Type of Event]],event_type_category[Type of Event],event_type_category[Category],"Not found")</f>
        <v>Independence &amp; Nation-Building</v>
      </c>
    </row>
    <row r="864" spans="1:18">
      <c r="A864">
        <v>914</v>
      </c>
      <c r="B864" t="s">
        <v>3915</v>
      </c>
      <c r="C864" t="s">
        <v>298</v>
      </c>
      <c r="D864" t="s">
        <v>267</v>
      </c>
      <c r="E864" t="s">
        <v>174</v>
      </c>
      <c r="F864" t="s">
        <v>3790</v>
      </c>
      <c r="G864" t="s">
        <v>2914</v>
      </c>
      <c r="H864" t="s">
        <v>300</v>
      </c>
      <c r="I864" t="s">
        <v>3916</v>
      </c>
      <c r="J864" t="s">
        <v>3917</v>
      </c>
      <c r="K864" t="s">
        <v>3918</v>
      </c>
      <c r="L864" t="s">
        <v>21</v>
      </c>
      <c r="M864">
        <v>2018</v>
      </c>
      <c r="N864" s="5">
        <f>ROUNDUP(Clean_Data[[#This Row],[Year_Num]]/100,0)</f>
        <v>21</v>
      </c>
      <c r="O864" s="5" t="str" cm="1">
        <f t="array" ref="O864">_xlfn.LET(_xlpm.y,Clean_Data[[#This Row],[Year_Num]],_xlfn.IFS(_xlpm.y&lt;500,"Ancient",_xlpm.y&lt;1500,"Medieval",_xlpm.y&lt;1800,"Early Modern",_xlpm.y&lt;1946,"Modern",TRUE,"Contemporary"))</f>
        <v>Contemporary</v>
      </c>
      <c r="P864" s="5" t="str">
        <f>_xlfn.XLOOKUP(Clean_Data[[#This Row],[Country]],country_region[Country],country_region[Country_Standard],"Not found")</f>
        <v>Spain</v>
      </c>
      <c r="Q864" s="5" t="str">
        <f>_xlfn.XLOOKUP(Clean_Data[[#This Row],[Country]],country_region[Country],country_region[Region],"Not found")</f>
        <v>Europe</v>
      </c>
      <c r="R864" s="5" t="str">
        <f>_xlfn.XLOOKUP(Clean_Data[[#This Row],[Type of Event]],event_type_category[Type of Event],event_type_category[Category],"Not found")</f>
        <v>Society &amp; Health</v>
      </c>
    </row>
    <row r="865" spans="1:18">
      <c r="A865">
        <v>915</v>
      </c>
      <c r="B865" t="s">
        <v>3919</v>
      </c>
      <c r="C865" t="s">
        <v>218</v>
      </c>
      <c r="D865" t="s">
        <v>158</v>
      </c>
      <c r="E865" t="s">
        <v>235</v>
      </c>
      <c r="F865" t="s">
        <v>3790</v>
      </c>
      <c r="G865" t="s">
        <v>3920</v>
      </c>
      <c r="H865" t="s">
        <v>3921</v>
      </c>
      <c r="I865" t="s">
        <v>3922</v>
      </c>
      <c r="J865" t="s">
        <v>3831</v>
      </c>
      <c r="K865" t="s">
        <v>3828</v>
      </c>
      <c r="L865" t="s">
        <v>21</v>
      </c>
      <c r="M865">
        <v>2019</v>
      </c>
      <c r="N865" s="5">
        <f>ROUNDUP(Clean_Data[[#This Row],[Year_Num]]/100,0)</f>
        <v>21</v>
      </c>
      <c r="O865" s="5" t="str" cm="1">
        <f t="array" ref="O865">_xlfn.LET(_xlpm.y,Clean_Data[[#This Row],[Year_Num]],_xlfn.IFS(_xlpm.y&lt;500,"Ancient",_xlpm.y&lt;1500,"Medieval",_xlpm.y&lt;1800,"Early Modern",_xlpm.y&lt;1946,"Modern",TRUE,"Contemporary"))</f>
        <v>Contemporary</v>
      </c>
      <c r="P865" s="5" t="str">
        <f>_xlfn.XLOOKUP(Clean_Data[[#This Row],[Country]],country_region[Country],country_region[Country_Standard],"Not found")</f>
        <v>Spain</v>
      </c>
      <c r="Q865" s="5" t="str">
        <f>_xlfn.XLOOKUP(Clean_Data[[#This Row],[Country]],country_region[Country],country_region[Region],"Not found")</f>
        <v>Europe</v>
      </c>
      <c r="R865" s="5" t="str">
        <f>_xlfn.XLOOKUP(Clean_Data[[#This Row],[Type of Event]],event_type_category[Type of Event],event_type_category[Category],"Not found")</f>
        <v>Diplomacy &amp; International Relations</v>
      </c>
    </row>
    <row r="866" spans="1:18">
      <c r="A866">
        <v>916</v>
      </c>
      <c r="B866" t="s">
        <v>3923</v>
      </c>
      <c r="C866" t="s">
        <v>115</v>
      </c>
      <c r="D866" t="s">
        <v>286</v>
      </c>
      <c r="E866" t="s">
        <v>279</v>
      </c>
      <c r="F866" t="s">
        <v>3790</v>
      </c>
      <c r="G866" t="s">
        <v>3898</v>
      </c>
      <c r="H866" t="s">
        <v>3838</v>
      </c>
      <c r="I866" t="s">
        <v>3924</v>
      </c>
      <c r="J866" t="s">
        <v>3925</v>
      </c>
      <c r="K866" t="s">
        <v>3926</v>
      </c>
      <c r="L866" t="s">
        <v>36</v>
      </c>
      <c r="M866">
        <v>2013</v>
      </c>
      <c r="N866" s="5">
        <f>ROUNDUP(Clean_Data[[#This Row],[Year_Num]]/100,0)</f>
        <v>21</v>
      </c>
      <c r="O866" s="5" t="str" cm="1">
        <f t="array" ref="O866">_xlfn.LET(_xlpm.y,Clean_Data[[#This Row],[Year_Num]],_xlfn.IFS(_xlpm.y&lt;500,"Ancient",_xlpm.y&lt;1500,"Medieval",_xlpm.y&lt;1800,"Early Modern",_xlpm.y&lt;1946,"Modern",TRUE,"Contemporary"))</f>
        <v>Contemporary</v>
      </c>
      <c r="P866" s="5" t="str">
        <f>_xlfn.XLOOKUP(Clean_Data[[#This Row],[Country]],country_region[Country],country_region[Country_Standard],"Not found")</f>
        <v>Spain</v>
      </c>
      <c r="Q866" s="5" t="str">
        <f>_xlfn.XLOOKUP(Clean_Data[[#This Row],[Country]],country_region[Country],country_region[Region],"Not found")</f>
        <v>Europe</v>
      </c>
      <c r="R866" s="5" t="str">
        <f>_xlfn.XLOOKUP(Clean_Data[[#This Row],[Type of Event]],event_type_category[Type of Event],event_type_category[Category],"Not found")</f>
        <v>Diplomacy &amp; International Relations</v>
      </c>
    </row>
    <row r="867" spans="1:18">
      <c r="A867">
        <v>917</v>
      </c>
      <c r="B867" t="s">
        <v>5058</v>
      </c>
      <c r="C867" t="s">
        <v>246</v>
      </c>
      <c r="D867" t="s">
        <v>100</v>
      </c>
      <c r="E867" t="s">
        <v>144</v>
      </c>
      <c r="F867" t="s">
        <v>3790</v>
      </c>
      <c r="G867" t="s">
        <v>1688</v>
      </c>
      <c r="H867" t="s">
        <v>3790</v>
      </c>
      <c r="I867" t="s">
        <v>5059</v>
      </c>
      <c r="J867" t="s">
        <v>3929</v>
      </c>
      <c r="K867" t="s">
        <v>3828</v>
      </c>
      <c r="L867" t="s">
        <v>21</v>
      </c>
      <c r="M867">
        <v>2005</v>
      </c>
      <c r="N867" s="5">
        <f>ROUNDUP(Clean_Data[[#This Row],[Year_Num]]/100,0)</f>
        <v>21</v>
      </c>
      <c r="O867" s="5" t="str" cm="1">
        <f t="array" ref="O867">_xlfn.LET(_xlpm.y,Clean_Data[[#This Row],[Year_Num]],_xlfn.IFS(_xlpm.y&lt;500,"Ancient",_xlpm.y&lt;1500,"Medieval",_xlpm.y&lt;1800,"Early Modern",_xlpm.y&lt;1946,"Modern",TRUE,"Contemporary"))</f>
        <v>Contemporary</v>
      </c>
      <c r="P867" s="5" t="str">
        <f>_xlfn.XLOOKUP(Clean_Data[[#This Row],[Country]],country_region[Country],country_region[Country_Standard],"Not found")</f>
        <v>Spain</v>
      </c>
      <c r="Q867" s="5" t="str">
        <f>_xlfn.XLOOKUP(Clean_Data[[#This Row],[Country]],country_region[Country],country_region[Region],"Not found")</f>
        <v>Europe</v>
      </c>
      <c r="R867" s="5" t="str">
        <f>_xlfn.XLOOKUP(Clean_Data[[#This Row],[Type of Event]],event_type_category[Type of Event],event_type_category[Category],"Not found")</f>
        <v>Society &amp; Health</v>
      </c>
    </row>
    <row r="868" spans="1:18">
      <c r="A868">
        <v>918</v>
      </c>
      <c r="B868" t="s">
        <v>3930</v>
      </c>
      <c r="C868" t="s">
        <v>91</v>
      </c>
      <c r="D868" t="s">
        <v>158</v>
      </c>
      <c r="E868" t="s">
        <v>1426</v>
      </c>
      <c r="F868" t="s">
        <v>3790</v>
      </c>
      <c r="G868" t="s">
        <v>3931</v>
      </c>
      <c r="H868" t="s">
        <v>3932</v>
      </c>
      <c r="I868" t="s">
        <v>3933</v>
      </c>
      <c r="J868" t="s">
        <v>3934</v>
      </c>
      <c r="K868" t="s">
        <v>3935</v>
      </c>
      <c r="L868" t="s">
        <v>21</v>
      </c>
      <c r="M868">
        <v>2011</v>
      </c>
      <c r="N868" s="5">
        <f>ROUNDUP(Clean_Data[[#This Row],[Year_Num]]/100,0)</f>
        <v>21</v>
      </c>
      <c r="O868" s="5" t="str" cm="1">
        <f t="array" ref="O868">_xlfn.LET(_xlpm.y,Clean_Data[[#This Row],[Year_Num]],_xlfn.IFS(_xlpm.y&lt;500,"Ancient",_xlpm.y&lt;1500,"Medieval",_xlpm.y&lt;1800,"Early Modern",_xlpm.y&lt;1946,"Modern",TRUE,"Contemporary"))</f>
        <v>Contemporary</v>
      </c>
      <c r="P868" s="5" t="str">
        <f>_xlfn.XLOOKUP(Clean_Data[[#This Row],[Country]],country_region[Country],country_region[Country_Standard],"Not found")</f>
        <v>Spain</v>
      </c>
      <c r="Q868" s="5" t="str">
        <f>_xlfn.XLOOKUP(Clean_Data[[#This Row],[Country]],country_region[Country],country_region[Region],"Not found")</f>
        <v>Europe</v>
      </c>
      <c r="R868" s="5" t="str">
        <f>_xlfn.XLOOKUP(Clean_Data[[#This Row],[Type of Event]],event_type_category[Type of Event],event_type_category[Category],"Not found")</f>
        <v>Diplomacy &amp; International Relations</v>
      </c>
    </row>
    <row r="869" spans="1:18">
      <c r="A869">
        <v>919</v>
      </c>
      <c r="B869" t="s">
        <v>3936</v>
      </c>
      <c r="E869" t="s">
        <v>623</v>
      </c>
      <c r="F869" t="s">
        <v>3790</v>
      </c>
      <c r="G869" t="s">
        <v>213</v>
      </c>
      <c r="H869" t="s">
        <v>3790</v>
      </c>
      <c r="I869" t="s">
        <v>3937</v>
      </c>
      <c r="J869" t="s">
        <v>3831</v>
      </c>
      <c r="K869" t="s">
        <v>3938</v>
      </c>
      <c r="L869" t="s">
        <v>54</v>
      </c>
      <c r="M869">
        <v>2010</v>
      </c>
      <c r="N869" s="5">
        <f>ROUNDUP(Clean_Data[[#This Row],[Year_Num]]/100,0)</f>
        <v>21</v>
      </c>
      <c r="O869" s="5" t="str" cm="1">
        <f t="array" ref="O869">_xlfn.LET(_xlpm.y,Clean_Data[[#This Row],[Year_Num]],_xlfn.IFS(_xlpm.y&lt;500,"Ancient",_xlpm.y&lt;1500,"Medieval",_xlpm.y&lt;1800,"Early Modern",_xlpm.y&lt;1946,"Modern",TRUE,"Contemporary"))</f>
        <v>Contemporary</v>
      </c>
      <c r="P869" s="5" t="str">
        <f>_xlfn.XLOOKUP(Clean_Data[[#This Row],[Country]],country_region[Country],country_region[Country_Standard],"Not found")</f>
        <v>Spain</v>
      </c>
      <c r="Q869" s="5" t="str">
        <f>_xlfn.XLOOKUP(Clean_Data[[#This Row],[Country]],country_region[Country],country_region[Region],"Not found")</f>
        <v>Europe</v>
      </c>
      <c r="R869" s="5" t="str">
        <f>_xlfn.XLOOKUP(Clean_Data[[#This Row],[Type of Event]],event_type_category[Type of Event],event_type_category[Category],"Not found")</f>
        <v>Economy &amp; Infrastructure</v>
      </c>
    </row>
    <row r="870" spans="1:18">
      <c r="A870">
        <v>920</v>
      </c>
      <c r="B870" t="s">
        <v>5060</v>
      </c>
      <c r="C870" t="s">
        <v>46</v>
      </c>
      <c r="D870" t="s">
        <v>100</v>
      </c>
      <c r="E870" t="s">
        <v>174</v>
      </c>
      <c r="F870" t="s">
        <v>3790</v>
      </c>
      <c r="G870" t="s">
        <v>31</v>
      </c>
      <c r="H870" t="s">
        <v>3790</v>
      </c>
      <c r="I870" t="s">
        <v>3940</v>
      </c>
      <c r="J870" t="s">
        <v>3831</v>
      </c>
      <c r="K870" t="s">
        <v>3941</v>
      </c>
      <c r="L870" t="s">
        <v>36</v>
      </c>
      <c r="M870">
        <v>2018</v>
      </c>
      <c r="N870" s="5">
        <f>ROUNDUP(Clean_Data[[#This Row],[Year_Num]]/100,0)</f>
        <v>21</v>
      </c>
      <c r="O870" s="5" t="str" cm="1">
        <f t="array" ref="O870">_xlfn.LET(_xlpm.y,Clean_Data[[#This Row],[Year_Num]],_xlfn.IFS(_xlpm.y&lt;500,"Ancient",_xlpm.y&lt;1500,"Medieval",_xlpm.y&lt;1800,"Early Modern",_xlpm.y&lt;1946,"Modern",TRUE,"Contemporary"))</f>
        <v>Contemporary</v>
      </c>
      <c r="P870" s="5" t="str">
        <f>_xlfn.XLOOKUP(Clean_Data[[#This Row],[Country]],country_region[Country],country_region[Country_Standard],"Not found")</f>
        <v>Spain</v>
      </c>
      <c r="Q870" s="5" t="str">
        <f>_xlfn.XLOOKUP(Clean_Data[[#This Row],[Country]],country_region[Country],country_region[Region],"Not found")</f>
        <v>Europe</v>
      </c>
      <c r="R870" s="5" t="str">
        <f>_xlfn.XLOOKUP(Clean_Data[[#This Row],[Type of Event]],event_type_category[Type of Event],event_type_category[Category],"Not found")</f>
        <v>Politics &amp; Law</v>
      </c>
    </row>
    <row r="871" spans="1:18">
      <c r="A871">
        <v>921</v>
      </c>
      <c r="B871" t="s">
        <v>3942</v>
      </c>
      <c r="E871" t="s">
        <v>3943</v>
      </c>
      <c r="F871" t="s">
        <v>3790</v>
      </c>
      <c r="G871" t="s">
        <v>3944</v>
      </c>
      <c r="H871" t="s">
        <v>3945</v>
      </c>
      <c r="I871" t="s">
        <v>3946</v>
      </c>
      <c r="J871" t="s">
        <v>3947</v>
      </c>
      <c r="K871" t="s">
        <v>3948</v>
      </c>
      <c r="L871" t="s">
        <v>21</v>
      </c>
      <c r="M871">
        <v>1879</v>
      </c>
      <c r="N871" s="5">
        <f>ROUNDUP(Clean_Data[[#This Row],[Year_Num]]/100,0)</f>
        <v>19</v>
      </c>
      <c r="O871" s="5" t="str" cm="1">
        <f t="array" ref="O871">_xlfn.LET(_xlpm.y,Clean_Data[[#This Row],[Year_Num]],_xlfn.IFS(_xlpm.y&lt;500,"Ancient",_xlpm.y&lt;1500,"Medieval",_xlpm.y&lt;1800,"Early Modern",_xlpm.y&lt;1946,"Modern",TRUE,"Contemporary"))</f>
        <v>Modern</v>
      </c>
      <c r="P871" s="5" t="str">
        <f>_xlfn.XLOOKUP(Clean_Data[[#This Row],[Country]],country_region[Country],country_region[Country_Standard],"Not found")</f>
        <v>Spain</v>
      </c>
      <c r="Q871" s="5" t="str">
        <f>_xlfn.XLOOKUP(Clean_Data[[#This Row],[Country]],country_region[Country],country_region[Region],"Not found")</f>
        <v>Europe</v>
      </c>
      <c r="R871" s="5" t="str">
        <f>_xlfn.XLOOKUP(Clean_Data[[#This Row],[Type of Event]],event_type_category[Type of Event],event_type_category[Category],"Not found")</f>
        <v>Culture, Religion &amp; Sport</v>
      </c>
    </row>
    <row r="872" spans="1:18">
      <c r="A872">
        <v>922</v>
      </c>
      <c r="B872" t="s">
        <v>3949</v>
      </c>
      <c r="E872" t="s">
        <v>1093</v>
      </c>
      <c r="F872" t="s">
        <v>3790</v>
      </c>
      <c r="G872" t="s">
        <v>984</v>
      </c>
      <c r="H872" t="s">
        <v>3380</v>
      </c>
      <c r="I872" t="s">
        <v>3950</v>
      </c>
      <c r="J872" t="s">
        <v>753</v>
      </c>
      <c r="K872" t="s">
        <v>3951</v>
      </c>
      <c r="L872" t="s">
        <v>54</v>
      </c>
      <c r="M872">
        <v>1918</v>
      </c>
      <c r="N872" s="5">
        <f>ROUNDUP(Clean_Data[[#This Row],[Year_Num]]/100,0)</f>
        <v>20</v>
      </c>
      <c r="O872" s="5" t="str" cm="1">
        <f t="array" ref="O872">_xlfn.LET(_xlpm.y,Clean_Data[[#This Row],[Year_Num]],_xlfn.IFS(_xlpm.y&lt;500,"Ancient",_xlpm.y&lt;1500,"Medieval",_xlpm.y&lt;1800,"Early Modern",_xlpm.y&lt;1946,"Modern",TRUE,"Contemporary"))</f>
        <v>Modern</v>
      </c>
      <c r="P872" s="5" t="str">
        <f>_xlfn.XLOOKUP(Clean_Data[[#This Row],[Country]],country_region[Country],country_region[Country_Standard],"Not found")</f>
        <v>Spain</v>
      </c>
      <c r="Q872" s="5" t="str">
        <f>_xlfn.XLOOKUP(Clean_Data[[#This Row],[Country]],country_region[Country],country_region[Region],"Not found")</f>
        <v>Europe</v>
      </c>
      <c r="R872" s="5" t="str">
        <f>_xlfn.XLOOKUP(Clean_Data[[#This Row],[Type of Event]],event_type_category[Type of Event],event_type_category[Category],"Not found")</f>
        <v>Society &amp; Health</v>
      </c>
    </row>
    <row r="873" spans="1:18">
      <c r="A873">
        <v>923</v>
      </c>
      <c r="B873" t="s">
        <v>3952</v>
      </c>
      <c r="C873" t="s">
        <v>251</v>
      </c>
      <c r="D873" t="s">
        <v>267</v>
      </c>
      <c r="E873" t="s">
        <v>3789</v>
      </c>
      <c r="F873" t="s">
        <v>3790</v>
      </c>
      <c r="G873" t="s">
        <v>3953</v>
      </c>
      <c r="H873" t="s">
        <v>3798</v>
      </c>
      <c r="I873" t="s">
        <v>3954</v>
      </c>
      <c r="J873" t="s">
        <v>3955</v>
      </c>
      <c r="K873" t="s">
        <v>3956</v>
      </c>
      <c r="L873" t="s">
        <v>54</v>
      </c>
      <c r="M873">
        <v>1492</v>
      </c>
      <c r="N873" s="5">
        <f>ROUNDUP(Clean_Data[[#This Row],[Year_Num]]/100,0)</f>
        <v>15</v>
      </c>
      <c r="O873" s="5" t="str" cm="1">
        <f t="array" ref="O873">_xlfn.LET(_xlpm.y,Clean_Data[[#This Row],[Year_Num]],_xlfn.IFS(_xlpm.y&lt;500,"Ancient",_xlpm.y&lt;1500,"Medieval",_xlpm.y&lt;1800,"Early Modern",_xlpm.y&lt;1946,"Modern",TRUE,"Contemporary"))</f>
        <v>Medieval</v>
      </c>
      <c r="P873" s="5" t="str">
        <f>_xlfn.XLOOKUP(Clean_Data[[#This Row],[Country]],country_region[Country],country_region[Country_Standard],"Not found")</f>
        <v>Spain</v>
      </c>
      <c r="Q873" s="5" t="str">
        <f>_xlfn.XLOOKUP(Clean_Data[[#This Row],[Country]],country_region[Country],country_region[Region],"Not found")</f>
        <v>Europe</v>
      </c>
      <c r="R873" s="5" t="str">
        <f>_xlfn.XLOOKUP(Clean_Data[[#This Row],[Type of Event]],event_type_category[Type of Event],event_type_category[Category],"Not found")</f>
        <v>Culture, Religion &amp; Sport</v>
      </c>
    </row>
    <row r="874" spans="1:18">
      <c r="A874">
        <v>924</v>
      </c>
      <c r="B874" t="s">
        <v>3957</v>
      </c>
      <c r="C874" t="s">
        <v>321</v>
      </c>
      <c r="D874" t="s">
        <v>66</v>
      </c>
      <c r="E874" t="s">
        <v>713</v>
      </c>
      <c r="F874" t="s">
        <v>3790</v>
      </c>
      <c r="G874" t="s">
        <v>31</v>
      </c>
      <c r="H874" t="s">
        <v>3790</v>
      </c>
      <c r="I874" t="s">
        <v>3958</v>
      </c>
      <c r="J874" t="s">
        <v>3831</v>
      </c>
      <c r="K874" t="s">
        <v>3959</v>
      </c>
      <c r="L874" t="s">
        <v>21</v>
      </c>
      <c r="M874">
        <v>1978</v>
      </c>
      <c r="N874" s="5">
        <f>ROUNDUP(Clean_Data[[#This Row],[Year_Num]]/100,0)</f>
        <v>20</v>
      </c>
      <c r="O874" s="5" t="str" cm="1">
        <f t="array" ref="O874">_xlfn.LET(_xlpm.y,Clean_Data[[#This Row],[Year_Num]],_xlfn.IFS(_xlpm.y&lt;500,"Ancient",_xlpm.y&lt;1500,"Medieval",_xlpm.y&lt;1800,"Early Modern",_xlpm.y&lt;1946,"Modern",TRUE,"Contemporary"))</f>
        <v>Contemporary</v>
      </c>
      <c r="P874" s="5" t="str">
        <f>_xlfn.XLOOKUP(Clean_Data[[#This Row],[Country]],country_region[Country],country_region[Country_Standard],"Not found")</f>
        <v>Spain</v>
      </c>
      <c r="Q874" s="5" t="str">
        <f>_xlfn.XLOOKUP(Clean_Data[[#This Row],[Country]],country_region[Country],country_region[Region],"Not found")</f>
        <v>Europe</v>
      </c>
      <c r="R874" s="5" t="str">
        <f>_xlfn.XLOOKUP(Clean_Data[[#This Row],[Type of Event]],event_type_category[Type of Event],event_type_category[Category],"Not found")</f>
        <v>Politics &amp; Law</v>
      </c>
    </row>
    <row r="875" spans="1:18">
      <c r="A875">
        <v>925</v>
      </c>
      <c r="B875" t="s">
        <v>3960</v>
      </c>
      <c r="C875" t="s">
        <v>74</v>
      </c>
      <c r="D875" t="s">
        <v>211</v>
      </c>
      <c r="E875" t="s">
        <v>623</v>
      </c>
      <c r="F875" t="s">
        <v>295</v>
      </c>
      <c r="G875" t="s">
        <v>273</v>
      </c>
      <c r="H875" t="s">
        <v>3961</v>
      </c>
      <c r="I875" t="s">
        <v>3962</v>
      </c>
      <c r="J875" t="s">
        <v>3963</v>
      </c>
      <c r="K875" t="s">
        <v>3964</v>
      </c>
      <c r="L875" t="s">
        <v>21</v>
      </c>
      <c r="M875">
        <v>2010</v>
      </c>
      <c r="N875" s="5">
        <f>ROUNDUP(Clean_Data[[#This Row],[Year_Num]]/100,0)</f>
        <v>21</v>
      </c>
      <c r="O875" s="5" t="str" cm="1">
        <f t="array" ref="O875">_xlfn.LET(_xlpm.y,Clean_Data[[#This Row],[Year_Num]],_xlfn.IFS(_xlpm.y&lt;500,"Ancient",_xlpm.y&lt;1500,"Medieval",_xlpm.y&lt;1800,"Early Modern",_xlpm.y&lt;1946,"Modern",TRUE,"Contemporary"))</f>
        <v>Contemporary</v>
      </c>
      <c r="P875" s="5" t="str">
        <f>_xlfn.XLOOKUP(Clean_Data[[#This Row],[Country]],country_region[Country],country_region[Country_Standard],"Not found")</f>
        <v>South Africa</v>
      </c>
      <c r="Q875" s="5" t="str">
        <f>_xlfn.XLOOKUP(Clean_Data[[#This Row],[Country]],country_region[Country],country_region[Region],"Not found")</f>
        <v>Sub-Saharan Africa</v>
      </c>
      <c r="R875" s="5" t="str">
        <f>_xlfn.XLOOKUP(Clean_Data[[#This Row],[Type of Event]],event_type_category[Type of Event],event_type_category[Category],"Not found")</f>
        <v>Culture, Religion &amp; Sport</v>
      </c>
    </row>
    <row r="876" spans="1:18">
      <c r="A876">
        <v>926</v>
      </c>
      <c r="B876" t="s">
        <v>5061</v>
      </c>
      <c r="C876" t="s">
        <v>38</v>
      </c>
      <c r="D876" t="s">
        <v>39</v>
      </c>
      <c r="E876" t="s">
        <v>893</v>
      </c>
      <c r="F876" t="s">
        <v>3790</v>
      </c>
      <c r="G876" t="s">
        <v>175</v>
      </c>
      <c r="H876" t="s">
        <v>5062</v>
      </c>
      <c r="I876" t="s">
        <v>3967</v>
      </c>
      <c r="J876" t="s">
        <v>3968</v>
      </c>
      <c r="K876" t="s">
        <v>3828</v>
      </c>
      <c r="L876" t="s">
        <v>21</v>
      </c>
      <c r="M876">
        <v>1992</v>
      </c>
      <c r="N876" s="5">
        <f>ROUNDUP(Clean_Data[[#This Row],[Year_Num]]/100,0)</f>
        <v>20</v>
      </c>
      <c r="O876" s="5" t="str" cm="1">
        <f t="array" ref="O876">_xlfn.LET(_xlpm.y,Clean_Data[[#This Row],[Year_Num]],_xlfn.IFS(_xlpm.y&lt;500,"Ancient",_xlpm.y&lt;1500,"Medieval",_xlpm.y&lt;1800,"Early Modern",_xlpm.y&lt;1946,"Modern",TRUE,"Contemporary"))</f>
        <v>Contemporary</v>
      </c>
      <c r="P876" s="5" t="str">
        <f>_xlfn.XLOOKUP(Clean_Data[[#This Row],[Country]],country_region[Country],country_region[Country_Standard],"Not found")</f>
        <v>Spain</v>
      </c>
      <c r="Q876" s="5" t="str">
        <f>_xlfn.XLOOKUP(Clean_Data[[#This Row],[Country]],country_region[Country],country_region[Region],"Not found")</f>
        <v>Europe</v>
      </c>
      <c r="R876" s="5" t="str">
        <f>_xlfn.XLOOKUP(Clean_Data[[#This Row],[Type of Event]],event_type_category[Type of Event],event_type_category[Category],"Not found")</f>
        <v>Economy &amp; Infrastructure</v>
      </c>
    </row>
    <row r="877" spans="1:18">
      <c r="A877">
        <v>927</v>
      </c>
      <c r="B877" t="s">
        <v>3969</v>
      </c>
      <c r="C877" t="s">
        <v>82</v>
      </c>
      <c r="D877" t="s">
        <v>66</v>
      </c>
      <c r="E877" t="s">
        <v>294</v>
      </c>
      <c r="F877" t="s">
        <v>3790</v>
      </c>
      <c r="G877" t="s">
        <v>145</v>
      </c>
      <c r="H877" t="s">
        <v>3790</v>
      </c>
      <c r="I877" t="s">
        <v>3970</v>
      </c>
      <c r="J877" t="s">
        <v>3831</v>
      </c>
      <c r="K877" t="s">
        <v>3828</v>
      </c>
      <c r="L877" t="s">
        <v>21</v>
      </c>
      <c r="M877">
        <v>2007</v>
      </c>
      <c r="N877" s="5">
        <f>ROUNDUP(Clean_Data[[#This Row],[Year_Num]]/100,0)</f>
        <v>21</v>
      </c>
      <c r="O877" s="5" t="str" cm="1">
        <f t="array" ref="O877">_xlfn.LET(_xlpm.y,Clean_Data[[#This Row],[Year_Num]],_xlfn.IFS(_xlpm.y&lt;500,"Ancient",_xlpm.y&lt;1500,"Medieval",_xlpm.y&lt;1800,"Early Modern",_xlpm.y&lt;1946,"Modern",TRUE,"Contemporary"))</f>
        <v>Contemporary</v>
      </c>
      <c r="P877" s="5" t="str">
        <f>_xlfn.XLOOKUP(Clean_Data[[#This Row],[Country]],country_region[Country],country_region[Country_Standard],"Not found")</f>
        <v>Spain</v>
      </c>
      <c r="Q877" s="5" t="str">
        <f>_xlfn.XLOOKUP(Clean_Data[[#This Row],[Country]],country_region[Country],country_region[Region],"Not found")</f>
        <v>Europe</v>
      </c>
      <c r="R877" s="5" t="str">
        <f>_xlfn.XLOOKUP(Clean_Data[[#This Row],[Type of Event]],event_type_category[Type of Event],event_type_category[Category],"Not found")</f>
        <v>Politics &amp; Law</v>
      </c>
    </row>
    <row r="878" spans="1:18">
      <c r="A878">
        <v>928</v>
      </c>
      <c r="B878" t="s">
        <v>3971</v>
      </c>
      <c r="C878" t="s">
        <v>298</v>
      </c>
      <c r="D878" t="s">
        <v>57</v>
      </c>
      <c r="E878" t="s">
        <v>3311</v>
      </c>
      <c r="F878" t="s">
        <v>3321</v>
      </c>
      <c r="G878" t="s">
        <v>3803</v>
      </c>
      <c r="H878" t="s">
        <v>3312</v>
      </c>
      <c r="I878" t="s">
        <v>3972</v>
      </c>
      <c r="J878" t="s">
        <v>3973</v>
      </c>
      <c r="K878" t="s">
        <v>3974</v>
      </c>
      <c r="L878" t="s">
        <v>54</v>
      </c>
      <c r="M878">
        <v>1588</v>
      </c>
      <c r="N878" s="5">
        <f>ROUNDUP(Clean_Data[[#This Row],[Year_Num]]/100,0)</f>
        <v>16</v>
      </c>
      <c r="O878" s="5" t="str" cm="1">
        <f t="array" ref="O878">_xlfn.LET(_xlpm.y,Clean_Data[[#This Row],[Year_Num]],_xlfn.IFS(_xlpm.y&lt;500,"Ancient",_xlpm.y&lt;1500,"Medieval",_xlpm.y&lt;1800,"Early Modern",_xlpm.y&lt;1946,"Modern",TRUE,"Contemporary"))</f>
        <v>Early Modern</v>
      </c>
      <c r="P878" s="5" t="str">
        <f>_xlfn.XLOOKUP(Clean_Data[[#This Row],[Country]],country_region[Country],country_region[Country_Standard],"Not found")</f>
        <v>UK</v>
      </c>
      <c r="Q878" s="5" t="str">
        <f>_xlfn.XLOOKUP(Clean_Data[[#This Row],[Country]],country_region[Country],country_region[Region],"Not found")</f>
        <v>Europe</v>
      </c>
      <c r="R878" s="5" t="str">
        <f>_xlfn.XLOOKUP(Clean_Data[[#This Row],[Type of Event]],event_type_category[Type of Event],event_type_category[Category],"Not found")</f>
        <v>War &amp; Conflict</v>
      </c>
    </row>
    <row r="879" spans="1:18">
      <c r="A879">
        <v>929</v>
      </c>
      <c r="B879" t="s">
        <v>3975</v>
      </c>
      <c r="C879" t="s">
        <v>218</v>
      </c>
      <c r="D879" t="s">
        <v>100</v>
      </c>
      <c r="E879" t="s">
        <v>3976</v>
      </c>
      <c r="F879" t="s">
        <v>3977</v>
      </c>
      <c r="G879" t="s">
        <v>1123</v>
      </c>
      <c r="H879" t="s">
        <v>3977</v>
      </c>
      <c r="I879" t="s">
        <v>3978</v>
      </c>
      <c r="J879" t="s">
        <v>3979</v>
      </c>
      <c r="K879" t="s">
        <v>3980</v>
      </c>
      <c r="L879" t="s">
        <v>54</v>
      </c>
      <c r="M879">
        <v>1779</v>
      </c>
      <c r="N879" s="5">
        <f>ROUNDUP(Clean_Data[[#This Row],[Year_Num]]/100,0)</f>
        <v>18</v>
      </c>
      <c r="O879" s="5" t="str" cm="1">
        <f t="array" ref="O879">_xlfn.LET(_xlpm.y,Clean_Data[[#This Row],[Year_Num]],_xlfn.IFS(_xlpm.y&lt;500,"Ancient",_xlpm.y&lt;1500,"Medieval",_xlpm.y&lt;1800,"Early Modern",_xlpm.y&lt;1946,"Modern",TRUE,"Contemporary"))</f>
        <v>Early Modern</v>
      </c>
      <c r="P879" s="5" t="str">
        <f>_xlfn.XLOOKUP(Clean_Data[[#This Row],[Country]],country_region[Country],country_region[Country_Standard],"Not found")</f>
        <v>Gibraltar (UK)</v>
      </c>
      <c r="Q879" s="5" t="str">
        <f>_xlfn.XLOOKUP(Clean_Data[[#This Row],[Country]],country_region[Country],country_region[Region],"Not found")</f>
        <v>Europe</v>
      </c>
      <c r="R879" s="5" t="str">
        <f>_xlfn.XLOOKUP(Clean_Data[[#This Row],[Type of Event]],event_type_category[Type of Event],event_type_category[Category],"Not found")</f>
        <v>War &amp; Conflict</v>
      </c>
    </row>
    <row r="880" spans="1:18">
      <c r="A880">
        <v>930</v>
      </c>
      <c r="B880" t="s">
        <v>3981</v>
      </c>
      <c r="E880" t="s">
        <v>3982</v>
      </c>
      <c r="F880" t="s">
        <v>3790</v>
      </c>
      <c r="G880" t="s">
        <v>3983</v>
      </c>
      <c r="H880" t="s">
        <v>3984</v>
      </c>
      <c r="I880" t="s">
        <v>3985</v>
      </c>
      <c r="J880" t="s">
        <v>3986</v>
      </c>
      <c r="K880" t="s">
        <v>3987</v>
      </c>
      <c r="L880" t="s">
        <v>36</v>
      </c>
      <c r="M880">
        <v>1542</v>
      </c>
      <c r="N880" s="5">
        <f>ROUNDUP(Clean_Data[[#This Row],[Year_Num]]/100,0)</f>
        <v>16</v>
      </c>
      <c r="O880" s="5" t="str" cm="1">
        <f t="array" ref="O880">_xlfn.LET(_xlpm.y,Clean_Data[[#This Row],[Year_Num]],_xlfn.IFS(_xlpm.y&lt;500,"Ancient",_xlpm.y&lt;1500,"Medieval",_xlpm.y&lt;1800,"Early Modern",_xlpm.y&lt;1946,"Modern",TRUE,"Contemporary"))</f>
        <v>Early Modern</v>
      </c>
      <c r="P880" s="5" t="str">
        <f>_xlfn.XLOOKUP(Clean_Data[[#This Row],[Country]],country_region[Country],country_region[Country_Standard],"Not found")</f>
        <v>Spain</v>
      </c>
      <c r="Q880" s="5" t="str">
        <f>_xlfn.XLOOKUP(Clean_Data[[#This Row],[Country]],country_region[Country],country_region[Region],"Not found")</f>
        <v>Europe</v>
      </c>
      <c r="R880" s="5" t="str">
        <f>_xlfn.XLOOKUP(Clean_Data[[#This Row],[Type of Event]],event_type_category[Type of Event],event_type_category[Category],"Not found")</f>
        <v>Independence &amp; Nation-Building</v>
      </c>
    </row>
    <row r="881" spans="1:18">
      <c r="A881">
        <v>935</v>
      </c>
      <c r="B881" t="s">
        <v>3988</v>
      </c>
      <c r="E881" t="s">
        <v>3989</v>
      </c>
      <c r="F881" t="s">
        <v>3790</v>
      </c>
      <c r="G881" t="s">
        <v>3990</v>
      </c>
      <c r="H881" t="s">
        <v>3991</v>
      </c>
      <c r="I881" t="s">
        <v>3992</v>
      </c>
      <c r="J881" t="s">
        <v>3993</v>
      </c>
      <c r="K881" t="s">
        <v>3994</v>
      </c>
      <c r="L881" t="s">
        <v>21</v>
      </c>
      <c r="M881">
        <v>-1100</v>
      </c>
      <c r="N881" s="5">
        <f>ROUNDUP(Clean_Data[[#This Row],[Year_Num]]/100,0)</f>
        <v>-11</v>
      </c>
      <c r="O881" s="5" t="str" cm="1">
        <f t="array" ref="O881">_xlfn.LET(_xlpm.y,Clean_Data[[#This Row],[Year_Num]],_xlfn.IFS(_xlpm.y&lt;500,"Ancient",_xlpm.y&lt;1500,"Medieval",_xlpm.y&lt;1800,"Early Modern",_xlpm.y&lt;1946,"Modern",TRUE,"Contemporary"))</f>
        <v>Ancient</v>
      </c>
      <c r="P881" s="5" t="str">
        <f>_xlfn.XLOOKUP(Clean_Data[[#This Row],[Country]],country_region[Country],country_region[Country_Standard],"Not found")</f>
        <v>Spain</v>
      </c>
      <c r="Q881" s="5" t="str">
        <f>_xlfn.XLOOKUP(Clean_Data[[#This Row],[Country]],country_region[Country],country_region[Region],"Not found")</f>
        <v>Europe</v>
      </c>
      <c r="R881" s="5" t="str">
        <f>_xlfn.XLOOKUP(Clean_Data[[#This Row],[Type of Event]],event_type_category[Type of Event],event_type_category[Category],"Not found")</f>
        <v>Culture, Religion &amp; Sport</v>
      </c>
    </row>
    <row r="882" spans="1:18">
      <c r="A882">
        <v>936</v>
      </c>
      <c r="B882" t="s">
        <v>3995</v>
      </c>
      <c r="E882" t="s">
        <v>3996</v>
      </c>
      <c r="F882" t="s">
        <v>3790</v>
      </c>
      <c r="G882" t="s">
        <v>2469</v>
      </c>
      <c r="H882" t="s">
        <v>3997</v>
      </c>
      <c r="I882" t="s">
        <v>3998</v>
      </c>
      <c r="J882" t="s">
        <v>3999</v>
      </c>
      <c r="K882" t="s">
        <v>4000</v>
      </c>
      <c r="L882" t="s">
        <v>54</v>
      </c>
      <c r="M882">
        <v>711</v>
      </c>
      <c r="N882" s="5">
        <f>ROUNDUP(Clean_Data[[#This Row],[Year_Num]]/100,0)</f>
        <v>8</v>
      </c>
      <c r="O882" s="5" t="str" cm="1">
        <f t="array" ref="O882">_xlfn.LET(_xlpm.y,Clean_Data[[#This Row],[Year_Num]],_xlfn.IFS(_xlpm.y&lt;500,"Ancient",_xlpm.y&lt;1500,"Medieval",_xlpm.y&lt;1800,"Early Modern",_xlpm.y&lt;1946,"Modern",TRUE,"Contemporary"))</f>
        <v>Medieval</v>
      </c>
      <c r="P882" s="5" t="str">
        <f>_xlfn.XLOOKUP(Clean_Data[[#This Row],[Country]],country_region[Country],country_region[Country_Standard],"Not found")</f>
        <v>Spain</v>
      </c>
      <c r="Q882" s="5" t="str">
        <f>_xlfn.XLOOKUP(Clean_Data[[#This Row],[Country]],country_region[Country],country_region[Region],"Not found")</f>
        <v>Europe</v>
      </c>
      <c r="R882" s="5" t="str">
        <f>_xlfn.XLOOKUP(Clean_Data[[#This Row],[Type of Event]],event_type_category[Type of Event],event_type_category[Category],"Not found")</f>
        <v>War &amp; Conflict</v>
      </c>
    </row>
    <row r="883" spans="1:18">
      <c r="A883">
        <v>940</v>
      </c>
      <c r="B883" t="s">
        <v>4001</v>
      </c>
      <c r="E883" t="s">
        <v>3989</v>
      </c>
      <c r="F883" t="s">
        <v>3790</v>
      </c>
      <c r="G883" t="s">
        <v>1449</v>
      </c>
      <c r="H883" t="s">
        <v>3991</v>
      </c>
      <c r="I883" t="s">
        <v>4002</v>
      </c>
      <c r="J883" t="s">
        <v>3993</v>
      </c>
      <c r="K883" t="s">
        <v>3994</v>
      </c>
      <c r="L883" t="s">
        <v>21</v>
      </c>
      <c r="M883">
        <v>-1100</v>
      </c>
      <c r="N883" s="5">
        <f>ROUNDUP(Clean_Data[[#This Row],[Year_Num]]/100,0)</f>
        <v>-11</v>
      </c>
      <c r="O883" s="5" t="str" cm="1">
        <f t="array" ref="O883">_xlfn.LET(_xlpm.y,Clean_Data[[#This Row],[Year_Num]],_xlfn.IFS(_xlpm.y&lt;500,"Ancient",_xlpm.y&lt;1500,"Medieval",_xlpm.y&lt;1800,"Early Modern",_xlpm.y&lt;1946,"Modern",TRUE,"Contemporary"))</f>
        <v>Ancient</v>
      </c>
      <c r="P883" s="5" t="str">
        <f>_xlfn.XLOOKUP(Clean_Data[[#This Row],[Country]],country_region[Country],country_region[Country_Standard],"Not found")</f>
        <v>Spain</v>
      </c>
      <c r="Q883" s="5" t="str">
        <f>_xlfn.XLOOKUP(Clean_Data[[#This Row],[Country]],country_region[Country],country_region[Region],"Not found")</f>
        <v>Europe</v>
      </c>
      <c r="R883" s="5" t="str">
        <f>_xlfn.XLOOKUP(Clean_Data[[#This Row],[Type of Event]],event_type_category[Type of Event],event_type_category[Category],"Not found")</f>
        <v>Independence &amp; Nation-Building</v>
      </c>
    </row>
    <row r="884" spans="1:18">
      <c r="A884">
        <v>941</v>
      </c>
      <c r="B884" t="s">
        <v>4003</v>
      </c>
      <c r="E884" t="s">
        <v>4004</v>
      </c>
      <c r="F884" t="s">
        <v>4005</v>
      </c>
      <c r="G884" t="s">
        <v>3359</v>
      </c>
      <c r="H884" t="s">
        <v>4005</v>
      </c>
      <c r="I884" t="s">
        <v>4006</v>
      </c>
      <c r="J884" t="s">
        <v>4007</v>
      </c>
      <c r="K884" t="s">
        <v>4008</v>
      </c>
      <c r="L884" t="s">
        <v>21</v>
      </c>
      <c r="M884">
        <v>940</v>
      </c>
      <c r="N884" s="5">
        <f>ROUNDUP(Clean_Data[[#This Row],[Year_Num]]/100,0)</f>
        <v>10</v>
      </c>
      <c r="O884" s="5" t="str" cm="1">
        <f t="array" ref="O884">_xlfn.LET(_xlpm.y,Clean_Data[[#This Row],[Year_Num]],_xlfn.IFS(_xlpm.y&lt;500,"Ancient",_xlpm.y&lt;1500,"Medieval",_xlpm.y&lt;1800,"Early Modern",_xlpm.y&lt;1946,"Modern",TRUE,"Contemporary"))</f>
        <v>Medieval</v>
      </c>
      <c r="P884" s="5" t="str">
        <f>_xlfn.XLOOKUP(Clean_Data[[#This Row],[Country]],country_region[Country],country_region[Country_Standard],"Not found")</f>
        <v>Denmark</v>
      </c>
      <c r="Q884" s="5" t="str">
        <f>_xlfn.XLOOKUP(Clean_Data[[#This Row],[Country]],country_region[Country],country_region[Region],"Not found")</f>
        <v>Europe</v>
      </c>
      <c r="R884" s="5" t="str">
        <f>_xlfn.XLOOKUP(Clean_Data[[#This Row],[Type of Event]],event_type_category[Type of Event],event_type_category[Category],"Not found")</f>
        <v>Independence &amp; Nation-Building</v>
      </c>
    </row>
    <row r="885" spans="1:18">
      <c r="A885">
        <v>942</v>
      </c>
      <c r="B885" t="s">
        <v>4009</v>
      </c>
      <c r="E885" t="s">
        <v>777</v>
      </c>
      <c r="F885" t="s">
        <v>4005</v>
      </c>
      <c r="G885" t="s">
        <v>4010</v>
      </c>
      <c r="H885" t="s">
        <v>4005</v>
      </c>
      <c r="I885" t="s">
        <v>4011</v>
      </c>
      <c r="J885" t="s">
        <v>4012</v>
      </c>
      <c r="K885" t="s">
        <v>4013</v>
      </c>
      <c r="L885" t="s">
        <v>36</v>
      </c>
      <c r="M885">
        <v>960</v>
      </c>
      <c r="N885" s="5">
        <f>ROUNDUP(Clean_Data[[#This Row],[Year_Num]]/100,0)</f>
        <v>10</v>
      </c>
      <c r="O885" s="5" t="str" cm="1">
        <f t="array" ref="O885">_xlfn.LET(_xlpm.y,Clean_Data[[#This Row],[Year_Num]],_xlfn.IFS(_xlpm.y&lt;500,"Ancient",_xlpm.y&lt;1500,"Medieval",_xlpm.y&lt;1800,"Early Modern",_xlpm.y&lt;1946,"Modern",TRUE,"Contemporary"))</f>
        <v>Medieval</v>
      </c>
      <c r="P885" s="5" t="str">
        <f>_xlfn.XLOOKUP(Clean_Data[[#This Row],[Country]],country_region[Country],country_region[Country_Standard],"Not found")</f>
        <v>Denmark</v>
      </c>
      <c r="Q885" s="5" t="str">
        <f>_xlfn.XLOOKUP(Clean_Data[[#This Row],[Country]],country_region[Country],country_region[Region],"Not found")</f>
        <v>Europe</v>
      </c>
      <c r="R885" s="5" t="str">
        <f>_xlfn.XLOOKUP(Clean_Data[[#This Row],[Type of Event]],event_type_category[Type of Event],event_type_category[Category],"Not found")</f>
        <v>Culture, Religion &amp; Sport</v>
      </c>
    </row>
    <row r="886" spans="1:18">
      <c r="A886">
        <v>944</v>
      </c>
      <c r="B886" t="s">
        <v>4014</v>
      </c>
      <c r="E886" t="s">
        <v>4015</v>
      </c>
      <c r="F886" t="s">
        <v>4016</v>
      </c>
      <c r="G886" t="s">
        <v>4010</v>
      </c>
      <c r="H886" t="s">
        <v>4016</v>
      </c>
      <c r="I886" t="s">
        <v>4011</v>
      </c>
      <c r="J886" t="s">
        <v>4017</v>
      </c>
      <c r="K886" t="s">
        <v>4018</v>
      </c>
      <c r="L886" t="s">
        <v>36</v>
      </c>
      <c r="M886">
        <v>1000</v>
      </c>
      <c r="N886" s="5">
        <f>ROUNDUP(Clean_Data[[#This Row],[Year_Num]]/100,0)</f>
        <v>10</v>
      </c>
      <c r="O886" s="5" t="str" cm="1">
        <f t="array" ref="O886">_xlfn.LET(_xlpm.y,Clean_Data[[#This Row],[Year_Num]],_xlfn.IFS(_xlpm.y&lt;500,"Ancient",_xlpm.y&lt;1500,"Medieval",_xlpm.y&lt;1800,"Early Modern",_xlpm.y&lt;1946,"Modern",TRUE,"Contemporary"))</f>
        <v>Medieval</v>
      </c>
      <c r="P886" s="5" t="str">
        <f>_xlfn.XLOOKUP(Clean_Data[[#This Row],[Country]],country_region[Country],country_region[Country_Standard],"Not found")</f>
        <v>Norway</v>
      </c>
      <c r="Q886" s="5" t="str">
        <f>_xlfn.XLOOKUP(Clean_Data[[#This Row],[Country]],country_region[Country],country_region[Region],"Not found")</f>
        <v>Europe</v>
      </c>
      <c r="R886" s="5" t="str">
        <f>_xlfn.XLOOKUP(Clean_Data[[#This Row],[Type of Event]],event_type_category[Type of Event],event_type_category[Category],"Not found")</f>
        <v>Culture, Religion &amp; Sport</v>
      </c>
    </row>
    <row r="887" spans="1:18">
      <c r="A887">
        <v>945</v>
      </c>
      <c r="B887" t="s">
        <v>4019</v>
      </c>
      <c r="E887" t="s">
        <v>3577</v>
      </c>
      <c r="F887" t="s">
        <v>1118</v>
      </c>
      <c r="G887" t="s">
        <v>356</v>
      </c>
      <c r="H887" t="s">
        <v>1118</v>
      </c>
      <c r="I887" t="s">
        <v>4020</v>
      </c>
      <c r="J887" t="s">
        <v>4021</v>
      </c>
      <c r="K887" t="s">
        <v>4022</v>
      </c>
      <c r="L887" t="s">
        <v>54</v>
      </c>
      <c r="M887">
        <v>1150</v>
      </c>
      <c r="N887" s="5">
        <f>ROUNDUP(Clean_Data[[#This Row],[Year_Num]]/100,0)</f>
        <v>12</v>
      </c>
      <c r="O887" s="5" t="str" cm="1">
        <f t="array" ref="O887">_xlfn.LET(_xlpm.y,Clean_Data[[#This Row],[Year_Num]],_xlfn.IFS(_xlpm.y&lt;500,"Ancient",_xlpm.y&lt;1500,"Medieval",_xlpm.y&lt;1800,"Early Modern",_xlpm.y&lt;1946,"Modern",TRUE,"Contemporary"))</f>
        <v>Medieval</v>
      </c>
      <c r="P887" s="5" t="str">
        <f>_xlfn.XLOOKUP(Clean_Data[[#This Row],[Country]],country_region[Country],country_region[Country_Standard],"Not found")</f>
        <v>Finland</v>
      </c>
      <c r="Q887" s="5" t="str">
        <f>_xlfn.XLOOKUP(Clean_Data[[#This Row],[Country]],country_region[Country],country_region[Region],"Not found")</f>
        <v>Europe</v>
      </c>
      <c r="R887" s="5" t="str">
        <f>_xlfn.XLOOKUP(Clean_Data[[#This Row],[Type of Event]],event_type_category[Type of Event],event_type_category[Category],"Not found")</f>
        <v>War &amp; Conflict</v>
      </c>
    </row>
    <row r="888" spans="1:18">
      <c r="A888">
        <v>946</v>
      </c>
      <c r="B888" t="s">
        <v>4023</v>
      </c>
      <c r="E888" t="s">
        <v>4024</v>
      </c>
      <c r="F888" t="s">
        <v>4005</v>
      </c>
      <c r="G888" t="s">
        <v>2321</v>
      </c>
      <c r="H888" t="s">
        <v>4025</v>
      </c>
      <c r="I888" t="s">
        <v>4026</v>
      </c>
      <c r="J888" t="s">
        <v>4027</v>
      </c>
      <c r="K888" t="s">
        <v>4028</v>
      </c>
      <c r="L888" t="s">
        <v>36</v>
      </c>
      <c r="M888">
        <v>1397</v>
      </c>
      <c r="N888" s="5">
        <f>ROUNDUP(Clean_Data[[#This Row],[Year_Num]]/100,0)</f>
        <v>14</v>
      </c>
      <c r="O888" s="5" t="str" cm="1">
        <f t="array" ref="O888">_xlfn.LET(_xlpm.y,Clean_Data[[#This Row],[Year_Num]],_xlfn.IFS(_xlpm.y&lt;500,"Ancient",_xlpm.y&lt;1500,"Medieval",_xlpm.y&lt;1800,"Early Modern",_xlpm.y&lt;1946,"Modern",TRUE,"Contemporary"))</f>
        <v>Medieval</v>
      </c>
      <c r="P888" s="5" t="str">
        <f>_xlfn.XLOOKUP(Clean_Data[[#This Row],[Country]],country_region[Country],country_region[Country_Standard],"Not found")</f>
        <v>Denmark</v>
      </c>
      <c r="Q888" s="5" t="str">
        <f>_xlfn.XLOOKUP(Clean_Data[[#This Row],[Country]],country_region[Country],country_region[Region],"Not found")</f>
        <v>Europe</v>
      </c>
      <c r="R888" s="5" t="str">
        <f>_xlfn.XLOOKUP(Clean_Data[[#This Row],[Type of Event]],event_type_category[Type of Event],event_type_category[Category],"Not found")</f>
        <v>Independence &amp; Nation-Building</v>
      </c>
    </row>
    <row r="889" spans="1:18">
      <c r="A889">
        <v>947</v>
      </c>
      <c r="B889" t="s">
        <v>4029</v>
      </c>
      <c r="E889" t="s">
        <v>4030</v>
      </c>
      <c r="F889" t="s">
        <v>4016</v>
      </c>
      <c r="G889" t="s">
        <v>4031</v>
      </c>
      <c r="H889" t="s">
        <v>4016</v>
      </c>
      <c r="I889" t="s">
        <v>4032</v>
      </c>
      <c r="J889" t="s">
        <v>4033</v>
      </c>
      <c r="L889" t="s">
        <v>54</v>
      </c>
      <c r="M889">
        <v>1349</v>
      </c>
      <c r="N889" s="5">
        <f>ROUNDUP(Clean_Data[[#This Row],[Year_Num]]/100,0)</f>
        <v>14</v>
      </c>
      <c r="O889" s="5" t="str" cm="1">
        <f t="array" ref="O889">_xlfn.LET(_xlpm.y,Clean_Data[[#This Row],[Year_Num]],_xlfn.IFS(_xlpm.y&lt;500,"Ancient",_xlpm.y&lt;1500,"Medieval",_xlpm.y&lt;1800,"Early Modern",_xlpm.y&lt;1946,"Modern",TRUE,"Contemporary"))</f>
        <v>Medieval</v>
      </c>
      <c r="P889" s="5" t="str">
        <f>_xlfn.XLOOKUP(Clean_Data[[#This Row],[Country]],country_region[Country],country_region[Country_Standard],"Not found")</f>
        <v>Norway</v>
      </c>
      <c r="Q889" s="5" t="str">
        <f>_xlfn.XLOOKUP(Clean_Data[[#This Row],[Country]],country_region[Country],country_region[Region],"Not found")</f>
        <v>Europe</v>
      </c>
      <c r="R889" s="5" t="str">
        <f>_xlfn.XLOOKUP(Clean_Data[[#This Row],[Type of Event]],event_type_category[Type of Event],event_type_category[Category],"Not found")</f>
        <v>Society &amp; Health</v>
      </c>
    </row>
    <row r="890" spans="1:18">
      <c r="A890">
        <v>948</v>
      </c>
      <c r="B890" t="s">
        <v>4034</v>
      </c>
      <c r="E890" t="s">
        <v>4035</v>
      </c>
      <c r="F890" t="s">
        <v>1118</v>
      </c>
      <c r="G890" t="s">
        <v>370</v>
      </c>
      <c r="H890" t="s">
        <v>1118</v>
      </c>
      <c r="I890" t="s">
        <v>4036</v>
      </c>
      <c r="J890" t="s">
        <v>4037</v>
      </c>
      <c r="K890" t="s">
        <v>4038</v>
      </c>
      <c r="L890" t="s">
        <v>36</v>
      </c>
      <c r="M890">
        <v>1362</v>
      </c>
      <c r="N890" s="5">
        <f>ROUNDUP(Clean_Data[[#This Row],[Year_Num]]/100,0)</f>
        <v>14</v>
      </c>
      <c r="O890" s="5" t="str" cm="1">
        <f t="array" ref="O890">_xlfn.LET(_xlpm.y,Clean_Data[[#This Row],[Year_Num]],_xlfn.IFS(_xlpm.y&lt;500,"Ancient",_xlpm.y&lt;1500,"Medieval",_xlpm.y&lt;1800,"Early Modern",_xlpm.y&lt;1946,"Modern",TRUE,"Contemporary"))</f>
        <v>Medieval</v>
      </c>
      <c r="P890" s="5" t="str">
        <f>_xlfn.XLOOKUP(Clean_Data[[#This Row],[Country]],country_region[Country],country_region[Country_Standard],"Not found")</f>
        <v>Finland</v>
      </c>
      <c r="Q890" s="5" t="str">
        <f>_xlfn.XLOOKUP(Clean_Data[[#This Row],[Country]],country_region[Country],country_region[Region],"Not found")</f>
        <v>Europe</v>
      </c>
      <c r="R890" s="5" t="str">
        <f>_xlfn.XLOOKUP(Clean_Data[[#This Row],[Type of Event]],event_type_category[Type of Event],event_type_category[Category],"Not found")</f>
        <v>Politics &amp; Law</v>
      </c>
    </row>
    <row r="891" spans="1:18">
      <c r="A891">
        <v>949</v>
      </c>
      <c r="B891" t="s">
        <v>4039</v>
      </c>
      <c r="C891" t="s">
        <v>82</v>
      </c>
      <c r="D891" t="s">
        <v>173</v>
      </c>
      <c r="E891" t="s">
        <v>4040</v>
      </c>
      <c r="F891" t="s">
        <v>4005</v>
      </c>
      <c r="G891" t="s">
        <v>3809</v>
      </c>
      <c r="H891" t="s">
        <v>4041</v>
      </c>
      <c r="I891" t="s">
        <v>4042</v>
      </c>
      <c r="J891" t="s">
        <v>5063</v>
      </c>
      <c r="K891" t="s">
        <v>4044</v>
      </c>
      <c r="L891" t="s">
        <v>54</v>
      </c>
      <c r="M891">
        <v>1658</v>
      </c>
      <c r="N891" s="5">
        <f>ROUNDUP(Clean_Data[[#This Row],[Year_Num]]/100,0)</f>
        <v>17</v>
      </c>
      <c r="O891" s="5" t="str" cm="1">
        <f t="array" ref="O891">_xlfn.LET(_xlpm.y,Clean_Data[[#This Row],[Year_Num]],_xlfn.IFS(_xlpm.y&lt;500,"Ancient",_xlpm.y&lt;1500,"Medieval",_xlpm.y&lt;1800,"Early Modern",_xlpm.y&lt;1946,"Modern",TRUE,"Contemporary"))</f>
        <v>Early Modern</v>
      </c>
      <c r="P891" s="5" t="str">
        <f>_xlfn.XLOOKUP(Clean_Data[[#This Row],[Country]],country_region[Country],country_region[Country_Standard],"Not found")</f>
        <v>Denmark</v>
      </c>
      <c r="Q891" s="5" t="str">
        <f>_xlfn.XLOOKUP(Clean_Data[[#This Row],[Country]],country_region[Country],country_region[Region],"Not found")</f>
        <v>Europe</v>
      </c>
      <c r="R891" s="5" t="str">
        <f>_xlfn.XLOOKUP(Clean_Data[[#This Row],[Type of Event]],event_type_category[Type of Event],event_type_category[Category],"Not found")</f>
        <v>Diplomacy &amp; International Relations</v>
      </c>
    </row>
    <row r="892" spans="1:18">
      <c r="A892">
        <v>950</v>
      </c>
      <c r="B892" t="s">
        <v>4045</v>
      </c>
      <c r="E892" t="s">
        <v>4046</v>
      </c>
      <c r="F892" t="s">
        <v>4016</v>
      </c>
      <c r="G892" t="s">
        <v>4047</v>
      </c>
      <c r="H892" t="s">
        <v>4016</v>
      </c>
      <c r="I892" t="s">
        <v>4048</v>
      </c>
      <c r="J892" t="s">
        <v>4049</v>
      </c>
      <c r="K892" t="s">
        <v>4050</v>
      </c>
      <c r="L892" t="s">
        <v>21</v>
      </c>
      <c r="M892">
        <v>1814</v>
      </c>
      <c r="N892" s="5">
        <f>ROUNDUP(Clean_Data[[#This Row],[Year_Num]]/100,0)</f>
        <v>19</v>
      </c>
      <c r="O892" s="5" t="str" cm="1">
        <f t="array" ref="O892">_xlfn.LET(_xlpm.y,Clean_Data[[#This Row],[Year_Num]],_xlfn.IFS(_xlpm.y&lt;500,"Ancient",_xlpm.y&lt;1500,"Medieval",_xlpm.y&lt;1800,"Early Modern",_xlpm.y&lt;1946,"Modern",TRUE,"Contemporary"))</f>
        <v>Modern</v>
      </c>
      <c r="P892" s="5" t="str">
        <f>_xlfn.XLOOKUP(Clean_Data[[#This Row],[Country]],country_region[Country],country_region[Country_Standard],"Not found")</f>
        <v>Norway</v>
      </c>
      <c r="Q892" s="5" t="str">
        <f>_xlfn.XLOOKUP(Clean_Data[[#This Row],[Country]],country_region[Country],country_region[Region],"Not found")</f>
        <v>Europe</v>
      </c>
      <c r="R892" s="5" t="str">
        <f>_xlfn.XLOOKUP(Clean_Data[[#This Row],[Type of Event]],event_type_category[Type of Event],event_type_category[Category],"Not found")</f>
        <v>Independence &amp; Nation-Building</v>
      </c>
    </row>
    <row r="893" spans="1:18">
      <c r="A893">
        <v>951</v>
      </c>
      <c r="B893" t="s">
        <v>4051</v>
      </c>
      <c r="E893" t="s">
        <v>4052</v>
      </c>
      <c r="F893" t="s">
        <v>1118</v>
      </c>
      <c r="G893" t="s">
        <v>356</v>
      </c>
      <c r="H893" t="s">
        <v>1118</v>
      </c>
      <c r="I893" t="s">
        <v>4053</v>
      </c>
      <c r="J893" t="s">
        <v>4054</v>
      </c>
      <c r="K893" t="s">
        <v>4055</v>
      </c>
      <c r="L893" t="s">
        <v>54</v>
      </c>
      <c r="M893">
        <v>1809</v>
      </c>
      <c r="N893" s="5">
        <f>ROUNDUP(Clean_Data[[#This Row],[Year_Num]]/100,0)</f>
        <v>19</v>
      </c>
      <c r="O893" s="5" t="str" cm="1">
        <f t="array" ref="O893">_xlfn.LET(_xlpm.y,Clean_Data[[#This Row],[Year_Num]],_xlfn.IFS(_xlpm.y&lt;500,"Ancient",_xlpm.y&lt;1500,"Medieval",_xlpm.y&lt;1800,"Early Modern",_xlpm.y&lt;1946,"Modern",TRUE,"Contemporary"))</f>
        <v>Modern</v>
      </c>
      <c r="P893" s="5" t="str">
        <f>_xlfn.XLOOKUP(Clean_Data[[#This Row],[Country]],country_region[Country],country_region[Country_Standard],"Not found")</f>
        <v>Finland</v>
      </c>
      <c r="Q893" s="5" t="str">
        <f>_xlfn.XLOOKUP(Clean_Data[[#This Row],[Country]],country_region[Country],country_region[Region],"Not found")</f>
        <v>Europe</v>
      </c>
      <c r="R893" s="5" t="str">
        <f>_xlfn.XLOOKUP(Clean_Data[[#This Row],[Type of Event]],event_type_category[Type of Event],event_type_category[Category],"Not found")</f>
        <v>War &amp; Conflict</v>
      </c>
    </row>
    <row r="894" spans="1:18">
      <c r="A894">
        <v>952</v>
      </c>
      <c r="B894" t="s">
        <v>4056</v>
      </c>
      <c r="E894" t="s">
        <v>1117</v>
      </c>
      <c r="F894" t="s">
        <v>1118</v>
      </c>
      <c r="G894" t="s">
        <v>356</v>
      </c>
      <c r="H894" t="s">
        <v>1118</v>
      </c>
      <c r="I894" t="s">
        <v>4057</v>
      </c>
      <c r="J894" t="s">
        <v>4037</v>
      </c>
      <c r="K894" t="s">
        <v>1079</v>
      </c>
      <c r="L894" t="s">
        <v>36</v>
      </c>
      <c r="M894">
        <v>1939</v>
      </c>
      <c r="N894" s="5">
        <f>ROUNDUP(Clean_Data[[#This Row],[Year_Num]]/100,0)</f>
        <v>20</v>
      </c>
      <c r="O894" s="5" t="str" cm="1">
        <f t="array" ref="O894">_xlfn.LET(_xlpm.y,Clean_Data[[#This Row],[Year_Num]],_xlfn.IFS(_xlpm.y&lt;500,"Ancient",_xlpm.y&lt;1500,"Medieval",_xlpm.y&lt;1800,"Early Modern",_xlpm.y&lt;1946,"Modern",TRUE,"Contemporary"))</f>
        <v>Modern</v>
      </c>
      <c r="P894" s="5" t="str">
        <f>_xlfn.XLOOKUP(Clean_Data[[#This Row],[Country]],country_region[Country],country_region[Country_Standard],"Not found")</f>
        <v>Finland</v>
      </c>
      <c r="Q894" s="5" t="str">
        <f>_xlfn.XLOOKUP(Clean_Data[[#This Row],[Country]],country_region[Country],country_region[Region],"Not found")</f>
        <v>Europe</v>
      </c>
      <c r="R894" s="5" t="str">
        <f>_xlfn.XLOOKUP(Clean_Data[[#This Row],[Type of Event]],event_type_category[Type of Event],event_type_category[Category],"Not found")</f>
        <v>War &amp; Conflict</v>
      </c>
    </row>
    <row r="895" spans="1:18">
      <c r="A895">
        <v>953</v>
      </c>
      <c r="B895" t="s">
        <v>4058</v>
      </c>
      <c r="C895" t="s">
        <v>165</v>
      </c>
      <c r="D895" t="s">
        <v>47</v>
      </c>
      <c r="E895" t="s">
        <v>682</v>
      </c>
      <c r="F895" t="s">
        <v>4005</v>
      </c>
      <c r="G895" t="s">
        <v>356</v>
      </c>
      <c r="H895" t="s">
        <v>4005</v>
      </c>
      <c r="I895" t="s">
        <v>4059</v>
      </c>
      <c r="J895" t="s">
        <v>4060</v>
      </c>
      <c r="K895" t="s">
        <v>4061</v>
      </c>
      <c r="L895" t="s">
        <v>21</v>
      </c>
      <c r="M895">
        <v>1945</v>
      </c>
      <c r="N895" s="5">
        <f>ROUNDUP(Clean_Data[[#This Row],[Year_Num]]/100,0)</f>
        <v>20</v>
      </c>
      <c r="O895" s="5" t="str" cm="1">
        <f t="array" ref="O895">_xlfn.LET(_xlpm.y,Clean_Data[[#This Row],[Year_Num]],_xlfn.IFS(_xlpm.y&lt;500,"Ancient",_xlpm.y&lt;1500,"Medieval",_xlpm.y&lt;1800,"Early Modern",_xlpm.y&lt;1946,"Modern",TRUE,"Contemporary"))</f>
        <v>Modern</v>
      </c>
      <c r="P895" s="5" t="str">
        <f>_xlfn.XLOOKUP(Clean_Data[[#This Row],[Country]],country_region[Country],country_region[Country_Standard],"Not found")</f>
        <v>Denmark</v>
      </c>
      <c r="Q895" s="5" t="str">
        <f>_xlfn.XLOOKUP(Clean_Data[[#This Row],[Country]],country_region[Country],country_region[Region],"Not found")</f>
        <v>Europe</v>
      </c>
      <c r="R895" s="5" t="str">
        <f>_xlfn.XLOOKUP(Clean_Data[[#This Row],[Type of Event]],event_type_category[Type of Event],event_type_category[Category],"Not found")</f>
        <v>War &amp; Conflict</v>
      </c>
    </row>
    <row r="896" spans="1:18">
      <c r="A896">
        <v>954</v>
      </c>
      <c r="B896" t="s">
        <v>4062</v>
      </c>
      <c r="C896" t="s">
        <v>298</v>
      </c>
      <c r="D896" t="s">
        <v>47</v>
      </c>
      <c r="E896" t="s">
        <v>682</v>
      </c>
      <c r="F896" t="s">
        <v>4016</v>
      </c>
      <c r="G896" t="s">
        <v>356</v>
      </c>
      <c r="H896" t="s">
        <v>4016</v>
      </c>
      <c r="I896" t="s">
        <v>4059</v>
      </c>
      <c r="J896" t="s">
        <v>4049</v>
      </c>
      <c r="K896" t="s">
        <v>4061</v>
      </c>
      <c r="L896" t="s">
        <v>21</v>
      </c>
      <c r="M896">
        <v>1945</v>
      </c>
      <c r="N896" s="5">
        <f>ROUNDUP(Clean_Data[[#This Row],[Year_Num]]/100,0)</f>
        <v>20</v>
      </c>
      <c r="O896" s="5" t="str" cm="1">
        <f t="array" ref="O896">_xlfn.LET(_xlpm.y,Clean_Data[[#This Row],[Year_Num]],_xlfn.IFS(_xlpm.y&lt;500,"Ancient",_xlpm.y&lt;1500,"Medieval",_xlpm.y&lt;1800,"Early Modern",_xlpm.y&lt;1946,"Modern",TRUE,"Contemporary"))</f>
        <v>Modern</v>
      </c>
      <c r="P896" s="5" t="str">
        <f>_xlfn.XLOOKUP(Clean_Data[[#This Row],[Country]],country_region[Country],country_region[Country_Standard],"Not found")</f>
        <v>Norway</v>
      </c>
      <c r="Q896" s="5" t="str">
        <f>_xlfn.XLOOKUP(Clean_Data[[#This Row],[Country]],country_region[Country],country_region[Region],"Not found")</f>
        <v>Europe</v>
      </c>
      <c r="R896" s="5" t="str">
        <f>_xlfn.XLOOKUP(Clean_Data[[#This Row],[Type of Event]],event_type_category[Type of Event],event_type_category[Category],"Not found")</f>
        <v>War &amp; Conflict</v>
      </c>
    </row>
    <row r="897" spans="1:18">
      <c r="A897">
        <v>955</v>
      </c>
      <c r="B897" t="s">
        <v>4063</v>
      </c>
      <c r="E897" t="s">
        <v>1084</v>
      </c>
      <c r="F897" t="s">
        <v>1118</v>
      </c>
      <c r="G897" t="s">
        <v>356</v>
      </c>
      <c r="H897" t="s">
        <v>1118</v>
      </c>
      <c r="I897" t="s">
        <v>4064</v>
      </c>
      <c r="J897" t="s">
        <v>1079</v>
      </c>
      <c r="K897" t="s">
        <v>4065</v>
      </c>
      <c r="L897" t="s">
        <v>36</v>
      </c>
      <c r="M897">
        <v>1941</v>
      </c>
      <c r="N897" s="5">
        <f>ROUNDUP(Clean_Data[[#This Row],[Year_Num]]/100,0)</f>
        <v>20</v>
      </c>
      <c r="O897" s="5" t="str" cm="1">
        <f t="array" ref="O897">_xlfn.LET(_xlpm.y,Clean_Data[[#This Row],[Year_Num]],_xlfn.IFS(_xlpm.y&lt;500,"Ancient",_xlpm.y&lt;1500,"Medieval",_xlpm.y&lt;1800,"Early Modern",_xlpm.y&lt;1946,"Modern",TRUE,"Contemporary"))</f>
        <v>Modern</v>
      </c>
      <c r="P897" s="5" t="str">
        <f>_xlfn.XLOOKUP(Clean_Data[[#This Row],[Country]],country_region[Country],country_region[Country_Standard],"Not found")</f>
        <v>Finland</v>
      </c>
      <c r="Q897" s="5" t="str">
        <f>_xlfn.XLOOKUP(Clean_Data[[#This Row],[Country]],country_region[Country],country_region[Region],"Not found")</f>
        <v>Europe</v>
      </c>
      <c r="R897" s="5" t="str">
        <f>_xlfn.XLOOKUP(Clean_Data[[#This Row],[Type of Event]],event_type_category[Type of Event],event_type_category[Category],"Not found")</f>
        <v>War &amp; Conflict</v>
      </c>
    </row>
    <row r="898" spans="1:18">
      <c r="A898">
        <v>956</v>
      </c>
      <c r="B898" t="s">
        <v>4066</v>
      </c>
      <c r="E898" t="s">
        <v>4067</v>
      </c>
      <c r="F898" t="s">
        <v>4005</v>
      </c>
      <c r="G898" t="s">
        <v>3264</v>
      </c>
      <c r="H898" t="s">
        <v>4068</v>
      </c>
      <c r="I898" t="s">
        <v>4069</v>
      </c>
      <c r="J898" t="s">
        <v>4012</v>
      </c>
      <c r="L898" t="s">
        <v>54</v>
      </c>
      <c r="M898">
        <v>1728</v>
      </c>
      <c r="N898" s="5">
        <f>ROUNDUP(Clean_Data[[#This Row],[Year_Num]]/100,0)</f>
        <v>18</v>
      </c>
      <c r="O898" s="5" t="str" cm="1">
        <f t="array" ref="O898">_xlfn.LET(_xlpm.y,Clean_Data[[#This Row],[Year_Num]],_xlfn.IFS(_xlpm.y&lt;500,"Ancient",_xlpm.y&lt;1500,"Medieval",_xlpm.y&lt;1800,"Early Modern",_xlpm.y&lt;1946,"Modern",TRUE,"Contemporary"))</f>
        <v>Early Modern</v>
      </c>
      <c r="P898" s="5" t="str">
        <f>_xlfn.XLOOKUP(Clean_Data[[#This Row],[Country]],country_region[Country],country_region[Country_Standard],"Not found")</f>
        <v>Denmark</v>
      </c>
      <c r="Q898" s="5" t="str">
        <f>_xlfn.XLOOKUP(Clean_Data[[#This Row],[Country]],country_region[Country],country_region[Region],"Not found")</f>
        <v>Europe</v>
      </c>
      <c r="R898" s="5" t="str">
        <f>_xlfn.XLOOKUP(Clean_Data[[#This Row],[Type of Event]],event_type_category[Type of Event],event_type_category[Category],"Not found")</f>
        <v>Disasters &amp; Accidents</v>
      </c>
    </row>
    <row r="899" spans="1:18">
      <c r="A899">
        <v>957</v>
      </c>
      <c r="B899" t="s">
        <v>4070</v>
      </c>
      <c r="C899" t="s">
        <v>230</v>
      </c>
      <c r="D899" t="s">
        <v>83</v>
      </c>
      <c r="E899" t="s">
        <v>4046</v>
      </c>
      <c r="F899" t="s">
        <v>4016</v>
      </c>
      <c r="G899" t="s">
        <v>3330</v>
      </c>
      <c r="H899" t="s">
        <v>4016</v>
      </c>
      <c r="I899" t="s">
        <v>4071</v>
      </c>
      <c r="J899" t="s">
        <v>4049</v>
      </c>
      <c r="L899" t="s">
        <v>36</v>
      </c>
      <c r="M899">
        <v>1814</v>
      </c>
      <c r="N899" s="5">
        <f>ROUNDUP(Clean_Data[[#This Row],[Year_Num]]/100,0)</f>
        <v>19</v>
      </c>
      <c r="O899" s="5" t="str" cm="1">
        <f t="array" ref="O899">_xlfn.LET(_xlpm.y,Clean_Data[[#This Row],[Year_Num]],_xlfn.IFS(_xlpm.y&lt;500,"Ancient",_xlpm.y&lt;1500,"Medieval",_xlpm.y&lt;1800,"Early Modern",_xlpm.y&lt;1946,"Modern",TRUE,"Contemporary"))</f>
        <v>Modern</v>
      </c>
      <c r="P899" s="5" t="str">
        <f>_xlfn.XLOOKUP(Clean_Data[[#This Row],[Country]],country_region[Country],country_region[Country_Standard],"Not found")</f>
        <v>Norway</v>
      </c>
      <c r="Q899" s="5" t="str">
        <f>_xlfn.XLOOKUP(Clean_Data[[#This Row],[Country]],country_region[Country],country_region[Region],"Not found")</f>
        <v>Europe</v>
      </c>
      <c r="R899" s="5" t="str">
        <f>_xlfn.XLOOKUP(Clean_Data[[#This Row],[Type of Event]],event_type_category[Type of Event],event_type_category[Category],"Not found")</f>
        <v>Independence &amp; Nation-Building</v>
      </c>
    </row>
    <row r="900" spans="1:18">
      <c r="A900">
        <v>958</v>
      </c>
      <c r="B900" t="s">
        <v>4072</v>
      </c>
      <c r="E900" t="s">
        <v>3286</v>
      </c>
      <c r="F900" t="s">
        <v>1118</v>
      </c>
      <c r="G900" t="s">
        <v>356</v>
      </c>
      <c r="H900" t="s">
        <v>4073</v>
      </c>
      <c r="I900" t="s">
        <v>1118</v>
      </c>
      <c r="J900" t="s">
        <v>4074</v>
      </c>
      <c r="K900" t="s">
        <v>4075</v>
      </c>
      <c r="L900" t="s">
        <v>21</v>
      </c>
      <c r="M900">
        <v>1944</v>
      </c>
      <c r="N900" s="5">
        <f>ROUNDUP(Clean_Data[[#This Row],[Year_Num]]/100,0)</f>
        <v>20</v>
      </c>
      <c r="O900" s="5" t="str" cm="1">
        <f t="array" ref="O900">_xlfn.LET(_xlpm.y,Clean_Data[[#This Row],[Year_Num]],_xlfn.IFS(_xlpm.y&lt;500,"Ancient",_xlpm.y&lt;1500,"Medieval",_xlpm.y&lt;1800,"Early Modern",_xlpm.y&lt;1946,"Modern",TRUE,"Contemporary"))</f>
        <v>Modern</v>
      </c>
      <c r="P900" s="5" t="str">
        <f>_xlfn.XLOOKUP(Clean_Data[[#This Row],[Country]],country_region[Country],country_region[Country_Standard],"Not found")</f>
        <v>Finland</v>
      </c>
      <c r="Q900" s="5" t="str">
        <f>_xlfn.XLOOKUP(Clean_Data[[#This Row],[Country]],country_region[Country],country_region[Region],"Not found")</f>
        <v>Europe</v>
      </c>
      <c r="R900" s="5" t="str">
        <f>_xlfn.XLOOKUP(Clean_Data[[#This Row],[Type of Event]],event_type_category[Type of Event],event_type_category[Category],"Not found")</f>
        <v>War &amp; Conflict</v>
      </c>
    </row>
    <row r="901" spans="1:18">
      <c r="A901">
        <v>959</v>
      </c>
      <c r="B901" t="s">
        <v>4076</v>
      </c>
      <c r="E901" t="s">
        <v>3020</v>
      </c>
      <c r="F901" t="s">
        <v>4005</v>
      </c>
      <c r="G901" t="s">
        <v>356</v>
      </c>
      <c r="H901" t="s">
        <v>4077</v>
      </c>
      <c r="I901" t="s">
        <v>4078</v>
      </c>
      <c r="J901" t="s">
        <v>4060</v>
      </c>
      <c r="K901" t="s">
        <v>4079</v>
      </c>
      <c r="L901" t="s">
        <v>21</v>
      </c>
      <c r="M901">
        <v>1848</v>
      </c>
      <c r="N901" s="5">
        <f>ROUNDUP(Clean_Data[[#This Row],[Year_Num]]/100,0)</f>
        <v>19</v>
      </c>
      <c r="O901" s="5" t="str" cm="1">
        <f t="array" ref="O901">_xlfn.LET(_xlpm.y,Clean_Data[[#This Row],[Year_Num]],_xlfn.IFS(_xlpm.y&lt;500,"Ancient",_xlpm.y&lt;1500,"Medieval",_xlpm.y&lt;1800,"Early Modern",_xlpm.y&lt;1946,"Modern",TRUE,"Contemporary"))</f>
        <v>Modern</v>
      </c>
      <c r="P901" s="5" t="str">
        <f>_xlfn.XLOOKUP(Clean_Data[[#This Row],[Country]],country_region[Country],country_region[Country_Standard],"Not found")</f>
        <v>Denmark</v>
      </c>
      <c r="Q901" s="5" t="str">
        <f>_xlfn.XLOOKUP(Clean_Data[[#This Row],[Country]],country_region[Country],country_region[Region],"Not found")</f>
        <v>Europe</v>
      </c>
      <c r="R901" s="5" t="str">
        <f>_xlfn.XLOOKUP(Clean_Data[[#This Row],[Type of Event]],event_type_category[Type of Event],event_type_category[Category],"Not found")</f>
        <v>War &amp; Conflict</v>
      </c>
    </row>
    <row r="902" spans="1:18">
      <c r="A902">
        <v>960</v>
      </c>
      <c r="B902" t="s">
        <v>4080</v>
      </c>
      <c r="C902" t="s">
        <v>115</v>
      </c>
      <c r="D902" t="s">
        <v>100</v>
      </c>
      <c r="E902" t="s">
        <v>116</v>
      </c>
      <c r="F902" t="s">
        <v>4016</v>
      </c>
      <c r="G902" t="s">
        <v>2588</v>
      </c>
      <c r="H902" t="s">
        <v>4016</v>
      </c>
      <c r="I902" t="s">
        <v>4081</v>
      </c>
      <c r="J902" t="s">
        <v>4049</v>
      </c>
      <c r="L902" t="s">
        <v>21</v>
      </c>
      <c r="M902">
        <v>1905</v>
      </c>
      <c r="N902" s="5">
        <f>ROUNDUP(Clean_Data[[#This Row],[Year_Num]]/100,0)</f>
        <v>20</v>
      </c>
      <c r="O902" s="5" t="str" cm="1">
        <f t="array" ref="O902">_xlfn.LET(_xlpm.y,Clean_Data[[#This Row],[Year_Num]],_xlfn.IFS(_xlpm.y&lt;500,"Ancient",_xlpm.y&lt;1500,"Medieval",_xlpm.y&lt;1800,"Early Modern",_xlpm.y&lt;1946,"Modern",TRUE,"Contemporary"))</f>
        <v>Modern</v>
      </c>
      <c r="P902" s="5" t="str">
        <f>_xlfn.XLOOKUP(Clean_Data[[#This Row],[Country]],country_region[Country],country_region[Country_Standard],"Not found")</f>
        <v>Norway</v>
      </c>
      <c r="Q902" s="5" t="str">
        <f>_xlfn.XLOOKUP(Clean_Data[[#This Row],[Country]],country_region[Country],country_region[Region],"Not found")</f>
        <v>Europe</v>
      </c>
      <c r="R902" s="5" t="str">
        <f>_xlfn.XLOOKUP(Clean_Data[[#This Row],[Type of Event]],event_type_category[Type of Event],event_type_category[Category],"Not found")</f>
        <v>Independence &amp; Nation-Building</v>
      </c>
    </row>
    <row r="903" spans="1:18">
      <c r="A903">
        <v>961</v>
      </c>
      <c r="B903" t="s">
        <v>4082</v>
      </c>
      <c r="E903" t="s">
        <v>1093</v>
      </c>
      <c r="F903" t="s">
        <v>1118</v>
      </c>
      <c r="G903" t="s">
        <v>801</v>
      </c>
      <c r="H903" t="s">
        <v>1118</v>
      </c>
      <c r="I903" t="s">
        <v>4083</v>
      </c>
      <c r="J903" t="s">
        <v>4037</v>
      </c>
      <c r="L903" t="s">
        <v>54</v>
      </c>
      <c r="M903">
        <v>1918</v>
      </c>
      <c r="N903" s="5">
        <f>ROUNDUP(Clean_Data[[#This Row],[Year_Num]]/100,0)</f>
        <v>20</v>
      </c>
      <c r="O903" s="5" t="str" cm="1">
        <f t="array" ref="O903">_xlfn.LET(_xlpm.y,Clean_Data[[#This Row],[Year_Num]],_xlfn.IFS(_xlpm.y&lt;500,"Ancient",_xlpm.y&lt;1500,"Medieval",_xlpm.y&lt;1800,"Early Modern",_xlpm.y&lt;1946,"Modern",TRUE,"Contemporary"))</f>
        <v>Modern</v>
      </c>
      <c r="P903" s="5" t="str">
        <f>_xlfn.XLOOKUP(Clean_Data[[#This Row],[Country]],country_region[Country],country_region[Country_Standard],"Not found")</f>
        <v>Finland</v>
      </c>
      <c r="Q903" s="5" t="str">
        <f>_xlfn.XLOOKUP(Clean_Data[[#This Row],[Country]],country_region[Country],country_region[Region],"Not found")</f>
        <v>Europe</v>
      </c>
      <c r="R903" s="5" t="str">
        <f>_xlfn.XLOOKUP(Clean_Data[[#This Row],[Type of Event]],event_type_category[Type of Event],event_type_category[Category],"Not found")</f>
        <v>War &amp; Conflict</v>
      </c>
    </row>
    <row r="904" spans="1:18">
      <c r="A904">
        <v>962</v>
      </c>
      <c r="B904" t="s">
        <v>4084</v>
      </c>
      <c r="E904" t="s">
        <v>2574</v>
      </c>
      <c r="F904" t="s">
        <v>4005</v>
      </c>
      <c r="G904" t="s">
        <v>356</v>
      </c>
      <c r="H904" t="s">
        <v>4077</v>
      </c>
      <c r="I904" t="s">
        <v>5064</v>
      </c>
      <c r="J904" t="s">
        <v>4060</v>
      </c>
      <c r="L904" t="s">
        <v>54</v>
      </c>
      <c r="M904">
        <v>1864</v>
      </c>
      <c r="N904" s="5">
        <f>ROUNDUP(Clean_Data[[#This Row],[Year_Num]]/100,0)</f>
        <v>19</v>
      </c>
      <c r="O904" s="5" t="str" cm="1">
        <f t="array" ref="O904">_xlfn.LET(_xlpm.y,Clean_Data[[#This Row],[Year_Num]],_xlfn.IFS(_xlpm.y&lt;500,"Ancient",_xlpm.y&lt;1500,"Medieval",_xlpm.y&lt;1800,"Early Modern",_xlpm.y&lt;1946,"Modern",TRUE,"Contemporary"))</f>
        <v>Modern</v>
      </c>
      <c r="P904" s="5" t="str">
        <f>_xlfn.XLOOKUP(Clean_Data[[#This Row],[Country]],country_region[Country],country_region[Country_Standard],"Not found")</f>
        <v>Denmark</v>
      </c>
      <c r="Q904" s="5" t="str">
        <f>_xlfn.XLOOKUP(Clean_Data[[#This Row],[Country]],country_region[Country],country_region[Region],"Not found")</f>
        <v>Europe</v>
      </c>
      <c r="R904" s="5" t="str">
        <f>_xlfn.XLOOKUP(Clean_Data[[#This Row],[Type of Event]],event_type_category[Type of Event],event_type_category[Category],"Not found")</f>
        <v>War &amp; Conflict</v>
      </c>
    </row>
    <row r="905" spans="1:18">
      <c r="A905">
        <v>963</v>
      </c>
      <c r="B905" t="s">
        <v>4086</v>
      </c>
      <c r="E905" t="s">
        <v>4087</v>
      </c>
      <c r="F905" t="s">
        <v>4016</v>
      </c>
      <c r="G905" t="s">
        <v>4088</v>
      </c>
      <c r="H905" t="s">
        <v>4089</v>
      </c>
      <c r="I905" t="s">
        <v>4090</v>
      </c>
      <c r="J905" t="s">
        <v>4049</v>
      </c>
      <c r="K905" t="s">
        <v>4091</v>
      </c>
      <c r="L905" t="s">
        <v>21</v>
      </c>
      <c r="M905">
        <v>1048</v>
      </c>
      <c r="N905" s="5">
        <f>ROUNDUP(Clean_Data[[#This Row],[Year_Num]]/100,0)</f>
        <v>11</v>
      </c>
      <c r="O905" s="5" t="str" cm="1">
        <f t="array" ref="O905">_xlfn.LET(_xlpm.y,Clean_Data[[#This Row],[Year_Num]],_xlfn.IFS(_xlpm.y&lt;500,"Ancient",_xlpm.y&lt;1500,"Medieval",_xlpm.y&lt;1800,"Early Modern",_xlpm.y&lt;1946,"Modern",TRUE,"Contemporary"))</f>
        <v>Medieval</v>
      </c>
      <c r="P905" s="5" t="str">
        <f>_xlfn.XLOOKUP(Clean_Data[[#This Row],[Country]],country_region[Country],country_region[Country_Standard],"Not found")</f>
        <v>Norway</v>
      </c>
      <c r="Q905" s="5" t="str">
        <f>_xlfn.XLOOKUP(Clean_Data[[#This Row],[Country]],country_region[Country],country_region[Region],"Not found")</f>
        <v>Europe</v>
      </c>
      <c r="R905" s="5" t="str">
        <f>_xlfn.XLOOKUP(Clean_Data[[#This Row],[Type of Event]],event_type_category[Type of Event],event_type_category[Category],"Not found")</f>
        <v>Independence &amp; Nation-Building</v>
      </c>
    </row>
    <row r="906" spans="1:18">
      <c r="A906">
        <v>964</v>
      </c>
      <c r="B906" t="s">
        <v>4092</v>
      </c>
      <c r="D906" t="s">
        <v>286</v>
      </c>
      <c r="E906" t="s">
        <v>4052</v>
      </c>
      <c r="F906" t="s">
        <v>1118</v>
      </c>
      <c r="G906" t="s">
        <v>3559</v>
      </c>
      <c r="H906" t="s">
        <v>4093</v>
      </c>
      <c r="I906" t="s">
        <v>4094</v>
      </c>
      <c r="J906" t="s">
        <v>5065</v>
      </c>
      <c r="K906" t="s">
        <v>4055</v>
      </c>
      <c r="L906" t="s">
        <v>54</v>
      </c>
      <c r="M906">
        <v>1809</v>
      </c>
      <c r="N906" s="5">
        <f>ROUNDUP(Clean_Data[[#This Row],[Year_Num]]/100,0)</f>
        <v>19</v>
      </c>
      <c r="O906" s="5" t="str" cm="1">
        <f t="array" ref="O906">_xlfn.LET(_xlpm.y,Clean_Data[[#This Row],[Year_Num]],_xlfn.IFS(_xlpm.y&lt;500,"Ancient",_xlpm.y&lt;1500,"Medieval",_xlpm.y&lt;1800,"Early Modern",_xlpm.y&lt;1946,"Modern",TRUE,"Contemporary"))</f>
        <v>Modern</v>
      </c>
      <c r="P906" s="5" t="str">
        <f>_xlfn.XLOOKUP(Clean_Data[[#This Row],[Country]],country_region[Country],country_region[Country_Standard],"Not found")</f>
        <v>Finland</v>
      </c>
      <c r="Q906" s="5" t="str">
        <f>_xlfn.XLOOKUP(Clean_Data[[#This Row],[Country]],country_region[Country],country_region[Region],"Not found")</f>
        <v>Europe</v>
      </c>
      <c r="R906" s="5" t="str">
        <f>_xlfn.XLOOKUP(Clean_Data[[#This Row],[Type of Event]],event_type_category[Type of Event],event_type_category[Category],"Not found")</f>
        <v>Diplomacy &amp; International Relations</v>
      </c>
    </row>
    <row r="907" spans="1:18">
      <c r="A907">
        <v>969</v>
      </c>
      <c r="B907" t="s">
        <v>4096</v>
      </c>
      <c r="E907" t="s">
        <v>1692</v>
      </c>
      <c r="F907" t="s">
        <v>295</v>
      </c>
      <c r="G907" t="s">
        <v>1463</v>
      </c>
      <c r="H907" t="s">
        <v>4097</v>
      </c>
      <c r="I907" t="s">
        <v>4098</v>
      </c>
      <c r="J907" t="s">
        <v>4099</v>
      </c>
      <c r="K907" t="s">
        <v>4100</v>
      </c>
      <c r="L907" t="s">
        <v>36</v>
      </c>
      <c r="M907">
        <v>1867</v>
      </c>
      <c r="N907" s="5">
        <f>ROUNDUP(Clean_Data[[#This Row],[Year_Num]]/100,0)</f>
        <v>19</v>
      </c>
      <c r="O907" s="5" t="str" cm="1">
        <f t="array" ref="O907">_xlfn.LET(_xlpm.y,Clean_Data[[#This Row],[Year_Num]],_xlfn.IFS(_xlpm.y&lt;500,"Ancient",_xlpm.y&lt;1500,"Medieval",_xlpm.y&lt;1800,"Early Modern",_xlpm.y&lt;1946,"Modern",TRUE,"Contemporary"))</f>
        <v>Modern</v>
      </c>
      <c r="P907" s="5" t="str">
        <f>_xlfn.XLOOKUP(Clean_Data[[#This Row],[Country]],country_region[Country],country_region[Country_Standard],"Not found")</f>
        <v>South Africa</v>
      </c>
      <c r="Q907" s="5" t="str">
        <f>_xlfn.XLOOKUP(Clean_Data[[#This Row],[Country]],country_region[Country],country_region[Region],"Not found")</f>
        <v>Sub-Saharan Africa</v>
      </c>
      <c r="R907" s="5" t="str">
        <f>_xlfn.XLOOKUP(Clean_Data[[#This Row],[Type of Event]],event_type_category[Type of Event],event_type_category[Category],"Not found")</f>
        <v>Economy &amp; Infrastructure</v>
      </c>
    </row>
    <row r="908" spans="1:18">
      <c r="A908">
        <v>970</v>
      </c>
      <c r="B908" t="s">
        <v>4101</v>
      </c>
      <c r="E908" t="s">
        <v>1547</v>
      </c>
      <c r="F908" t="s">
        <v>4102</v>
      </c>
      <c r="G908" t="s">
        <v>31</v>
      </c>
      <c r="H908" t="s">
        <v>4102</v>
      </c>
      <c r="I908" t="s">
        <v>4103</v>
      </c>
      <c r="J908" t="s">
        <v>4104</v>
      </c>
      <c r="K908" t="s">
        <v>4105</v>
      </c>
      <c r="L908" t="s">
        <v>36</v>
      </c>
      <c r="M908">
        <v>1914</v>
      </c>
      <c r="N908" s="5">
        <f>ROUNDUP(Clean_Data[[#This Row],[Year_Num]]/100,0)</f>
        <v>20</v>
      </c>
      <c r="O908" s="5" t="str" cm="1">
        <f t="array" ref="O908">_xlfn.LET(_xlpm.y,Clean_Data[[#This Row],[Year_Num]],_xlfn.IFS(_xlpm.y&lt;500,"Ancient",_xlpm.y&lt;1500,"Medieval",_xlpm.y&lt;1800,"Early Modern",_xlpm.y&lt;1946,"Modern",TRUE,"Contemporary"))</f>
        <v>Modern</v>
      </c>
      <c r="P908" s="5" t="str">
        <f>_xlfn.XLOOKUP(Clean_Data[[#This Row],[Country]],country_region[Country],country_region[Country_Standard],"Not found")</f>
        <v>Nigeria</v>
      </c>
      <c r="Q908" s="5" t="str">
        <f>_xlfn.XLOOKUP(Clean_Data[[#This Row],[Country]],country_region[Country],country_region[Region],"Not found")</f>
        <v>Sub-Saharan Africa</v>
      </c>
      <c r="R908" s="5" t="str">
        <f>_xlfn.XLOOKUP(Clean_Data[[#This Row],[Type of Event]],event_type_category[Type of Event],event_type_category[Category],"Not found")</f>
        <v>Politics &amp; Law</v>
      </c>
    </row>
    <row r="909" spans="1:18">
      <c r="A909">
        <v>971</v>
      </c>
      <c r="B909" t="s">
        <v>4106</v>
      </c>
      <c r="E909" t="s">
        <v>4107</v>
      </c>
      <c r="F909" t="s">
        <v>4108</v>
      </c>
      <c r="G909" t="s">
        <v>1857</v>
      </c>
      <c r="H909" t="s">
        <v>4108</v>
      </c>
      <c r="I909" t="s">
        <v>4109</v>
      </c>
      <c r="J909" t="s">
        <v>4110</v>
      </c>
      <c r="K909" t="s">
        <v>4111</v>
      </c>
      <c r="L909" t="s">
        <v>36</v>
      </c>
      <c r="M909">
        <v>1952</v>
      </c>
      <c r="N909" s="5">
        <f>ROUNDUP(Clean_Data[[#This Row],[Year_Num]]/100,0)</f>
        <v>20</v>
      </c>
      <c r="O909" s="5" t="str" cm="1">
        <f t="array" ref="O909">_xlfn.LET(_xlpm.y,Clean_Data[[#This Row],[Year_Num]],_xlfn.IFS(_xlpm.y&lt;500,"Ancient",_xlpm.y&lt;1500,"Medieval",_xlpm.y&lt;1800,"Early Modern",_xlpm.y&lt;1946,"Modern",TRUE,"Contemporary"))</f>
        <v>Contemporary</v>
      </c>
      <c r="P909" s="5" t="str">
        <f>_xlfn.XLOOKUP(Clean_Data[[#This Row],[Country]],country_region[Country],country_region[Country_Standard],"Not found")</f>
        <v>Kenya</v>
      </c>
      <c r="Q909" s="5" t="str">
        <f>_xlfn.XLOOKUP(Clean_Data[[#This Row],[Country]],country_region[Country],country_region[Region],"Not found")</f>
        <v>Sub-Saharan Africa</v>
      </c>
      <c r="R909" s="5" t="str">
        <f>_xlfn.XLOOKUP(Clean_Data[[#This Row],[Type of Event]],event_type_category[Type of Event],event_type_category[Category],"Not found")</f>
        <v>Independence &amp; Nation-Building</v>
      </c>
    </row>
    <row r="910" spans="1:18">
      <c r="A910">
        <v>972</v>
      </c>
      <c r="B910" t="s">
        <v>4112</v>
      </c>
      <c r="E910" t="s">
        <v>1973</v>
      </c>
      <c r="F910" t="s">
        <v>4113</v>
      </c>
      <c r="G910" t="s">
        <v>68</v>
      </c>
      <c r="H910" t="s">
        <v>4113</v>
      </c>
      <c r="I910" t="s">
        <v>4114</v>
      </c>
      <c r="J910" t="s">
        <v>4115</v>
      </c>
      <c r="K910" t="s">
        <v>4116</v>
      </c>
      <c r="L910" t="s">
        <v>21</v>
      </c>
      <c r="M910">
        <v>1954</v>
      </c>
      <c r="N910" s="5">
        <f>ROUNDUP(Clean_Data[[#This Row],[Year_Num]]/100,0)</f>
        <v>20</v>
      </c>
      <c r="O910" s="5" t="str" cm="1">
        <f t="array" ref="O910">_xlfn.LET(_xlpm.y,Clean_Data[[#This Row],[Year_Num]],_xlfn.IFS(_xlpm.y&lt;500,"Ancient",_xlpm.y&lt;1500,"Medieval",_xlpm.y&lt;1800,"Early Modern",_xlpm.y&lt;1946,"Modern",TRUE,"Contemporary"))</f>
        <v>Contemporary</v>
      </c>
      <c r="P910" s="5" t="str">
        <f>_xlfn.XLOOKUP(Clean_Data[[#This Row],[Country]],country_region[Country],country_region[Country_Standard],"Not found")</f>
        <v>Algeria</v>
      </c>
      <c r="Q910" s="5" t="str">
        <f>_xlfn.XLOOKUP(Clean_Data[[#This Row],[Country]],country_region[Country],country_region[Region],"Not found")</f>
        <v>Middle East &amp; North Africa</v>
      </c>
      <c r="R910" s="5" t="str">
        <f>_xlfn.XLOOKUP(Clean_Data[[#This Row],[Type of Event]],event_type_category[Type of Event],event_type_category[Category],"Not found")</f>
        <v>War &amp; Conflict</v>
      </c>
    </row>
    <row r="911" spans="1:18">
      <c r="A911">
        <v>973</v>
      </c>
      <c r="B911" t="s">
        <v>4117</v>
      </c>
      <c r="E911" t="s">
        <v>806</v>
      </c>
      <c r="F911" t="s">
        <v>4118</v>
      </c>
      <c r="G911" t="s">
        <v>1029</v>
      </c>
      <c r="H911" t="s">
        <v>4118</v>
      </c>
      <c r="I911" t="s">
        <v>4119</v>
      </c>
      <c r="J911" t="s">
        <v>4120</v>
      </c>
      <c r="K911" t="s">
        <v>4121</v>
      </c>
      <c r="L911" t="s">
        <v>54</v>
      </c>
      <c r="M911">
        <v>1911</v>
      </c>
      <c r="N911" s="5">
        <f>ROUNDUP(Clean_Data[[#This Row],[Year_Num]]/100,0)</f>
        <v>20</v>
      </c>
      <c r="O911" s="5" t="str" cm="1">
        <f t="array" ref="O911">_xlfn.LET(_xlpm.y,Clean_Data[[#This Row],[Year_Num]],_xlfn.IFS(_xlpm.y&lt;500,"Ancient",_xlpm.y&lt;1500,"Medieval",_xlpm.y&lt;1800,"Early Modern",_xlpm.y&lt;1946,"Modern",TRUE,"Contemporary"))</f>
        <v>Modern</v>
      </c>
      <c r="P911" s="5" t="str">
        <f>_xlfn.XLOOKUP(Clean_Data[[#This Row],[Country]],country_region[Country],country_region[Country_Standard],"Not found")</f>
        <v>Libya</v>
      </c>
      <c r="Q911" s="5" t="str">
        <f>_xlfn.XLOOKUP(Clean_Data[[#This Row],[Country]],country_region[Country],country_region[Region],"Not found")</f>
        <v>Middle East &amp; North Africa</v>
      </c>
      <c r="R911" s="5" t="str">
        <f>_xlfn.XLOOKUP(Clean_Data[[#This Row],[Type of Event]],event_type_category[Type of Event],event_type_category[Category],"Not found")</f>
        <v>War &amp; Conflict</v>
      </c>
    </row>
    <row r="912" spans="1:18">
      <c r="A912">
        <v>974</v>
      </c>
      <c r="B912" t="s">
        <v>4122</v>
      </c>
      <c r="C912" t="s">
        <v>91</v>
      </c>
      <c r="D912" t="s">
        <v>267</v>
      </c>
      <c r="E912" t="s">
        <v>494</v>
      </c>
      <c r="F912" t="s">
        <v>4123</v>
      </c>
      <c r="G912" t="s">
        <v>2588</v>
      </c>
      <c r="H912" t="s">
        <v>4123</v>
      </c>
      <c r="I912" t="s">
        <v>4124</v>
      </c>
      <c r="J912" t="s">
        <v>4125</v>
      </c>
      <c r="K912" t="s">
        <v>4126</v>
      </c>
      <c r="L912" t="s">
        <v>21</v>
      </c>
      <c r="M912">
        <v>1956</v>
      </c>
      <c r="N912" s="5">
        <f>ROUNDUP(Clean_Data[[#This Row],[Year_Num]]/100,0)</f>
        <v>20</v>
      </c>
      <c r="O912" s="5" t="str" cm="1">
        <f t="array" ref="O912">_xlfn.LET(_xlpm.y,Clean_Data[[#This Row],[Year_Num]],_xlfn.IFS(_xlpm.y&lt;500,"Ancient",_xlpm.y&lt;1500,"Medieval",_xlpm.y&lt;1800,"Early Modern",_xlpm.y&lt;1946,"Modern",TRUE,"Contemporary"))</f>
        <v>Contemporary</v>
      </c>
      <c r="P912" s="5" t="str">
        <f>_xlfn.XLOOKUP(Clean_Data[[#This Row],[Country]],country_region[Country],country_region[Country_Standard],"Not found")</f>
        <v>Tunisia</v>
      </c>
      <c r="Q912" s="5" t="str">
        <f>_xlfn.XLOOKUP(Clean_Data[[#This Row],[Country]],country_region[Country],country_region[Region],"Not found")</f>
        <v>Middle East &amp; North Africa</v>
      </c>
      <c r="R912" s="5" t="str">
        <f>_xlfn.XLOOKUP(Clean_Data[[#This Row],[Type of Event]],event_type_category[Type of Event],event_type_category[Category],"Not found")</f>
        <v>Independence &amp; Nation-Building</v>
      </c>
    </row>
    <row r="913" spans="1:18">
      <c r="A913">
        <v>975</v>
      </c>
      <c r="B913" t="s">
        <v>4127</v>
      </c>
      <c r="E913" t="s">
        <v>4128</v>
      </c>
      <c r="F913" t="s">
        <v>4129</v>
      </c>
      <c r="G913" t="s">
        <v>16</v>
      </c>
      <c r="H913" t="s">
        <v>4130</v>
      </c>
      <c r="I913" t="s">
        <v>4131</v>
      </c>
      <c r="J913" t="s">
        <v>4132</v>
      </c>
      <c r="L913" t="s">
        <v>21</v>
      </c>
      <c r="M913">
        <v>1450</v>
      </c>
      <c r="N913" s="5">
        <f>ROUNDUP(Clean_Data[[#This Row],[Year_Num]]/100,0)</f>
        <v>15</v>
      </c>
      <c r="O913" s="5" t="str" cm="1">
        <f t="array" ref="O913">_xlfn.LET(_xlpm.y,Clean_Data[[#This Row],[Year_Num]],_xlfn.IFS(_xlpm.y&lt;500,"Ancient",_xlpm.y&lt;1500,"Medieval",_xlpm.y&lt;1800,"Early Modern",_xlpm.y&lt;1946,"Modern",TRUE,"Contemporary"))</f>
        <v>Medieval</v>
      </c>
      <c r="P913" s="5" t="str">
        <f>_xlfn.XLOOKUP(Clean_Data[[#This Row],[Country]],country_region[Country],country_region[Country_Standard],"Not found")</f>
        <v>Zimbabwe</v>
      </c>
      <c r="Q913" s="5" t="str">
        <f>_xlfn.XLOOKUP(Clean_Data[[#This Row],[Country]],country_region[Country],country_region[Region],"Not found")</f>
        <v>Sub-Saharan Africa</v>
      </c>
      <c r="R913" s="5" t="str">
        <f>_xlfn.XLOOKUP(Clean_Data[[#This Row],[Type of Event]],event_type_category[Type of Event],event_type_category[Category],"Not found")</f>
        <v>Culture, Religion &amp; Sport</v>
      </c>
    </row>
    <row r="914" spans="1:18">
      <c r="A914">
        <v>976</v>
      </c>
      <c r="B914" t="s">
        <v>4133</v>
      </c>
      <c r="E914" t="s">
        <v>4134</v>
      </c>
      <c r="F914" t="s">
        <v>4135</v>
      </c>
      <c r="G914" t="s">
        <v>2475</v>
      </c>
      <c r="H914" t="s">
        <v>4136</v>
      </c>
      <c r="I914" t="s">
        <v>4137</v>
      </c>
      <c r="J914" t="s">
        <v>4138</v>
      </c>
      <c r="K914" t="s">
        <v>4139</v>
      </c>
      <c r="L914" t="s">
        <v>21</v>
      </c>
      <c r="M914">
        <v>1062</v>
      </c>
      <c r="N914" s="5">
        <f>ROUNDUP(Clean_Data[[#This Row],[Year_Num]]/100,0)</f>
        <v>11</v>
      </c>
      <c r="O914" s="5" t="str" cm="1">
        <f t="array" ref="O914">_xlfn.LET(_xlpm.y,Clean_Data[[#This Row],[Year_Num]],_xlfn.IFS(_xlpm.y&lt;500,"Ancient",_xlpm.y&lt;1500,"Medieval",_xlpm.y&lt;1800,"Early Modern",_xlpm.y&lt;1946,"Modern",TRUE,"Contemporary"))</f>
        <v>Medieval</v>
      </c>
      <c r="P914" s="5" t="str">
        <f>_xlfn.XLOOKUP(Clean_Data[[#This Row],[Country]],country_region[Country],country_region[Country_Standard],"Not found")</f>
        <v>Morocco</v>
      </c>
      <c r="Q914" s="5" t="str">
        <f>_xlfn.XLOOKUP(Clean_Data[[#This Row],[Country]],country_region[Country],country_region[Region],"Not found")</f>
        <v>Middle East &amp; North Africa</v>
      </c>
      <c r="R914" s="5" t="str">
        <f>_xlfn.XLOOKUP(Clean_Data[[#This Row],[Type of Event]],event_type_category[Type of Event],event_type_category[Category],"Not found")</f>
        <v>Independence &amp; Nation-Building</v>
      </c>
    </row>
    <row r="915" spans="1:18">
      <c r="A915">
        <v>977</v>
      </c>
      <c r="B915" t="s">
        <v>4140</v>
      </c>
      <c r="E915" t="s">
        <v>4141</v>
      </c>
      <c r="F915" t="s">
        <v>4142</v>
      </c>
      <c r="G915" t="s">
        <v>49</v>
      </c>
      <c r="H915" t="s">
        <v>4142</v>
      </c>
      <c r="I915" t="s">
        <v>4143</v>
      </c>
      <c r="J915" t="s">
        <v>4144</v>
      </c>
      <c r="K915" t="s">
        <v>4145</v>
      </c>
      <c r="L915" t="s">
        <v>54</v>
      </c>
      <c r="M915">
        <v>1482</v>
      </c>
      <c r="N915" s="5">
        <f>ROUNDUP(Clean_Data[[#This Row],[Year_Num]]/100,0)</f>
        <v>15</v>
      </c>
      <c r="O915" s="5" t="str" cm="1">
        <f t="array" ref="O915">_xlfn.LET(_xlpm.y,Clean_Data[[#This Row],[Year_Num]],_xlfn.IFS(_xlpm.y&lt;500,"Ancient",_xlpm.y&lt;1500,"Medieval",_xlpm.y&lt;1800,"Early Modern",_xlpm.y&lt;1946,"Modern",TRUE,"Contemporary"))</f>
        <v>Medieval</v>
      </c>
      <c r="P915" s="5" t="str">
        <f>_xlfn.XLOOKUP(Clean_Data[[#This Row],[Country]],country_region[Country],country_region[Country_Standard],"Not found")</f>
        <v>Angola</v>
      </c>
      <c r="Q915" s="5" t="str">
        <f>_xlfn.XLOOKUP(Clean_Data[[#This Row],[Country]],country_region[Country],country_region[Region],"Not found")</f>
        <v>Sub-Saharan Africa</v>
      </c>
      <c r="R915" s="5" t="str">
        <f>_xlfn.XLOOKUP(Clean_Data[[#This Row],[Type of Event]],event_type_category[Type of Event],event_type_category[Category],"Not found")</f>
        <v>Independence &amp; Nation-Building</v>
      </c>
    </row>
    <row r="916" spans="1:18">
      <c r="A916">
        <v>978</v>
      </c>
      <c r="B916" t="s">
        <v>4146</v>
      </c>
      <c r="C916" t="s">
        <v>1129</v>
      </c>
      <c r="D916" t="s">
        <v>83</v>
      </c>
      <c r="E916" t="s">
        <v>3037</v>
      </c>
      <c r="F916" t="s">
        <v>4147</v>
      </c>
      <c r="G916" t="s">
        <v>4148</v>
      </c>
      <c r="H916" t="s">
        <v>3374</v>
      </c>
      <c r="I916" t="s">
        <v>4149</v>
      </c>
      <c r="J916" t="s">
        <v>753</v>
      </c>
      <c r="K916" t="s">
        <v>4150</v>
      </c>
      <c r="L916" t="s">
        <v>21</v>
      </c>
      <c r="M916">
        <v>1869</v>
      </c>
      <c r="N916" s="5">
        <f>ROUNDUP(Clean_Data[[#This Row],[Year_Num]]/100,0)</f>
        <v>19</v>
      </c>
      <c r="O916" s="5" t="str" cm="1">
        <f t="array" ref="O916">_xlfn.LET(_xlpm.y,Clean_Data[[#This Row],[Year_Num]],_xlfn.IFS(_xlpm.y&lt;500,"Ancient",_xlpm.y&lt;1500,"Medieval",_xlpm.y&lt;1800,"Early Modern",_xlpm.y&lt;1946,"Modern",TRUE,"Contemporary"))</f>
        <v>Modern</v>
      </c>
      <c r="P916" s="5" t="str">
        <f>_xlfn.XLOOKUP(Clean_Data[[#This Row],[Country]],country_region[Country],country_region[Country_Standard],"Not found")</f>
        <v>Egypt</v>
      </c>
      <c r="Q916" s="5" t="str">
        <f>_xlfn.XLOOKUP(Clean_Data[[#This Row],[Country]],country_region[Country],country_region[Region],"Not found")</f>
        <v>Middle East &amp; North Africa</v>
      </c>
      <c r="R916" s="5" t="str">
        <f>_xlfn.XLOOKUP(Clean_Data[[#This Row],[Type of Event]],event_type_category[Type of Event],event_type_category[Category],"Not found")</f>
        <v>Economy &amp; Infrastructure</v>
      </c>
    </row>
    <row r="917" spans="1:18">
      <c r="A917">
        <v>979</v>
      </c>
      <c r="B917" t="s">
        <v>4151</v>
      </c>
      <c r="D917" t="s">
        <v>39</v>
      </c>
      <c r="E917" t="s">
        <v>1917</v>
      </c>
      <c r="F917" t="s">
        <v>4152</v>
      </c>
      <c r="G917" t="s">
        <v>4153</v>
      </c>
      <c r="H917" t="s">
        <v>4152</v>
      </c>
      <c r="I917" t="s">
        <v>4154</v>
      </c>
      <c r="J917" t="s">
        <v>4155</v>
      </c>
      <c r="K917" t="s">
        <v>4156</v>
      </c>
      <c r="L917" t="s">
        <v>54</v>
      </c>
      <c r="M917">
        <v>1994</v>
      </c>
      <c r="N917" s="5">
        <f>ROUNDUP(Clean_Data[[#This Row],[Year_Num]]/100,0)</f>
        <v>20</v>
      </c>
      <c r="O917" s="5" t="str" cm="1">
        <f t="array" ref="O917">_xlfn.LET(_xlpm.y,Clean_Data[[#This Row],[Year_Num]],_xlfn.IFS(_xlpm.y&lt;500,"Ancient",_xlpm.y&lt;1500,"Medieval",_xlpm.y&lt;1800,"Early Modern",_xlpm.y&lt;1946,"Modern",TRUE,"Contemporary"))</f>
        <v>Contemporary</v>
      </c>
      <c r="P917" s="5" t="str">
        <f>_xlfn.XLOOKUP(Clean_Data[[#This Row],[Country]],country_region[Country],country_region[Country_Standard],"Not found")</f>
        <v>Rwanda</v>
      </c>
      <c r="Q917" s="5" t="str">
        <f>_xlfn.XLOOKUP(Clean_Data[[#This Row],[Country]],country_region[Country],country_region[Region],"Not found")</f>
        <v>Sub-Saharan Africa</v>
      </c>
      <c r="R917" s="5" t="str">
        <f>_xlfn.XLOOKUP(Clean_Data[[#This Row],[Type of Event]],event_type_category[Type of Event],event_type_category[Category],"Not found")</f>
        <v>War &amp; Conflict</v>
      </c>
    </row>
    <row r="918" spans="1:18">
      <c r="A918">
        <v>980</v>
      </c>
      <c r="B918" t="s">
        <v>4157</v>
      </c>
      <c r="E918" t="s">
        <v>67</v>
      </c>
      <c r="F918" t="s">
        <v>4158</v>
      </c>
      <c r="G918" t="s">
        <v>3892</v>
      </c>
      <c r="H918" t="s">
        <v>4158</v>
      </c>
      <c r="I918" t="s">
        <v>4159</v>
      </c>
      <c r="J918" t="s">
        <v>4160</v>
      </c>
      <c r="K918" t="s">
        <v>4161</v>
      </c>
      <c r="L918" t="s">
        <v>54</v>
      </c>
      <c r="M918">
        <v>1971</v>
      </c>
      <c r="N918" s="5">
        <f>ROUNDUP(Clean_Data[[#This Row],[Year_Num]]/100,0)</f>
        <v>20</v>
      </c>
      <c r="O918" s="5" t="str" cm="1">
        <f t="array" ref="O918">_xlfn.LET(_xlpm.y,Clean_Data[[#This Row],[Year_Num]],_xlfn.IFS(_xlpm.y&lt;500,"Ancient",_xlpm.y&lt;1500,"Medieval",_xlpm.y&lt;1800,"Early Modern",_xlpm.y&lt;1946,"Modern",TRUE,"Contemporary"))</f>
        <v>Contemporary</v>
      </c>
      <c r="P918" s="5" t="str">
        <f>_xlfn.XLOOKUP(Clean_Data[[#This Row],[Country]],country_region[Country],country_region[Country_Standard],"Not found")</f>
        <v>Uganda</v>
      </c>
      <c r="Q918" s="5" t="str">
        <f>_xlfn.XLOOKUP(Clean_Data[[#This Row],[Country]],country_region[Country],country_region[Region],"Not found")</f>
        <v>Sub-Saharan Africa</v>
      </c>
      <c r="R918" s="5" t="str">
        <f>_xlfn.XLOOKUP(Clean_Data[[#This Row],[Type of Event]],event_type_category[Type of Event],event_type_category[Category],"Not found")</f>
        <v>Politics &amp; Law</v>
      </c>
    </row>
    <row r="919" spans="1:18">
      <c r="A919">
        <v>981</v>
      </c>
      <c r="B919" t="s">
        <v>4162</v>
      </c>
      <c r="E919" t="s">
        <v>212</v>
      </c>
      <c r="F919" t="s">
        <v>4163</v>
      </c>
      <c r="G919" t="s">
        <v>801</v>
      </c>
      <c r="H919" t="s">
        <v>4163</v>
      </c>
      <c r="I919" t="s">
        <v>4164</v>
      </c>
      <c r="J919" t="s">
        <v>4165</v>
      </c>
      <c r="K919" t="s">
        <v>4166</v>
      </c>
      <c r="L919" t="s">
        <v>54</v>
      </c>
      <c r="M919">
        <v>1991</v>
      </c>
      <c r="N919" s="5">
        <f>ROUNDUP(Clean_Data[[#This Row],[Year_Num]]/100,0)</f>
        <v>20</v>
      </c>
      <c r="O919" s="5" t="str" cm="1">
        <f t="array" ref="O919">_xlfn.LET(_xlpm.y,Clean_Data[[#This Row],[Year_Num]],_xlfn.IFS(_xlpm.y&lt;500,"Ancient",_xlpm.y&lt;1500,"Medieval",_xlpm.y&lt;1800,"Early Modern",_xlpm.y&lt;1946,"Modern",TRUE,"Contemporary"))</f>
        <v>Contemporary</v>
      </c>
      <c r="P919" s="5" t="str">
        <f>_xlfn.XLOOKUP(Clean_Data[[#This Row],[Country]],country_region[Country],country_region[Country_Standard],"Not found")</f>
        <v>Somalia</v>
      </c>
      <c r="Q919" s="5" t="str">
        <f>_xlfn.XLOOKUP(Clean_Data[[#This Row],[Country]],country_region[Country],country_region[Region],"Not found")</f>
        <v>Sub-Saharan Africa</v>
      </c>
      <c r="R919" s="5" t="str">
        <f>_xlfn.XLOOKUP(Clean_Data[[#This Row],[Type of Event]],event_type_category[Type of Event],event_type_category[Category],"Not found")</f>
        <v>War &amp; Conflict</v>
      </c>
    </row>
    <row r="920" spans="1:18">
      <c r="A920">
        <v>982</v>
      </c>
      <c r="B920" t="s">
        <v>4167</v>
      </c>
      <c r="C920" t="s">
        <v>246</v>
      </c>
      <c r="D920" t="s">
        <v>286</v>
      </c>
      <c r="E920" t="s">
        <v>818</v>
      </c>
      <c r="F920" t="s">
        <v>4168</v>
      </c>
      <c r="G920" t="s">
        <v>2588</v>
      </c>
      <c r="H920" t="s">
        <v>4168</v>
      </c>
      <c r="I920" t="s">
        <v>4169</v>
      </c>
      <c r="J920" t="s">
        <v>4170</v>
      </c>
      <c r="K920" t="s">
        <v>4171</v>
      </c>
      <c r="L920" t="s">
        <v>21</v>
      </c>
      <c r="M920">
        <v>1966</v>
      </c>
      <c r="N920" s="5">
        <f>ROUNDUP(Clean_Data[[#This Row],[Year_Num]]/100,0)</f>
        <v>20</v>
      </c>
      <c r="O920" s="5" t="str" cm="1">
        <f t="array" ref="O920">_xlfn.LET(_xlpm.y,Clean_Data[[#This Row],[Year_Num]],_xlfn.IFS(_xlpm.y&lt;500,"Ancient",_xlpm.y&lt;1500,"Medieval",_xlpm.y&lt;1800,"Early Modern",_xlpm.y&lt;1946,"Modern",TRUE,"Contemporary"))</f>
        <v>Contemporary</v>
      </c>
      <c r="P920" s="5" t="str">
        <f>_xlfn.XLOOKUP(Clean_Data[[#This Row],[Country]],country_region[Country],country_region[Country_Standard],"Not found")</f>
        <v>Botswana</v>
      </c>
      <c r="Q920" s="5" t="str">
        <f>_xlfn.XLOOKUP(Clean_Data[[#This Row],[Country]],country_region[Country],country_region[Region],"Not found")</f>
        <v>Sub-Saharan Africa</v>
      </c>
      <c r="R920" s="5" t="str">
        <f>_xlfn.XLOOKUP(Clean_Data[[#This Row],[Type of Event]],event_type_category[Type of Event],event_type_category[Category],"Not found")</f>
        <v>Independence &amp; Nation-Building</v>
      </c>
    </row>
    <row r="921" spans="1:18">
      <c r="A921">
        <v>983</v>
      </c>
      <c r="B921" t="s">
        <v>4172</v>
      </c>
      <c r="C921" t="s">
        <v>38</v>
      </c>
      <c r="D921" t="s">
        <v>267</v>
      </c>
      <c r="E921" t="s">
        <v>627</v>
      </c>
      <c r="F921" t="s">
        <v>4173</v>
      </c>
      <c r="G921" t="s">
        <v>2588</v>
      </c>
      <c r="H921" t="s">
        <v>4173</v>
      </c>
      <c r="I921" t="s">
        <v>4174</v>
      </c>
      <c r="J921" t="s">
        <v>4175</v>
      </c>
      <c r="K921" t="s">
        <v>4176</v>
      </c>
      <c r="L921" t="s">
        <v>21</v>
      </c>
      <c r="M921">
        <v>1990</v>
      </c>
      <c r="N921" s="5">
        <f>ROUNDUP(Clean_Data[[#This Row],[Year_Num]]/100,0)</f>
        <v>20</v>
      </c>
      <c r="O921" s="5" t="str" cm="1">
        <f t="array" ref="O921">_xlfn.LET(_xlpm.y,Clean_Data[[#This Row],[Year_Num]],_xlfn.IFS(_xlpm.y&lt;500,"Ancient",_xlpm.y&lt;1500,"Medieval",_xlpm.y&lt;1800,"Early Modern",_xlpm.y&lt;1946,"Modern",TRUE,"Contemporary"))</f>
        <v>Contemporary</v>
      </c>
      <c r="P921" s="5" t="str">
        <f>_xlfn.XLOOKUP(Clean_Data[[#This Row],[Country]],country_region[Country],country_region[Country_Standard],"Not found")</f>
        <v>Namibia</v>
      </c>
      <c r="Q921" s="5" t="str">
        <f>_xlfn.XLOOKUP(Clean_Data[[#This Row],[Country]],country_region[Country],country_region[Region],"Not found")</f>
        <v>Sub-Saharan Africa</v>
      </c>
      <c r="R921" s="5" t="str">
        <f>_xlfn.XLOOKUP(Clean_Data[[#This Row],[Type of Event]],event_type_category[Type of Event],event_type_category[Category],"Not found")</f>
        <v>Independence &amp; Nation-Building</v>
      </c>
    </row>
    <row r="922" spans="1:18">
      <c r="A922">
        <v>984</v>
      </c>
      <c r="B922" t="s">
        <v>4177</v>
      </c>
      <c r="E922" t="s">
        <v>4178</v>
      </c>
      <c r="F922" t="s">
        <v>4179</v>
      </c>
      <c r="G922" t="s">
        <v>4180</v>
      </c>
      <c r="H922" t="s">
        <v>4179</v>
      </c>
      <c r="I922" t="s">
        <v>4181</v>
      </c>
      <c r="J922" t="s">
        <v>4182</v>
      </c>
      <c r="K922" t="s">
        <v>4183</v>
      </c>
      <c r="L922" t="s">
        <v>36</v>
      </c>
      <c r="M922">
        <v>1881</v>
      </c>
      <c r="N922" s="5">
        <f>ROUNDUP(Clean_Data[[#This Row],[Year_Num]]/100,0)</f>
        <v>19</v>
      </c>
      <c r="O922" s="5" t="str" cm="1">
        <f t="array" ref="O922">_xlfn.LET(_xlpm.y,Clean_Data[[#This Row],[Year_Num]],_xlfn.IFS(_xlpm.y&lt;500,"Ancient",_xlpm.y&lt;1500,"Medieval",_xlpm.y&lt;1800,"Early Modern",_xlpm.y&lt;1946,"Modern",TRUE,"Contemporary"))</f>
        <v>Modern</v>
      </c>
      <c r="P922" s="5" t="str">
        <f>_xlfn.XLOOKUP(Clean_Data[[#This Row],[Country]],country_region[Country],country_region[Country_Standard],"Not found")</f>
        <v>Sudan</v>
      </c>
      <c r="Q922" s="5" t="str">
        <f>_xlfn.XLOOKUP(Clean_Data[[#This Row],[Country]],country_region[Country],country_region[Region],"Not found")</f>
        <v>Middle East &amp; North Africa</v>
      </c>
      <c r="R922" s="5" t="str">
        <f>_xlfn.XLOOKUP(Clean_Data[[#This Row],[Type of Event]],event_type_category[Type of Event],event_type_category[Category],"Not found")</f>
        <v>War &amp; Conflict</v>
      </c>
    </row>
    <row r="923" spans="1:18">
      <c r="A923">
        <v>985</v>
      </c>
      <c r="B923" t="s">
        <v>4122</v>
      </c>
      <c r="C923" t="s">
        <v>115</v>
      </c>
      <c r="D923" t="s">
        <v>57</v>
      </c>
      <c r="E923" t="s">
        <v>123</v>
      </c>
      <c r="F923" t="s">
        <v>4184</v>
      </c>
      <c r="G923" t="s">
        <v>2588</v>
      </c>
      <c r="H923" t="s">
        <v>4184</v>
      </c>
      <c r="I923" t="s">
        <v>4185</v>
      </c>
      <c r="J923" t="s">
        <v>4186</v>
      </c>
      <c r="K923" t="s">
        <v>5066</v>
      </c>
      <c r="L923" t="s">
        <v>21</v>
      </c>
      <c r="M923">
        <v>1960</v>
      </c>
      <c r="N923" s="5">
        <f>ROUNDUP(Clean_Data[[#This Row],[Year_Num]]/100,0)</f>
        <v>20</v>
      </c>
      <c r="O923" s="5" t="str" cm="1">
        <f t="array" ref="O923">_xlfn.LET(_xlpm.y,Clean_Data[[#This Row],[Year_Num]],_xlfn.IFS(_xlpm.y&lt;500,"Ancient",_xlpm.y&lt;1500,"Medieval",_xlpm.y&lt;1800,"Early Modern",_xlpm.y&lt;1946,"Modern",TRUE,"Contemporary"))</f>
        <v>Contemporary</v>
      </c>
      <c r="P923" s="5" t="str">
        <f>_xlfn.XLOOKUP(Clean_Data[[#This Row],[Country]],country_region[Country],country_region[Country_Standard],"Not found")</f>
        <v>Côte d'Ivoire</v>
      </c>
      <c r="Q923" s="5" t="str">
        <f>_xlfn.XLOOKUP(Clean_Data[[#This Row],[Country]],country_region[Country],country_region[Region],"Not found")</f>
        <v>Sub-Saharan Africa</v>
      </c>
      <c r="R923" s="5" t="str">
        <f>_xlfn.XLOOKUP(Clean_Data[[#This Row],[Type of Event]],event_type_category[Type of Event],event_type_category[Category],"Not found")</f>
        <v>Independence &amp; Nation-Building</v>
      </c>
    </row>
    <row r="924" spans="1:18">
      <c r="A924">
        <v>986</v>
      </c>
      <c r="B924" t="s">
        <v>4188</v>
      </c>
      <c r="C924" t="s">
        <v>321</v>
      </c>
      <c r="D924" t="s">
        <v>267</v>
      </c>
      <c r="E924" t="s">
        <v>1150</v>
      </c>
      <c r="F924" t="s">
        <v>4189</v>
      </c>
      <c r="G924" t="s">
        <v>2588</v>
      </c>
      <c r="H924" t="s">
        <v>4189</v>
      </c>
      <c r="I924" t="s">
        <v>5067</v>
      </c>
      <c r="J924" t="s">
        <v>4191</v>
      </c>
      <c r="K924" t="s">
        <v>4192</v>
      </c>
      <c r="L924" t="s">
        <v>21</v>
      </c>
      <c r="M924">
        <v>1957</v>
      </c>
      <c r="N924" s="5">
        <f>ROUNDUP(Clean_Data[[#This Row],[Year_Num]]/100,0)</f>
        <v>20</v>
      </c>
      <c r="O924" s="5" t="str" cm="1">
        <f t="array" ref="O924">_xlfn.LET(_xlpm.y,Clean_Data[[#This Row],[Year_Num]],_xlfn.IFS(_xlpm.y&lt;500,"Ancient",_xlpm.y&lt;1500,"Medieval",_xlpm.y&lt;1800,"Early Modern",_xlpm.y&lt;1946,"Modern",TRUE,"Contemporary"))</f>
        <v>Contemporary</v>
      </c>
      <c r="P924" s="5" t="str">
        <f>_xlfn.XLOOKUP(Clean_Data[[#This Row],[Country]],country_region[Country],country_region[Country_Standard],"Not found")</f>
        <v>Ghana</v>
      </c>
      <c r="Q924" s="5" t="str">
        <f>_xlfn.XLOOKUP(Clean_Data[[#This Row],[Country]],country_region[Country],country_region[Region],"Not found")</f>
        <v>Sub-Saharan Africa</v>
      </c>
      <c r="R924" s="5" t="str">
        <f>_xlfn.XLOOKUP(Clean_Data[[#This Row],[Type of Event]],event_type_category[Type of Event],event_type_category[Category],"Not found")</f>
        <v>Independence &amp; Nation-Building</v>
      </c>
    </row>
    <row r="925" spans="1:18">
      <c r="A925">
        <v>987</v>
      </c>
      <c r="B925" t="s">
        <v>4193</v>
      </c>
      <c r="C925" t="s">
        <v>82</v>
      </c>
      <c r="D925" t="s">
        <v>39</v>
      </c>
      <c r="E925" t="s">
        <v>1387</v>
      </c>
      <c r="F925" t="s">
        <v>4194</v>
      </c>
      <c r="G925" t="s">
        <v>3330</v>
      </c>
      <c r="H925" t="s">
        <v>4194</v>
      </c>
      <c r="I925" t="s">
        <v>4195</v>
      </c>
      <c r="J925" t="s">
        <v>4196</v>
      </c>
      <c r="K925" t="s">
        <v>4197</v>
      </c>
      <c r="L925" t="s">
        <v>21</v>
      </c>
      <c r="M925">
        <v>1964</v>
      </c>
      <c r="N925" s="5">
        <f>ROUNDUP(Clean_Data[[#This Row],[Year_Num]]/100,0)</f>
        <v>20</v>
      </c>
      <c r="O925" s="5" t="str" cm="1">
        <f t="array" ref="O925">_xlfn.LET(_xlpm.y,Clean_Data[[#This Row],[Year_Num]],_xlfn.IFS(_xlpm.y&lt;500,"Ancient",_xlpm.y&lt;1500,"Medieval",_xlpm.y&lt;1800,"Early Modern",_xlpm.y&lt;1946,"Modern",TRUE,"Contemporary"))</f>
        <v>Contemporary</v>
      </c>
      <c r="P925" s="5" t="str">
        <f>_xlfn.XLOOKUP(Clean_Data[[#This Row],[Country]],country_region[Country],country_region[Country_Standard],"Not found")</f>
        <v>Tanzania</v>
      </c>
      <c r="Q925" s="5" t="str">
        <f>_xlfn.XLOOKUP(Clean_Data[[#This Row],[Country]],country_region[Country],country_region[Region],"Not found")</f>
        <v>Sub-Saharan Africa</v>
      </c>
      <c r="R925" s="5" t="str">
        <f>_xlfn.XLOOKUP(Clean_Data[[#This Row],[Type of Event]],event_type_category[Type of Event],event_type_category[Category],"Not found")</f>
        <v>Independence &amp; Nation-Building</v>
      </c>
    </row>
    <row r="926" spans="1:18">
      <c r="A926">
        <v>988</v>
      </c>
      <c r="B926" t="s">
        <v>4198</v>
      </c>
      <c r="C926" t="s">
        <v>46</v>
      </c>
      <c r="D926" t="s">
        <v>286</v>
      </c>
      <c r="E926" t="s">
        <v>449</v>
      </c>
      <c r="F926" t="s">
        <v>4118</v>
      </c>
      <c r="G926" t="s">
        <v>4199</v>
      </c>
      <c r="H926" t="s">
        <v>4118</v>
      </c>
      <c r="I926" t="s">
        <v>4200</v>
      </c>
      <c r="J926" t="s">
        <v>4120</v>
      </c>
      <c r="K926" t="s">
        <v>4201</v>
      </c>
      <c r="L926" t="s">
        <v>36</v>
      </c>
      <c r="M926">
        <v>1969</v>
      </c>
      <c r="N926" s="5">
        <f>ROUNDUP(Clean_Data[[#This Row],[Year_Num]]/100,0)</f>
        <v>20</v>
      </c>
      <c r="O926" s="5" t="str" cm="1">
        <f t="array" ref="O926">_xlfn.LET(_xlpm.y,Clean_Data[[#This Row],[Year_Num]],_xlfn.IFS(_xlpm.y&lt;500,"Ancient",_xlpm.y&lt;1500,"Medieval",_xlpm.y&lt;1800,"Early Modern",_xlpm.y&lt;1946,"Modern",TRUE,"Contemporary"))</f>
        <v>Contemporary</v>
      </c>
      <c r="P926" s="5" t="str">
        <f>_xlfn.XLOOKUP(Clean_Data[[#This Row],[Country]],country_region[Country],country_region[Country_Standard],"Not found")</f>
        <v>Libya</v>
      </c>
      <c r="Q926" s="5" t="str">
        <f>_xlfn.XLOOKUP(Clean_Data[[#This Row],[Country]],country_region[Country],country_region[Region],"Not found")</f>
        <v>Middle East &amp; North Africa</v>
      </c>
      <c r="R926" s="5" t="str">
        <f>_xlfn.XLOOKUP(Clean_Data[[#This Row],[Type of Event]],event_type_category[Type of Event],event_type_category[Category],"Not found")</f>
        <v>War &amp; Conflict</v>
      </c>
    </row>
    <row r="927" spans="1:18">
      <c r="A927">
        <v>989</v>
      </c>
      <c r="B927" t="s">
        <v>4122</v>
      </c>
      <c r="C927" t="s">
        <v>82</v>
      </c>
      <c r="D927" t="s">
        <v>100</v>
      </c>
      <c r="E927" t="s">
        <v>123</v>
      </c>
      <c r="F927" t="s">
        <v>4202</v>
      </c>
      <c r="G927" t="s">
        <v>2588</v>
      </c>
      <c r="H927" t="s">
        <v>4202</v>
      </c>
      <c r="I927" t="s">
        <v>4124</v>
      </c>
      <c r="J927" t="s">
        <v>4203</v>
      </c>
      <c r="K927" t="s">
        <v>4204</v>
      </c>
      <c r="L927" t="s">
        <v>21</v>
      </c>
      <c r="M927">
        <v>1960</v>
      </c>
      <c r="N927" s="5">
        <f>ROUNDUP(Clean_Data[[#This Row],[Year_Num]]/100,0)</f>
        <v>20</v>
      </c>
      <c r="O927" s="5" t="str" cm="1">
        <f t="array" ref="O927">_xlfn.LET(_xlpm.y,Clean_Data[[#This Row],[Year_Num]],_xlfn.IFS(_xlpm.y&lt;500,"Ancient",_xlpm.y&lt;1500,"Medieval",_xlpm.y&lt;1800,"Early Modern",_xlpm.y&lt;1946,"Modern",TRUE,"Contemporary"))</f>
        <v>Contemporary</v>
      </c>
      <c r="P927" s="5" t="str">
        <f>_xlfn.XLOOKUP(Clean_Data[[#This Row],[Country]],country_region[Country],country_region[Country_Standard],"Not found")</f>
        <v>Madagascar</v>
      </c>
      <c r="Q927" s="5" t="str">
        <f>_xlfn.XLOOKUP(Clean_Data[[#This Row],[Country]],country_region[Country],country_region[Region],"Not found")</f>
        <v>Sub-Saharan Africa</v>
      </c>
      <c r="R927" s="5" t="str">
        <f>_xlfn.XLOOKUP(Clean_Data[[#This Row],[Type of Event]],event_type_category[Type of Event],event_type_category[Category],"Not found")</f>
        <v>Independence &amp; Nation-Building</v>
      </c>
    </row>
    <row r="928" spans="1:18">
      <c r="A928">
        <v>990</v>
      </c>
      <c r="B928" t="s">
        <v>4205</v>
      </c>
      <c r="C928" t="s">
        <v>353</v>
      </c>
      <c r="D928" t="s">
        <v>286</v>
      </c>
      <c r="E928" t="s">
        <v>196</v>
      </c>
      <c r="F928" t="s">
        <v>4206</v>
      </c>
      <c r="G928" t="s">
        <v>2646</v>
      </c>
      <c r="H928" t="s">
        <v>4206</v>
      </c>
      <c r="I928" t="s">
        <v>4207</v>
      </c>
      <c r="J928" t="s">
        <v>4208</v>
      </c>
      <c r="K928" t="s">
        <v>4209</v>
      </c>
      <c r="L928" t="s">
        <v>54</v>
      </c>
      <c r="M928">
        <v>1974</v>
      </c>
      <c r="N928" s="5">
        <f>ROUNDUP(Clean_Data[[#This Row],[Year_Num]]/100,0)</f>
        <v>20</v>
      </c>
      <c r="O928" s="5" t="str" cm="1">
        <f t="array" ref="O928">_xlfn.LET(_xlpm.y,Clean_Data[[#This Row],[Year_Num]],_xlfn.IFS(_xlpm.y&lt;500,"Ancient",_xlpm.y&lt;1500,"Medieval",_xlpm.y&lt;1800,"Early Modern",_xlpm.y&lt;1946,"Modern",TRUE,"Contemporary"))</f>
        <v>Contemporary</v>
      </c>
      <c r="P928" s="5" t="str">
        <f>_xlfn.XLOOKUP(Clean_Data[[#This Row],[Country]],country_region[Country],country_region[Country_Standard],"Not found")</f>
        <v>Ethiopia</v>
      </c>
      <c r="Q928" s="5" t="str">
        <f>_xlfn.XLOOKUP(Clean_Data[[#This Row],[Country]],country_region[Country],country_region[Region],"Not found")</f>
        <v>Sub-Saharan Africa</v>
      </c>
      <c r="R928" s="5" t="str">
        <f>_xlfn.XLOOKUP(Clean_Data[[#This Row],[Type of Event]],event_type_category[Type of Event],event_type_category[Category],"Not found")</f>
        <v>Politics &amp; Law</v>
      </c>
    </row>
    <row r="929" spans="1:18">
      <c r="A929">
        <v>991</v>
      </c>
      <c r="B929" t="s">
        <v>4210</v>
      </c>
      <c r="C929" t="s">
        <v>321</v>
      </c>
      <c r="D929" t="s">
        <v>211</v>
      </c>
      <c r="E929" t="s">
        <v>737</v>
      </c>
      <c r="F929" t="s">
        <v>4102</v>
      </c>
      <c r="G929" t="s">
        <v>801</v>
      </c>
      <c r="H929" t="s">
        <v>4102</v>
      </c>
      <c r="I929" t="s">
        <v>4211</v>
      </c>
      <c r="J929" t="s">
        <v>4104</v>
      </c>
      <c r="K929" t="s">
        <v>4212</v>
      </c>
      <c r="L929" t="s">
        <v>54</v>
      </c>
      <c r="M929">
        <v>1967</v>
      </c>
      <c r="N929" s="5">
        <f>ROUNDUP(Clean_Data[[#This Row],[Year_Num]]/100,0)</f>
        <v>20</v>
      </c>
      <c r="O929" s="5" t="str" cm="1">
        <f t="array" ref="O929">_xlfn.LET(_xlpm.y,Clean_Data[[#This Row],[Year_Num]],_xlfn.IFS(_xlpm.y&lt;500,"Ancient",_xlpm.y&lt;1500,"Medieval",_xlpm.y&lt;1800,"Early Modern",_xlpm.y&lt;1946,"Modern",TRUE,"Contemporary"))</f>
        <v>Contemporary</v>
      </c>
      <c r="P929" s="5" t="str">
        <f>_xlfn.XLOOKUP(Clean_Data[[#This Row],[Country]],country_region[Country],country_region[Country_Standard],"Not found")</f>
        <v>Nigeria</v>
      </c>
      <c r="Q929" s="5" t="str">
        <f>_xlfn.XLOOKUP(Clean_Data[[#This Row],[Country]],country_region[Country],country_region[Region],"Not found")</f>
        <v>Sub-Saharan Africa</v>
      </c>
      <c r="R929" s="5" t="str">
        <f>_xlfn.XLOOKUP(Clean_Data[[#This Row],[Type of Event]],event_type_category[Type of Event],event_type_category[Category],"Not found")</f>
        <v>War &amp; Conflict</v>
      </c>
    </row>
    <row r="930" spans="1:18">
      <c r="A930">
        <v>992</v>
      </c>
      <c r="B930" t="s">
        <v>4213</v>
      </c>
      <c r="C930" t="s">
        <v>38</v>
      </c>
      <c r="D930" t="s">
        <v>267</v>
      </c>
      <c r="E930" t="s">
        <v>123</v>
      </c>
      <c r="F930" t="s">
        <v>295</v>
      </c>
      <c r="G930" t="s">
        <v>376</v>
      </c>
      <c r="H930" t="s">
        <v>4214</v>
      </c>
      <c r="I930" t="s">
        <v>5068</v>
      </c>
      <c r="J930" t="s">
        <v>4099</v>
      </c>
      <c r="K930" t="s">
        <v>4216</v>
      </c>
      <c r="L930" t="s">
        <v>54</v>
      </c>
      <c r="M930">
        <v>1960</v>
      </c>
      <c r="N930" s="5">
        <f>ROUNDUP(Clean_Data[[#This Row],[Year_Num]]/100,0)</f>
        <v>20</v>
      </c>
      <c r="O930" s="5" t="str" cm="1">
        <f t="array" ref="O930">_xlfn.LET(_xlpm.y,Clean_Data[[#This Row],[Year_Num]],_xlfn.IFS(_xlpm.y&lt;500,"Ancient",_xlpm.y&lt;1500,"Medieval",_xlpm.y&lt;1800,"Early Modern",_xlpm.y&lt;1946,"Modern",TRUE,"Contemporary"))</f>
        <v>Contemporary</v>
      </c>
      <c r="P930" s="5" t="str">
        <f>_xlfn.XLOOKUP(Clean_Data[[#This Row],[Country]],country_region[Country],country_region[Country_Standard],"Not found")</f>
        <v>South Africa</v>
      </c>
      <c r="Q930" s="5" t="str">
        <f>_xlfn.XLOOKUP(Clean_Data[[#This Row],[Country]],country_region[Country],country_region[Region],"Not found")</f>
        <v>Sub-Saharan Africa</v>
      </c>
      <c r="R930" s="5" t="str">
        <f>_xlfn.XLOOKUP(Clean_Data[[#This Row],[Type of Event]],event_type_category[Type of Event],event_type_category[Category],"Not found")</f>
        <v>War &amp; Conflict</v>
      </c>
    </row>
    <row r="931" spans="1:18">
      <c r="A931">
        <v>993</v>
      </c>
      <c r="B931" t="s">
        <v>4217</v>
      </c>
      <c r="E931" t="s">
        <v>494</v>
      </c>
      <c r="F931" t="s">
        <v>4113</v>
      </c>
      <c r="G931" t="s">
        <v>1988</v>
      </c>
      <c r="H931" t="s">
        <v>4218</v>
      </c>
      <c r="I931" t="s">
        <v>4219</v>
      </c>
      <c r="J931" t="s">
        <v>4115</v>
      </c>
      <c r="K931" t="s">
        <v>4220</v>
      </c>
      <c r="L931" t="s">
        <v>36</v>
      </c>
      <c r="M931">
        <v>1956</v>
      </c>
      <c r="N931" s="5">
        <f>ROUNDUP(Clean_Data[[#This Row],[Year_Num]]/100,0)</f>
        <v>20</v>
      </c>
      <c r="O931" s="5" t="str" cm="1">
        <f t="array" ref="O931">_xlfn.LET(_xlpm.y,Clean_Data[[#This Row],[Year_Num]],_xlfn.IFS(_xlpm.y&lt;500,"Ancient",_xlpm.y&lt;1500,"Medieval",_xlpm.y&lt;1800,"Early Modern",_xlpm.y&lt;1946,"Modern",TRUE,"Contemporary"))</f>
        <v>Contemporary</v>
      </c>
      <c r="P931" s="5" t="str">
        <f>_xlfn.XLOOKUP(Clean_Data[[#This Row],[Country]],country_region[Country],country_region[Country_Standard],"Not found")</f>
        <v>Algeria</v>
      </c>
      <c r="Q931" s="5" t="str">
        <f>_xlfn.XLOOKUP(Clean_Data[[#This Row],[Country]],country_region[Country],country_region[Region],"Not found")</f>
        <v>Middle East &amp; North Africa</v>
      </c>
      <c r="R931" s="5" t="str">
        <f>_xlfn.XLOOKUP(Clean_Data[[#This Row],[Type of Event]],event_type_category[Type of Event],event_type_category[Category],"Not found")</f>
        <v>War &amp; Conflict</v>
      </c>
    </row>
    <row r="932" spans="1:18">
      <c r="A932">
        <v>994</v>
      </c>
      <c r="B932" t="s">
        <v>4221</v>
      </c>
      <c r="C932" t="s">
        <v>200</v>
      </c>
      <c r="D932" t="s">
        <v>100</v>
      </c>
      <c r="E932" t="s">
        <v>201</v>
      </c>
      <c r="F932" t="s">
        <v>4222</v>
      </c>
      <c r="G932" t="s">
        <v>2588</v>
      </c>
      <c r="H932" t="s">
        <v>4222</v>
      </c>
      <c r="I932" t="s">
        <v>4223</v>
      </c>
      <c r="J932" t="s">
        <v>4224</v>
      </c>
      <c r="K932" t="s">
        <v>4225</v>
      </c>
      <c r="L932" t="s">
        <v>21</v>
      </c>
      <c r="M932">
        <v>1975</v>
      </c>
      <c r="N932" s="5">
        <f>ROUNDUP(Clean_Data[[#This Row],[Year_Num]]/100,0)</f>
        <v>20</v>
      </c>
      <c r="O932" s="5" t="str" cm="1">
        <f t="array" ref="O932">_xlfn.LET(_xlpm.y,Clean_Data[[#This Row],[Year_Num]],_xlfn.IFS(_xlpm.y&lt;500,"Ancient",_xlpm.y&lt;1500,"Medieval",_xlpm.y&lt;1800,"Early Modern",_xlpm.y&lt;1946,"Modern",TRUE,"Contemporary"))</f>
        <v>Contemporary</v>
      </c>
      <c r="P932" s="5" t="str">
        <f>_xlfn.XLOOKUP(Clean_Data[[#This Row],[Country]],country_region[Country],country_region[Country_Standard],"Not found")</f>
        <v>Mozambique</v>
      </c>
      <c r="Q932" s="5" t="str">
        <f>_xlfn.XLOOKUP(Clean_Data[[#This Row],[Country]],country_region[Country],country_region[Region],"Not found")</f>
        <v>Sub-Saharan Africa</v>
      </c>
      <c r="R932" s="5" t="str">
        <f>_xlfn.XLOOKUP(Clean_Data[[#This Row],[Type of Event]],event_type_category[Type of Event],event_type_category[Category],"Not found")</f>
        <v>Independence &amp; Nation-Building</v>
      </c>
    </row>
    <row r="933" spans="1:18">
      <c r="A933">
        <v>995</v>
      </c>
      <c r="B933" t="s">
        <v>4167</v>
      </c>
      <c r="C933" t="s">
        <v>218</v>
      </c>
      <c r="D933" t="s">
        <v>158</v>
      </c>
      <c r="E933" t="s">
        <v>1387</v>
      </c>
      <c r="F933" t="s">
        <v>4226</v>
      </c>
      <c r="G933" t="s">
        <v>2588</v>
      </c>
      <c r="H933" t="s">
        <v>4226</v>
      </c>
      <c r="I933" t="s">
        <v>4227</v>
      </c>
      <c r="J933" t="s">
        <v>4228</v>
      </c>
      <c r="K933" t="s">
        <v>4229</v>
      </c>
      <c r="L933" t="s">
        <v>21</v>
      </c>
      <c r="M933">
        <v>1964</v>
      </c>
      <c r="N933" s="5">
        <f>ROUNDUP(Clean_Data[[#This Row],[Year_Num]]/100,0)</f>
        <v>20</v>
      </c>
      <c r="O933" s="5" t="str" cm="1">
        <f t="array" ref="O933">_xlfn.LET(_xlpm.y,Clean_Data[[#This Row],[Year_Num]],_xlfn.IFS(_xlpm.y&lt;500,"Ancient",_xlpm.y&lt;1500,"Medieval",_xlpm.y&lt;1800,"Early Modern",_xlpm.y&lt;1946,"Modern",TRUE,"Contemporary"))</f>
        <v>Contemporary</v>
      </c>
      <c r="P933" s="5" t="str">
        <f>_xlfn.XLOOKUP(Clean_Data[[#This Row],[Country]],country_region[Country],country_region[Country_Standard],"Not found")</f>
        <v>Zambia</v>
      </c>
      <c r="Q933" s="5" t="str">
        <f>_xlfn.XLOOKUP(Clean_Data[[#This Row],[Country]],country_region[Country],country_region[Region],"Not found")</f>
        <v>Sub-Saharan Africa</v>
      </c>
      <c r="R933" s="5" t="str">
        <f>_xlfn.XLOOKUP(Clean_Data[[#This Row],[Type of Event]],event_type_category[Type of Event],event_type_category[Category],"Not found")</f>
        <v>Independence &amp; Nation-Building</v>
      </c>
    </row>
    <row r="934" spans="1:18">
      <c r="A934">
        <v>996</v>
      </c>
      <c r="B934" t="s">
        <v>4122</v>
      </c>
      <c r="C934" t="s">
        <v>230</v>
      </c>
      <c r="D934" t="s">
        <v>39</v>
      </c>
      <c r="E934" t="s">
        <v>123</v>
      </c>
      <c r="F934" t="s">
        <v>4230</v>
      </c>
      <c r="G934" t="s">
        <v>2588</v>
      </c>
      <c r="H934" t="s">
        <v>4230</v>
      </c>
      <c r="I934" t="s">
        <v>4231</v>
      </c>
      <c r="J934" t="s">
        <v>4232</v>
      </c>
      <c r="K934" t="s">
        <v>4233</v>
      </c>
      <c r="L934" t="s">
        <v>21</v>
      </c>
      <c r="M934">
        <v>1960</v>
      </c>
      <c r="N934" s="5">
        <f>ROUNDUP(Clean_Data[[#This Row],[Year_Num]]/100,0)</f>
        <v>20</v>
      </c>
      <c r="O934" s="5" t="str" cm="1">
        <f t="array" ref="O934">_xlfn.LET(_xlpm.y,Clean_Data[[#This Row],[Year_Num]],_xlfn.IFS(_xlpm.y&lt;500,"Ancient",_xlpm.y&lt;1500,"Medieval",_xlpm.y&lt;1800,"Early Modern",_xlpm.y&lt;1946,"Modern",TRUE,"Contemporary"))</f>
        <v>Contemporary</v>
      </c>
      <c r="P934" s="5" t="str">
        <f>_xlfn.XLOOKUP(Clean_Data[[#This Row],[Country]],country_region[Country],country_region[Country_Standard],"Not found")</f>
        <v>Senegal</v>
      </c>
      <c r="Q934" s="5" t="str">
        <f>_xlfn.XLOOKUP(Clean_Data[[#This Row],[Country]],country_region[Country],country_region[Region],"Not found")</f>
        <v>Sub-Saharan Africa</v>
      </c>
      <c r="R934" s="5" t="str">
        <f>_xlfn.XLOOKUP(Clean_Data[[#This Row],[Type of Event]],event_type_category[Type of Event],event_type_category[Category],"Not found")</f>
        <v>Independence &amp; Nation-Building</v>
      </c>
    </row>
    <row r="935" spans="1:18">
      <c r="A935">
        <v>997</v>
      </c>
      <c r="B935" t="s">
        <v>4234</v>
      </c>
      <c r="C935" t="s">
        <v>246</v>
      </c>
      <c r="D935" t="s">
        <v>100</v>
      </c>
      <c r="E935" t="s">
        <v>123</v>
      </c>
      <c r="F935" t="s">
        <v>4235</v>
      </c>
      <c r="G935" t="s">
        <v>2588</v>
      </c>
      <c r="H935" t="s">
        <v>4235</v>
      </c>
      <c r="I935" t="s">
        <v>5069</v>
      </c>
      <c r="J935" t="s">
        <v>4237</v>
      </c>
      <c r="K935" t="s">
        <v>4238</v>
      </c>
      <c r="L935" t="s">
        <v>36</v>
      </c>
      <c r="M935">
        <v>1960</v>
      </c>
      <c r="N935" s="5">
        <f>ROUNDUP(Clean_Data[[#This Row],[Year_Num]]/100,0)</f>
        <v>20</v>
      </c>
      <c r="O935" s="5" t="str" cm="1">
        <f t="array" ref="O935">_xlfn.LET(_xlpm.y,Clean_Data[[#This Row],[Year_Num]],_xlfn.IFS(_xlpm.y&lt;500,"Ancient",_xlpm.y&lt;1500,"Medieval",_xlpm.y&lt;1800,"Early Modern",_xlpm.y&lt;1946,"Modern",TRUE,"Contemporary"))</f>
        <v>Contemporary</v>
      </c>
      <c r="P935" s="5" t="str">
        <f>_xlfn.XLOOKUP(Clean_Data[[#This Row],[Country]],country_region[Country],country_region[Country_Standard],"Not found")</f>
        <v>Congo (DRC)</v>
      </c>
      <c r="Q935" s="5" t="str">
        <f>_xlfn.XLOOKUP(Clean_Data[[#This Row],[Country]],country_region[Country],country_region[Region],"Not found")</f>
        <v>Sub-Saharan Africa</v>
      </c>
      <c r="R935" s="5" t="str">
        <f>_xlfn.XLOOKUP(Clean_Data[[#This Row],[Type of Event]],event_type_category[Type of Event],event_type_category[Category],"Not found")</f>
        <v>Independence &amp; Nation-Building</v>
      </c>
    </row>
    <row r="936" spans="1:18">
      <c r="A936">
        <v>998</v>
      </c>
      <c r="B936" t="s">
        <v>4167</v>
      </c>
      <c r="C936" t="s">
        <v>522</v>
      </c>
      <c r="D936" t="s">
        <v>39</v>
      </c>
      <c r="E936" t="s">
        <v>1929</v>
      </c>
      <c r="F936" t="s">
        <v>4239</v>
      </c>
      <c r="G936" t="s">
        <v>2588</v>
      </c>
      <c r="H936" t="s">
        <v>4239</v>
      </c>
      <c r="I936" t="s">
        <v>4240</v>
      </c>
      <c r="J936" t="s">
        <v>4241</v>
      </c>
      <c r="K936" t="s">
        <v>4242</v>
      </c>
      <c r="L936" t="s">
        <v>21</v>
      </c>
      <c r="M936">
        <v>1961</v>
      </c>
      <c r="N936" s="5">
        <f>ROUNDUP(Clean_Data[[#This Row],[Year_Num]]/100,0)</f>
        <v>20</v>
      </c>
      <c r="O936" s="5" t="str" cm="1">
        <f t="array" ref="O936">_xlfn.LET(_xlpm.y,Clean_Data[[#This Row],[Year_Num]],_xlfn.IFS(_xlpm.y&lt;500,"Ancient",_xlpm.y&lt;1500,"Medieval",_xlpm.y&lt;1800,"Early Modern",_xlpm.y&lt;1946,"Modern",TRUE,"Contemporary"))</f>
        <v>Contemporary</v>
      </c>
      <c r="P936" s="5" t="str">
        <f>_xlfn.XLOOKUP(Clean_Data[[#This Row],[Country]],country_region[Country],country_region[Country_Standard],"Not found")</f>
        <v>Sierra Leone</v>
      </c>
      <c r="Q936" s="5" t="str">
        <f>_xlfn.XLOOKUP(Clean_Data[[#This Row],[Country]],country_region[Country],country_region[Region],"Not found")</f>
        <v>Sub-Saharan Africa</v>
      </c>
      <c r="R936" s="5" t="str">
        <f>_xlfn.XLOOKUP(Clean_Data[[#This Row],[Type of Event]],event_type_category[Type of Event],event_type_category[Category],"Not found")</f>
        <v>Independence &amp; Nation-Building</v>
      </c>
    </row>
    <row r="937" spans="1:18">
      <c r="A937">
        <v>999</v>
      </c>
      <c r="B937" t="s">
        <v>4122</v>
      </c>
      <c r="C937" t="s">
        <v>325</v>
      </c>
      <c r="D937" t="s">
        <v>286</v>
      </c>
      <c r="E937" t="s">
        <v>123</v>
      </c>
      <c r="F937" t="s">
        <v>4243</v>
      </c>
      <c r="G937" t="s">
        <v>2588</v>
      </c>
      <c r="H937" t="s">
        <v>4243</v>
      </c>
      <c r="I937" t="s">
        <v>4244</v>
      </c>
      <c r="J937" t="s">
        <v>4245</v>
      </c>
      <c r="K937" t="s">
        <v>4246</v>
      </c>
      <c r="L937" t="s">
        <v>21</v>
      </c>
      <c r="M937">
        <v>1960</v>
      </c>
      <c r="N937" s="5">
        <f>ROUNDUP(Clean_Data[[#This Row],[Year_Num]]/100,0)</f>
        <v>20</v>
      </c>
      <c r="O937" s="5" t="str" cm="1">
        <f t="array" ref="O937">_xlfn.LET(_xlpm.y,Clean_Data[[#This Row],[Year_Num]],_xlfn.IFS(_xlpm.y&lt;500,"Ancient",_xlpm.y&lt;1500,"Medieval",_xlpm.y&lt;1800,"Early Modern",_xlpm.y&lt;1946,"Modern",TRUE,"Contemporary"))</f>
        <v>Contemporary</v>
      </c>
      <c r="P937" s="5" t="str">
        <f>_xlfn.XLOOKUP(Clean_Data[[#This Row],[Country]],country_region[Country],country_region[Country_Standard],"Not found")</f>
        <v>Mali</v>
      </c>
      <c r="Q937" s="5" t="str">
        <f>_xlfn.XLOOKUP(Clean_Data[[#This Row],[Country]],country_region[Country],country_region[Region],"Not found")</f>
        <v>Sub-Saharan Africa</v>
      </c>
      <c r="R937" s="5" t="str">
        <f>_xlfn.XLOOKUP(Clean_Data[[#This Row],[Type of Event]],event_type_category[Type of Event],event_type_category[Category],"Not found")</f>
        <v>Independence &amp; Nation-Building</v>
      </c>
    </row>
    <row r="938" spans="1:18">
      <c r="A938">
        <v>1000</v>
      </c>
      <c r="B938" t="s">
        <v>2119</v>
      </c>
      <c r="C938" t="s">
        <v>230</v>
      </c>
      <c r="D938" t="s">
        <v>57</v>
      </c>
      <c r="E938" t="s">
        <v>272</v>
      </c>
      <c r="F938" t="s">
        <v>4247</v>
      </c>
      <c r="G938" t="s">
        <v>2646</v>
      </c>
      <c r="H938" t="s">
        <v>4247</v>
      </c>
      <c r="I938" t="s">
        <v>4248</v>
      </c>
      <c r="J938" t="s">
        <v>4249</v>
      </c>
      <c r="K938" t="s">
        <v>4250</v>
      </c>
      <c r="L938" t="s">
        <v>21</v>
      </c>
      <c r="M938">
        <v>1983</v>
      </c>
      <c r="N938" s="5">
        <f>ROUNDUP(Clean_Data[[#This Row],[Year_Num]]/100,0)</f>
        <v>20</v>
      </c>
      <c r="O938" s="5" t="str" cm="1">
        <f t="array" ref="O938">_xlfn.LET(_xlpm.y,Clean_Data[[#This Row],[Year_Num]],_xlfn.IFS(_xlpm.y&lt;500,"Ancient",_xlpm.y&lt;1500,"Medieval",_xlpm.y&lt;1800,"Early Modern",_xlpm.y&lt;1946,"Modern",TRUE,"Contemporary"))</f>
        <v>Contemporary</v>
      </c>
      <c r="P938" s="5" t="str">
        <f>_xlfn.XLOOKUP(Clean_Data[[#This Row],[Country]],country_region[Country],country_region[Country_Standard],"Not found")</f>
        <v>Burkina Faso</v>
      </c>
      <c r="Q938" s="5" t="str">
        <f>_xlfn.XLOOKUP(Clean_Data[[#This Row],[Country]],country_region[Country],country_region[Region],"Not found")</f>
        <v>Sub-Saharan Africa</v>
      </c>
      <c r="R938" s="5" t="str">
        <f>_xlfn.XLOOKUP(Clean_Data[[#This Row],[Type of Event]],event_type_category[Type of Event],event_type_category[Category],"Not found")</f>
        <v>Politics &amp; Law</v>
      </c>
    </row>
    <row r="939" spans="1:18">
      <c r="A939">
        <v>1001</v>
      </c>
      <c r="B939" t="s">
        <v>4167</v>
      </c>
      <c r="C939" t="s">
        <v>195</v>
      </c>
      <c r="D939" t="s">
        <v>39</v>
      </c>
      <c r="E939" t="s">
        <v>455</v>
      </c>
      <c r="F939" t="s">
        <v>4129</v>
      </c>
      <c r="G939" t="s">
        <v>2588</v>
      </c>
      <c r="H939" t="s">
        <v>4129</v>
      </c>
      <c r="I939" t="s">
        <v>4251</v>
      </c>
      <c r="J939" t="s">
        <v>4132</v>
      </c>
      <c r="K939" t="s">
        <v>4252</v>
      </c>
      <c r="L939" t="s">
        <v>21</v>
      </c>
      <c r="M939">
        <v>1980</v>
      </c>
      <c r="N939" s="5">
        <f>ROUNDUP(Clean_Data[[#This Row],[Year_Num]]/100,0)</f>
        <v>20</v>
      </c>
      <c r="O939" s="5" t="str" cm="1">
        <f t="array" ref="O939">_xlfn.LET(_xlpm.y,Clean_Data[[#This Row],[Year_Num]],_xlfn.IFS(_xlpm.y&lt;500,"Ancient",_xlpm.y&lt;1500,"Medieval",_xlpm.y&lt;1800,"Early Modern",_xlpm.y&lt;1946,"Modern",TRUE,"Contemporary"))</f>
        <v>Contemporary</v>
      </c>
      <c r="P939" s="5" t="str">
        <f>_xlfn.XLOOKUP(Clean_Data[[#This Row],[Country]],country_region[Country],country_region[Country_Standard],"Not found")</f>
        <v>Zimbabwe</v>
      </c>
      <c r="Q939" s="5" t="str">
        <f>_xlfn.XLOOKUP(Clean_Data[[#This Row],[Country]],country_region[Country],country_region[Region],"Not found")</f>
        <v>Sub-Saharan Africa</v>
      </c>
      <c r="R939" s="5" t="str">
        <f>_xlfn.XLOOKUP(Clean_Data[[#This Row],[Type of Event]],event_type_category[Type of Event],event_type_category[Category],"Not found")</f>
        <v>Independence &amp; Nation-Building</v>
      </c>
    </row>
    <row r="940" spans="1:18">
      <c r="A940">
        <v>1002</v>
      </c>
      <c r="B940" t="s">
        <v>4253</v>
      </c>
      <c r="C940" t="s">
        <v>99</v>
      </c>
      <c r="D940" t="s">
        <v>211</v>
      </c>
      <c r="E940" t="s">
        <v>4107</v>
      </c>
      <c r="F940" t="s">
        <v>4147</v>
      </c>
      <c r="G940" t="s">
        <v>2646</v>
      </c>
      <c r="H940" t="s">
        <v>4147</v>
      </c>
      <c r="I940" t="s">
        <v>4254</v>
      </c>
      <c r="J940" t="s">
        <v>4255</v>
      </c>
      <c r="K940" t="s">
        <v>4256</v>
      </c>
      <c r="L940" t="s">
        <v>21</v>
      </c>
      <c r="M940">
        <v>1952</v>
      </c>
      <c r="N940" s="5">
        <f>ROUNDUP(Clean_Data[[#This Row],[Year_Num]]/100,0)</f>
        <v>20</v>
      </c>
      <c r="O940" s="5" t="str" cm="1">
        <f t="array" ref="O940">_xlfn.LET(_xlpm.y,Clean_Data[[#This Row],[Year_Num]],_xlfn.IFS(_xlpm.y&lt;500,"Ancient",_xlpm.y&lt;1500,"Medieval",_xlpm.y&lt;1800,"Early Modern",_xlpm.y&lt;1946,"Modern",TRUE,"Contemporary"))</f>
        <v>Contemporary</v>
      </c>
      <c r="P940" s="5" t="str">
        <f>_xlfn.XLOOKUP(Clean_Data[[#This Row],[Country]],country_region[Country],country_region[Country_Standard],"Not found")</f>
        <v>Egypt</v>
      </c>
      <c r="Q940" s="5" t="str">
        <f>_xlfn.XLOOKUP(Clean_Data[[#This Row],[Country]],country_region[Country],country_region[Region],"Not found")</f>
        <v>Middle East &amp; North Africa</v>
      </c>
      <c r="R940" s="5" t="str">
        <f>_xlfn.XLOOKUP(Clean_Data[[#This Row],[Type of Event]],event_type_category[Type of Event],event_type_category[Category],"Not found")</f>
        <v>Politics &amp; Law</v>
      </c>
    </row>
    <row r="941" spans="1:18">
      <c r="A941">
        <v>1003</v>
      </c>
      <c r="B941" t="s">
        <v>4167</v>
      </c>
      <c r="C941" t="s">
        <v>353</v>
      </c>
      <c r="D941" t="s">
        <v>66</v>
      </c>
      <c r="E941" t="s">
        <v>2320</v>
      </c>
      <c r="F941" t="s">
        <v>4108</v>
      </c>
      <c r="G941" t="s">
        <v>2588</v>
      </c>
      <c r="H941" t="s">
        <v>4108</v>
      </c>
      <c r="I941" t="s">
        <v>4257</v>
      </c>
      <c r="J941" t="s">
        <v>4110</v>
      </c>
      <c r="K941" t="s">
        <v>4258</v>
      </c>
      <c r="L941" t="s">
        <v>21</v>
      </c>
      <c r="M941">
        <v>1963</v>
      </c>
      <c r="N941" s="5">
        <f>ROUNDUP(Clean_Data[[#This Row],[Year_Num]]/100,0)</f>
        <v>20</v>
      </c>
      <c r="O941" s="5" t="str" cm="1">
        <f t="array" ref="O941">_xlfn.LET(_xlpm.y,Clean_Data[[#This Row],[Year_Num]],_xlfn.IFS(_xlpm.y&lt;500,"Ancient",_xlpm.y&lt;1500,"Medieval",_xlpm.y&lt;1800,"Early Modern",_xlpm.y&lt;1946,"Modern",TRUE,"Contemporary"))</f>
        <v>Contemporary</v>
      </c>
      <c r="P941" s="5" t="str">
        <f>_xlfn.XLOOKUP(Clean_Data[[#This Row],[Country]],country_region[Country],country_region[Country_Standard],"Not found")</f>
        <v>Kenya</v>
      </c>
      <c r="Q941" s="5" t="str">
        <f>_xlfn.XLOOKUP(Clean_Data[[#This Row],[Country]],country_region[Country],country_region[Region],"Not found")</f>
        <v>Sub-Saharan Africa</v>
      </c>
      <c r="R941" s="5" t="str">
        <f>_xlfn.XLOOKUP(Clean_Data[[#This Row],[Type of Event]],event_type_category[Type of Event],event_type_category[Category],"Not found")</f>
        <v>Independence &amp; Nation-Building</v>
      </c>
    </row>
    <row r="942" spans="1:18">
      <c r="A942">
        <v>1004</v>
      </c>
      <c r="B942" t="s">
        <v>4122</v>
      </c>
      <c r="C942" t="s">
        <v>46</v>
      </c>
      <c r="D942" t="s">
        <v>260</v>
      </c>
      <c r="E942" t="s">
        <v>123</v>
      </c>
      <c r="F942" t="s">
        <v>4259</v>
      </c>
      <c r="G942" t="s">
        <v>2588</v>
      </c>
      <c r="H942" t="s">
        <v>4259</v>
      </c>
      <c r="I942" t="s">
        <v>4260</v>
      </c>
      <c r="J942" t="s">
        <v>4261</v>
      </c>
      <c r="K942" t="s">
        <v>4262</v>
      </c>
      <c r="L942" t="s">
        <v>21</v>
      </c>
      <c r="M942">
        <v>1960</v>
      </c>
      <c r="N942" s="5">
        <f>ROUNDUP(Clean_Data[[#This Row],[Year_Num]]/100,0)</f>
        <v>20</v>
      </c>
      <c r="O942" s="5" t="str" cm="1">
        <f t="array" ref="O942">_xlfn.LET(_xlpm.y,Clean_Data[[#This Row],[Year_Num]],_xlfn.IFS(_xlpm.y&lt;500,"Ancient",_xlpm.y&lt;1500,"Medieval",_xlpm.y&lt;1800,"Early Modern",_xlpm.y&lt;1946,"Modern",TRUE,"Contemporary"))</f>
        <v>Contemporary</v>
      </c>
      <c r="P942" s="5" t="str">
        <f>_xlfn.XLOOKUP(Clean_Data[[#This Row],[Country]],country_region[Country],country_region[Country_Standard],"Not found")</f>
        <v>Cameroon</v>
      </c>
      <c r="Q942" s="5" t="str">
        <f>_xlfn.XLOOKUP(Clean_Data[[#This Row],[Country]],country_region[Country],country_region[Region],"Not found")</f>
        <v>Sub-Saharan Africa</v>
      </c>
      <c r="R942" s="5" t="str">
        <f>_xlfn.XLOOKUP(Clean_Data[[#This Row],[Type of Event]],event_type_category[Type of Event],event_type_category[Category],"Not found")</f>
        <v>Independence &amp; Nation-Building</v>
      </c>
    </row>
    <row r="943" spans="1:18">
      <c r="A943">
        <v>1005</v>
      </c>
      <c r="B943" t="s">
        <v>4263</v>
      </c>
      <c r="C943" t="s">
        <v>218</v>
      </c>
      <c r="D943" t="s">
        <v>47</v>
      </c>
      <c r="E943" t="s">
        <v>1195</v>
      </c>
      <c r="F943" t="s">
        <v>4264</v>
      </c>
      <c r="G943" t="s">
        <v>2588</v>
      </c>
      <c r="H943" t="s">
        <v>4264</v>
      </c>
      <c r="I943" t="s">
        <v>5070</v>
      </c>
      <c r="J943" t="s">
        <v>4266</v>
      </c>
      <c r="K943" t="s">
        <v>4267</v>
      </c>
      <c r="L943" t="s">
        <v>21</v>
      </c>
      <c r="M943">
        <v>1993</v>
      </c>
      <c r="N943" s="5">
        <f>ROUNDUP(Clean_Data[[#This Row],[Year_Num]]/100,0)</f>
        <v>20</v>
      </c>
      <c r="O943" s="5" t="str" cm="1">
        <f t="array" ref="O943">_xlfn.LET(_xlpm.y,Clean_Data[[#This Row],[Year_Num]],_xlfn.IFS(_xlpm.y&lt;500,"Ancient",_xlpm.y&lt;1500,"Medieval",_xlpm.y&lt;1800,"Early Modern",_xlpm.y&lt;1946,"Modern",TRUE,"Contemporary"))</f>
        <v>Contemporary</v>
      </c>
      <c r="P943" s="5" t="str">
        <f>_xlfn.XLOOKUP(Clean_Data[[#This Row],[Country]],country_region[Country],country_region[Country_Standard],"Not found")</f>
        <v>Eritrea</v>
      </c>
      <c r="Q943" s="5" t="str">
        <f>_xlfn.XLOOKUP(Clean_Data[[#This Row],[Country]],country_region[Country],country_region[Region],"Not found")</f>
        <v>Sub-Saharan Africa</v>
      </c>
      <c r="R943" s="5" t="str">
        <f>_xlfn.XLOOKUP(Clean_Data[[#This Row],[Type of Event]],event_type_category[Type of Event],event_type_category[Category],"Not found")</f>
        <v>Independence &amp; Nation-Building</v>
      </c>
    </row>
    <row r="944" spans="1:18">
      <c r="A944">
        <v>1006</v>
      </c>
      <c r="B944" t="s">
        <v>4268</v>
      </c>
      <c r="C944" t="s">
        <v>74</v>
      </c>
      <c r="D944" t="s">
        <v>173</v>
      </c>
      <c r="E944" t="s">
        <v>627</v>
      </c>
      <c r="F944" t="s">
        <v>295</v>
      </c>
      <c r="G944" t="s">
        <v>31</v>
      </c>
      <c r="H944" t="s">
        <v>295</v>
      </c>
      <c r="I944" t="s">
        <v>4269</v>
      </c>
      <c r="J944" t="s">
        <v>4099</v>
      </c>
      <c r="K944" t="s">
        <v>4270</v>
      </c>
      <c r="L944" t="s">
        <v>21</v>
      </c>
      <c r="M944">
        <v>1990</v>
      </c>
      <c r="N944" s="5">
        <f>ROUNDUP(Clean_Data[[#This Row],[Year_Num]]/100,0)</f>
        <v>20</v>
      </c>
      <c r="O944" s="5" t="str" cm="1">
        <f t="array" ref="O944">_xlfn.LET(_xlpm.y,Clean_Data[[#This Row],[Year_Num]],_xlfn.IFS(_xlpm.y&lt;500,"Ancient",_xlpm.y&lt;1500,"Medieval",_xlpm.y&lt;1800,"Early Modern",_xlpm.y&lt;1946,"Modern",TRUE,"Contemporary"))</f>
        <v>Contemporary</v>
      </c>
      <c r="P944" s="5" t="str">
        <f>_xlfn.XLOOKUP(Clean_Data[[#This Row],[Country]],country_region[Country],country_region[Country_Standard],"Not found")</f>
        <v>South Africa</v>
      </c>
      <c r="Q944" s="5" t="str">
        <f>_xlfn.XLOOKUP(Clean_Data[[#This Row],[Country]],country_region[Country],country_region[Region],"Not found")</f>
        <v>Sub-Saharan Africa</v>
      </c>
      <c r="R944" s="5" t="str">
        <f>_xlfn.XLOOKUP(Clean_Data[[#This Row],[Type of Event]],event_type_category[Type of Event],event_type_category[Category],"Not found")</f>
        <v>Politics &amp; Law</v>
      </c>
    </row>
    <row r="945" spans="1:18">
      <c r="A945">
        <v>1007</v>
      </c>
      <c r="B945" t="s">
        <v>4271</v>
      </c>
      <c r="C945" t="s">
        <v>230</v>
      </c>
      <c r="D945" t="s">
        <v>57</v>
      </c>
      <c r="E945" t="s">
        <v>1195</v>
      </c>
      <c r="F945" t="s">
        <v>4152</v>
      </c>
      <c r="G945" t="s">
        <v>4272</v>
      </c>
      <c r="H945" t="s">
        <v>4273</v>
      </c>
      <c r="I945" t="s">
        <v>4274</v>
      </c>
      <c r="J945" t="s">
        <v>4155</v>
      </c>
      <c r="K945" t="s">
        <v>4275</v>
      </c>
      <c r="L945" t="s">
        <v>36</v>
      </c>
      <c r="M945">
        <v>1993</v>
      </c>
      <c r="N945" s="5">
        <f>ROUNDUP(Clean_Data[[#This Row],[Year_Num]]/100,0)</f>
        <v>20</v>
      </c>
      <c r="O945" s="5" t="str" cm="1">
        <f t="array" ref="O945">_xlfn.LET(_xlpm.y,Clean_Data[[#This Row],[Year_Num]],_xlfn.IFS(_xlpm.y&lt;500,"Ancient",_xlpm.y&lt;1500,"Medieval",_xlpm.y&lt;1800,"Early Modern",_xlpm.y&lt;1946,"Modern",TRUE,"Contemporary"))</f>
        <v>Contemporary</v>
      </c>
      <c r="P945" s="5" t="str">
        <f>_xlfn.XLOOKUP(Clean_Data[[#This Row],[Country]],country_region[Country],country_region[Country_Standard],"Not found")</f>
        <v>Rwanda</v>
      </c>
      <c r="Q945" s="5" t="str">
        <f>_xlfn.XLOOKUP(Clean_Data[[#This Row],[Country]],country_region[Country],country_region[Region],"Not found")</f>
        <v>Sub-Saharan Africa</v>
      </c>
      <c r="R945" s="5" t="str">
        <f>_xlfn.XLOOKUP(Clean_Data[[#This Row],[Type of Event]],event_type_category[Type of Event],event_type_category[Category],"Not found")</f>
        <v>Diplomacy &amp; International Relations</v>
      </c>
    </row>
    <row r="946" spans="1:18">
      <c r="A946">
        <v>1008</v>
      </c>
      <c r="B946" t="s">
        <v>4276</v>
      </c>
      <c r="C946" t="s">
        <v>240</v>
      </c>
      <c r="D946" t="s">
        <v>260</v>
      </c>
      <c r="E946" t="s">
        <v>144</v>
      </c>
      <c r="F946" t="s">
        <v>4179</v>
      </c>
      <c r="G946" t="s">
        <v>4272</v>
      </c>
      <c r="H946" t="s">
        <v>4179</v>
      </c>
      <c r="I946" t="s">
        <v>4277</v>
      </c>
      <c r="J946" t="s">
        <v>4278</v>
      </c>
      <c r="K946" t="s">
        <v>4279</v>
      </c>
      <c r="L946" t="s">
        <v>21</v>
      </c>
      <c r="M946">
        <v>2005</v>
      </c>
      <c r="N946" s="5">
        <f>ROUNDUP(Clean_Data[[#This Row],[Year_Num]]/100,0)</f>
        <v>21</v>
      </c>
      <c r="O946" s="5" t="str" cm="1">
        <f t="array" ref="O946">_xlfn.LET(_xlpm.y,Clean_Data[[#This Row],[Year_Num]],_xlfn.IFS(_xlpm.y&lt;500,"Ancient",_xlpm.y&lt;1500,"Medieval",_xlpm.y&lt;1800,"Early Modern",_xlpm.y&lt;1946,"Modern",TRUE,"Contemporary"))</f>
        <v>Contemporary</v>
      </c>
      <c r="P946" s="5" t="str">
        <f>_xlfn.XLOOKUP(Clean_Data[[#This Row],[Country]],country_region[Country],country_region[Country_Standard],"Not found")</f>
        <v>Sudan</v>
      </c>
      <c r="Q946" s="5" t="str">
        <f>_xlfn.XLOOKUP(Clean_Data[[#This Row],[Country]],country_region[Country],country_region[Region],"Not found")</f>
        <v>Middle East &amp; North Africa</v>
      </c>
      <c r="R946" s="5" t="str">
        <f>_xlfn.XLOOKUP(Clean_Data[[#This Row],[Type of Event]],event_type_category[Type of Event],event_type_category[Category],"Not found")</f>
        <v>Diplomacy &amp; International Relations</v>
      </c>
    </row>
    <row r="947" spans="1:18">
      <c r="A947">
        <v>1009</v>
      </c>
      <c r="B947" t="s">
        <v>4280</v>
      </c>
      <c r="C947" t="s">
        <v>1129</v>
      </c>
      <c r="D947" t="s">
        <v>173</v>
      </c>
      <c r="E947" t="s">
        <v>1426</v>
      </c>
      <c r="F947" t="s">
        <v>4118</v>
      </c>
      <c r="G947" t="s">
        <v>801</v>
      </c>
      <c r="H947" t="s">
        <v>4118</v>
      </c>
      <c r="I947" t="s">
        <v>4281</v>
      </c>
      <c r="J947" t="s">
        <v>4120</v>
      </c>
      <c r="K947" t="s">
        <v>4282</v>
      </c>
      <c r="L947" t="s">
        <v>36</v>
      </c>
      <c r="M947">
        <v>2011</v>
      </c>
      <c r="N947" s="5">
        <f>ROUNDUP(Clean_Data[[#This Row],[Year_Num]]/100,0)</f>
        <v>21</v>
      </c>
      <c r="O947" s="5" t="str" cm="1">
        <f t="array" ref="O947">_xlfn.LET(_xlpm.y,Clean_Data[[#This Row],[Year_Num]],_xlfn.IFS(_xlpm.y&lt;500,"Ancient",_xlpm.y&lt;1500,"Medieval",_xlpm.y&lt;1800,"Early Modern",_xlpm.y&lt;1946,"Modern",TRUE,"Contemporary"))</f>
        <v>Contemporary</v>
      </c>
      <c r="P947" s="5" t="str">
        <f>_xlfn.XLOOKUP(Clean_Data[[#This Row],[Country]],country_region[Country],country_region[Country_Standard],"Not found")</f>
        <v>Libya</v>
      </c>
      <c r="Q947" s="5" t="str">
        <f>_xlfn.XLOOKUP(Clean_Data[[#This Row],[Country]],country_region[Country],country_region[Region],"Not found")</f>
        <v>Middle East &amp; North Africa</v>
      </c>
      <c r="R947" s="5" t="str">
        <f>_xlfn.XLOOKUP(Clean_Data[[#This Row],[Type of Event]],event_type_category[Type of Event],event_type_category[Category],"Not found")</f>
        <v>War &amp; Conflict</v>
      </c>
    </row>
    <row r="948" spans="1:18">
      <c r="A948">
        <v>1010</v>
      </c>
      <c r="B948" t="s">
        <v>4167</v>
      </c>
      <c r="C948" t="s">
        <v>46</v>
      </c>
      <c r="D948" t="s">
        <v>158</v>
      </c>
      <c r="E948" t="s">
        <v>123</v>
      </c>
      <c r="F948" t="s">
        <v>4102</v>
      </c>
      <c r="G948" t="s">
        <v>2588</v>
      </c>
      <c r="H948" t="s">
        <v>4102</v>
      </c>
      <c r="I948" t="s">
        <v>4283</v>
      </c>
      <c r="J948" t="s">
        <v>4104</v>
      </c>
      <c r="K948" t="s">
        <v>4284</v>
      </c>
      <c r="L948" t="s">
        <v>21</v>
      </c>
      <c r="M948">
        <v>1960</v>
      </c>
      <c r="N948" s="5">
        <f>ROUNDUP(Clean_Data[[#This Row],[Year_Num]]/100,0)</f>
        <v>20</v>
      </c>
      <c r="O948" s="5" t="str" cm="1">
        <f t="array" ref="O948">_xlfn.LET(_xlpm.y,Clean_Data[[#This Row],[Year_Num]],_xlfn.IFS(_xlpm.y&lt;500,"Ancient",_xlpm.y&lt;1500,"Medieval",_xlpm.y&lt;1800,"Early Modern",_xlpm.y&lt;1946,"Modern",TRUE,"Contemporary"))</f>
        <v>Contemporary</v>
      </c>
      <c r="P948" s="5" t="str">
        <f>_xlfn.XLOOKUP(Clean_Data[[#This Row],[Country]],country_region[Country],country_region[Country_Standard],"Not found")</f>
        <v>Nigeria</v>
      </c>
      <c r="Q948" s="5" t="str">
        <f>_xlfn.XLOOKUP(Clean_Data[[#This Row],[Country]],country_region[Country],country_region[Region],"Not found")</f>
        <v>Sub-Saharan Africa</v>
      </c>
      <c r="R948" s="5" t="str">
        <f>_xlfn.XLOOKUP(Clean_Data[[#This Row],[Type of Event]],event_type_category[Type of Event],event_type_category[Category],"Not found")</f>
        <v>Independence &amp; Nation-Building</v>
      </c>
    </row>
    <row r="949" spans="1:18">
      <c r="A949">
        <v>1011</v>
      </c>
      <c r="B949" t="s">
        <v>4285</v>
      </c>
      <c r="C949" t="s">
        <v>46</v>
      </c>
      <c r="D949" t="s">
        <v>57</v>
      </c>
      <c r="E949" t="s">
        <v>123</v>
      </c>
      <c r="F949" t="s">
        <v>4286</v>
      </c>
      <c r="G949" t="s">
        <v>2588</v>
      </c>
      <c r="H949" t="s">
        <v>4287</v>
      </c>
      <c r="I949" t="s">
        <v>4288</v>
      </c>
      <c r="J949" t="s">
        <v>4289</v>
      </c>
      <c r="K949" t="s">
        <v>4290</v>
      </c>
      <c r="L949" t="s">
        <v>21</v>
      </c>
      <c r="M949">
        <v>1960</v>
      </c>
      <c r="N949" s="5">
        <f>ROUNDUP(Clean_Data[[#This Row],[Year_Num]]/100,0)</f>
        <v>20</v>
      </c>
      <c r="O949" s="5" t="str" cm="1">
        <f t="array" ref="O949">_xlfn.LET(_xlpm.y,Clean_Data[[#This Row],[Year_Num]],_xlfn.IFS(_xlpm.y&lt;500,"Ancient",_xlpm.y&lt;1500,"Medieval",_xlpm.y&lt;1800,"Early Modern",_xlpm.y&lt;1946,"Modern",TRUE,"Contemporary"))</f>
        <v>Contemporary</v>
      </c>
      <c r="P949" s="5" t="str">
        <f>_xlfn.XLOOKUP(Clean_Data[[#This Row],[Country]],country_region[Country],country_region[Country_Standard],"Not found")</f>
        <v>Benin</v>
      </c>
      <c r="Q949" s="5" t="str">
        <f>_xlfn.XLOOKUP(Clean_Data[[#This Row],[Country]],country_region[Country],country_region[Region],"Not found")</f>
        <v>Sub-Saharan Africa</v>
      </c>
      <c r="R949" s="5" t="str">
        <f>_xlfn.XLOOKUP(Clean_Data[[#This Row],[Type of Event]],event_type_category[Type of Event],event_type_category[Category],"Not found")</f>
        <v>Independence &amp; Nation-Building</v>
      </c>
    </row>
    <row r="950" spans="1:18">
      <c r="A950">
        <v>1012</v>
      </c>
      <c r="B950" t="s">
        <v>4291</v>
      </c>
      <c r="C950" t="s">
        <v>195</v>
      </c>
      <c r="D950" t="s">
        <v>66</v>
      </c>
      <c r="E950" t="s">
        <v>623</v>
      </c>
      <c r="F950" t="s">
        <v>4123</v>
      </c>
      <c r="G950" t="s">
        <v>2646</v>
      </c>
      <c r="H950" t="s">
        <v>4123</v>
      </c>
      <c r="I950" t="s">
        <v>4292</v>
      </c>
      <c r="J950" t="s">
        <v>4125</v>
      </c>
      <c r="K950" t="s">
        <v>4293</v>
      </c>
      <c r="L950" t="s">
        <v>21</v>
      </c>
      <c r="M950">
        <v>2010</v>
      </c>
      <c r="N950" s="5">
        <f>ROUNDUP(Clean_Data[[#This Row],[Year_Num]]/100,0)</f>
        <v>21</v>
      </c>
      <c r="O950" s="5" t="str" cm="1">
        <f t="array" ref="O950">_xlfn.LET(_xlpm.y,Clean_Data[[#This Row],[Year_Num]],_xlfn.IFS(_xlpm.y&lt;500,"Ancient",_xlpm.y&lt;1500,"Medieval",_xlpm.y&lt;1800,"Early Modern",_xlpm.y&lt;1946,"Modern",TRUE,"Contemporary"))</f>
        <v>Contemporary</v>
      </c>
      <c r="P950" s="5" t="str">
        <f>_xlfn.XLOOKUP(Clean_Data[[#This Row],[Country]],country_region[Country],country_region[Country_Standard],"Not found")</f>
        <v>Tunisia</v>
      </c>
      <c r="Q950" s="5" t="str">
        <f>_xlfn.XLOOKUP(Clean_Data[[#This Row],[Country]],country_region[Country],country_region[Region],"Not found")</f>
        <v>Middle East &amp; North Africa</v>
      </c>
      <c r="R950" s="5" t="str">
        <f>_xlfn.XLOOKUP(Clean_Data[[#This Row],[Type of Event]],event_type_category[Type of Event],event_type_category[Category],"Not found")</f>
        <v>Politics &amp; Law</v>
      </c>
    </row>
    <row r="951" spans="1:18">
      <c r="A951">
        <v>1013</v>
      </c>
      <c r="B951" t="s">
        <v>4294</v>
      </c>
      <c r="C951" t="s">
        <v>321</v>
      </c>
      <c r="D951" t="s">
        <v>57</v>
      </c>
      <c r="E951" t="s">
        <v>1767</v>
      </c>
      <c r="F951" t="s">
        <v>4295</v>
      </c>
      <c r="G951" t="s">
        <v>313</v>
      </c>
      <c r="H951" t="s">
        <v>4295</v>
      </c>
      <c r="I951" t="s">
        <v>4296</v>
      </c>
      <c r="J951" t="s">
        <v>4297</v>
      </c>
      <c r="K951" t="s">
        <v>4298</v>
      </c>
      <c r="L951" t="s">
        <v>21</v>
      </c>
      <c r="M951">
        <v>1981</v>
      </c>
      <c r="N951" s="5">
        <f>ROUNDUP(Clean_Data[[#This Row],[Year_Num]]/100,0)</f>
        <v>20</v>
      </c>
      <c r="O951" s="5" t="str" cm="1">
        <f t="array" ref="O951">_xlfn.LET(_xlpm.y,Clean_Data[[#This Row],[Year_Num]],_xlfn.IFS(_xlpm.y&lt;500,"Ancient",_xlpm.y&lt;1500,"Medieval",_xlpm.y&lt;1800,"Early Modern",_xlpm.y&lt;1946,"Modern",TRUE,"Contemporary"))</f>
        <v>Contemporary</v>
      </c>
      <c r="P951" s="5" t="str">
        <f>_xlfn.XLOOKUP(Clean_Data[[#This Row],[Country]],country_region[Country],country_region[Country_Standard],"Not found")</f>
        <v>Mauritania</v>
      </c>
      <c r="Q951" s="5" t="str">
        <f>_xlfn.XLOOKUP(Clean_Data[[#This Row],[Country]],country_region[Country],country_region[Region],"Not found")</f>
        <v>Sub-Saharan Africa</v>
      </c>
      <c r="R951" s="5" t="str">
        <f>_xlfn.XLOOKUP(Clean_Data[[#This Row],[Type of Event]],event_type_category[Type of Event],event_type_category[Category],"Not found")</f>
        <v>Politics &amp; Law</v>
      </c>
    </row>
    <row r="952" spans="1:18">
      <c r="A952">
        <v>1014</v>
      </c>
      <c r="B952" t="s">
        <v>4122</v>
      </c>
      <c r="C952" t="s">
        <v>1129</v>
      </c>
      <c r="D952" t="s">
        <v>57</v>
      </c>
      <c r="E952" t="s">
        <v>123</v>
      </c>
      <c r="F952" t="s">
        <v>4299</v>
      </c>
      <c r="G952" t="s">
        <v>2588</v>
      </c>
      <c r="H952" t="s">
        <v>4299</v>
      </c>
      <c r="I952" t="s">
        <v>4124</v>
      </c>
      <c r="J952" t="s">
        <v>4300</v>
      </c>
      <c r="K952" t="s">
        <v>4301</v>
      </c>
      <c r="L952" t="s">
        <v>21</v>
      </c>
      <c r="M952">
        <v>1960</v>
      </c>
      <c r="N952" s="5">
        <f>ROUNDUP(Clean_Data[[#This Row],[Year_Num]]/100,0)</f>
        <v>20</v>
      </c>
      <c r="O952" s="5" t="str" cm="1">
        <f t="array" ref="O952">_xlfn.LET(_xlpm.y,Clean_Data[[#This Row],[Year_Num]],_xlfn.IFS(_xlpm.y&lt;500,"Ancient",_xlpm.y&lt;1500,"Medieval",_xlpm.y&lt;1800,"Early Modern",_xlpm.y&lt;1946,"Modern",TRUE,"Contemporary"))</f>
        <v>Contemporary</v>
      </c>
      <c r="P952" s="5" t="str">
        <f>_xlfn.XLOOKUP(Clean_Data[[#This Row],[Country]],country_region[Country],country_region[Country_Standard],"Not found")</f>
        <v>Gabon</v>
      </c>
      <c r="Q952" s="5" t="str">
        <f>_xlfn.XLOOKUP(Clean_Data[[#This Row],[Country]],country_region[Country],country_region[Region],"Not found")</f>
        <v>Sub-Saharan Africa</v>
      </c>
      <c r="R952" s="5" t="str">
        <f>_xlfn.XLOOKUP(Clean_Data[[#This Row],[Type of Event]],event_type_category[Type of Event],event_type_category[Category],"Not found")</f>
        <v>Independence &amp; Nation-Building</v>
      </c>
    </row>
    <row r="953" spans="1:18">
      <c r="A953">
        <v>1015</v>
      </c>
      <c r="B953" t="s">
        <v>4167</v>
      </c>
      <c r="C953" t="s">
        <v>230</v>
      </c>
      <c r="D953" t="s">
        <v>158</v>
      </c>
      <c r="E953" t="s">
        <v>818</v>
      </c>
      <c r="F953" t="s">
        <v>4302</v>
      </c>
      <c r="G953" t="s">
        <v>2588</v>
      </c>
      <c r="H953" t="s">
        <v>4302</v>
      </c>
      <c r="I953" t="s">
        <v>4303</v>
      </c>
      <c r="J953" t="s">
        <v>4304</v>
      </c>
      <c r="K953" t="s">
        <v>4305</v>
      </c>
      <c r="L953" t="s">
        <v>21</v>
      </c>
      <c r="M953">
        <v>1966</v>
      </c>
      <c r="N953" s="5">
        <f>ROUNDUP(Clean_Data[[#This Row],[Year_Num]]/100,0)</f>
        <v>20</v>
      </c>
      <c r="O953" s="5" t="str" cm="1">
        <f t="array" ref="O953">_xlfn.LET(_xlpm.y,Clean_Data[[#This Row],[Year_Num]],_xlfn.IFS(_xlpm.y&lt;500,"Ancient",_xlpm.y&lt;1500,"Medieval",_xlpm.y&lt;1800,"Early Modern",_xlpm.y&lt;1946,"Modern",TRUE,"Contemporary"))</f>
        <v>Contemporary</v>
      </c>
      <c r="P953" s="5" t="str">
        <f>_xlfn.XLOOKUP(Clean_Data[[#This Row],[Country]],country_region[Country],country_region[Country_Standard],"Not found")</f>
        <v>Lesotho</v>
      </c>
      <c r="Q953" s="5" t="str">
        <f>_xlfn.XLOOKUP(Clean_Data[[#This Row],[Country]],country_region[Country],country_region[Region],"Not found")</f>
        <v>Sub-Saharan Africa</v>
      </c>
      <c r="R953" s="5" t="str">
        <f>_xlfn.XLOOKUP(Clean_Data[[#This Row],[Type of Event]],event_type_category[Type of Event],event_type_category[Category],"Not found")</f>
        <v>Independence &amp; Nation-Building</v>
      </c>
    </row>
    <row r="954" spans="1:18">
      <c r="A954">
        <v>1016</v>
      </c>
      <c r="B954" t="s">
        <v>4167</v>
      </c>
      <c r="C954" t="s">
        <v>195</v>
      </c>
      <c r="D954" t="s">
        <v>173</v>
      </c>
      <c r="E954" t="s">
        <v>2326</v>
      </c>
      <c r="F954" t="s">
        <v>4306</v>
      </c>
      <c r="G954" t="s">
        <v>2588</v>
      </c>
      <c r="H954" t="s">
        <v>4306</v>
      </c>
      <c r="I954" t="s">
        <v>4307</v>
      </c>
      <c r="J954" t="s">
        <v>4308</v>
      </c>
      <c r="K954" t="s">
        <v>4309</v>
      </c>
      <c r="L954" t="s">
        <v>21</v>
      </c>
      <c r="M954">
        <v>1965</v>
      </c>
      <c r="N954" s="5">
        <f>ROUNDUP(Clean_Data[[#This Row],[Year_Num]]/100,0)</f>
        <v>20</v>
      </c>
      <c r="O954" s="5" t="str" cm="1">
        <f t="array" ref="O954">_xlfn.LET(_xlpm.y,Clean_Data[[#This Row],[Year_Num]],_xlfn.IFS(_xlpm.y&lt;500,"Ancient",_xlpm.y&lt;1500,"Medieval",_xlpm.y&lt;1800,"Early Modern",_xlpm.y&lt;1946,"Modern",TRUE,"Contemporary"))</f>
        <v>Contemporary</v>
      </c>
      <c r="P954" s="5" t="str">
        <f>_xlfn.XLOOKUP(Clean_Data[[#This Row],[Country]],country_region[Country],country_region[Country_Standard],"Not found")</f>
        <v>Gambia</v>
      </c>
      <c r="Q954" s="5" t="str">
        <f>_xlfn.XLOOKUP(Clean_Data[[#This Row],[Country]],country_region[Country],country_region[Region],"Not found")</f>
        <v>Sub-Saharan Africa</v>
      </c>
      <c r="R954" s="5" t="str">
        <f>_xlfn.XLOOKUP(Clean_Data[[#This Row],[Type of Event]],event_type_category[Type of Event],event_type_category[Category],"Not found")</f>
        <v>Independence &amp; Nation-Building</v>
      </c>
    </row>
    <row r="955" spans="1:18">
      <c r="A955">
        <v>1017</v>
      </c>
      <c r="B955" t="s">
        <v>4122</v>
      </c>
      <c r="C955" t="s">
        <v>522</v>
      </c>
      <c r="D955" t="s">
        <v>100</v>
      </c>
      <c r="E955" t="s">
        <v>691</v>
      </c>
      <c r="F955" t="s">
        <v>4310</v>
      </c>
      <c r="G955" t="s">
        <v>2588</v>
      </c>
      <c r="H955" t="s">
        <v>4310</v>
      </c>
      <c r="I955" t="s">
        <v>4311</v>
      </c>
      <c r="J955" t="s">
        <v>4312</v>
      </c>
      <c r="K955" t="s">
        <v>4313</v>
      </c>
      <c r="L955" t="s">
        <v>21</v>
      </c>
      <c r="M955">
        <v>1977</v>
      </c>
      <c r="N955" s="5">
        <f>ROUNDUP(Clean_Data[[#This Row],[Year_Num]]/100,0)</f>
        <v>20</v>
      </c>
      <c r="O955" s="5" t="str" cm="1">
        <f t="array" ref="O955">_xlfn.LET(_xlpm.y,Clean_Data[[#This Row],[Year_Num]],_xlfn.IFS(_xlpm.y&lt;500,"Ancient",_xlpm.y&lt;1500,"Medieval",_xlpm.y&lt;1800,"Early Modern",_xlpm.y&lt;1946,"Modern",TRUE,"Contemporary"))</f>
        <v>Contemporary</v>
      </c>
      <c r="P955" s="5" t="str">
        <f>_xlfn.XLOOKUP(Clean_Data[[#This Row],[Country]],country_region[Country],country_region[Country_Standard],"Not found")</f>
        <v>Djibouti</v>
      </c>
      <c r="Q955" s="5" t="str">
        <f>_xlfn.XLOOKUP(Clean_Data[[#This Row],[Country]],country_region[Country],country_region[Region],"Not found")</f>
        <v>Sub-Saharan Africa</v>
      </c>
      <c r="R955" s="5" t="str">
        <f>_xlfn.XLOOKUP(Clean_Data[[#This Row],[Type of Event]],event_type_category[Type of Event],event_type_category[Category],"Not found")</f>
        <v>Independence &amp; Nation-Building</v>
      </c>
    </row>
    <row r="956" spans="1:18">
      <c r="A956">
        <v>1018</v>
      </c>
      <c r="B956" t="s">
        <v>4314</v>
      </c>
      <c r="C956" t="s">
        <v>353</v>
      </c>
      <c r="D956" t="s">
        <v>158</v>
      </c>
      <c r="E956" t="s">
        <v>1164</v>
      </c>
      <c r="F956" t="s">
        <v>4315</v>
      </c>
      <c r="G956" t="s">
        <v>2588</v>
      </c>
      <c r="H956" t="s">
        <v>4315</v>
      </c>
      <c r="I956" t="s">
        <v>4316</v>
      </c>
      <c r="J956" t="s">
        <v>4317</v>
      </c>
      <c r="K956" t="s">
        <v>4318</v>
      </c>
      <c r="L956" t="s">
        <v>21</v>
      </c>
      <c r="M956">
        <v>1968</v>
      </c>
      <c r="N956" s="5">
        <f>ROUNDUP(Clean_Data[[#This Row],[Year_Num]]/100,0)</f>
        <v>20</v>
      </c>
      <c r="O956" s="5" t="str" cm="1">
        <f t="array" ref="O956">_xlfn.LET(_xlpm.y,Clean_Data[[#This Row],[Year_Num]],_xlfn.IFS(_xlpm.y&lt;500,"Ancient",_xlpm.y&lt;1500,"Medieval",_xlpm.y&lt;1800,"Early Modern",_xlpm.y&lt;1946,"Modern",TRUE,"Contemporary"))</f>
        <v>Contemporary</v>
      </c>
      <c r="P956" s="5" t="str">
        <f>_xlfn.XLOOKUP(Clean_Data[[#This Row],[Country]],country_region[Country],country_region[Country_Standard],"Not found")</f>
        <v>Equatorial Guinea</v>
      </c>
      <c r="Q956" s="5" t="str">
        <f>_xlfn.XLOOKUP(Clean_Data[[#This Row],[Country]],country_region[Country],country_region[Region],"Not found")</f>
        <v>Sub-Saharan Africa</v>
      </c>
      <c r="R956" s="5" t="str">
        <f>_xlfn.XLOOKUP(Clean_Data[[#This Row],[Type of Event]],event_type_category[Type of Event],event_type_category[Category],"Not found")</f>
        <v>Independence &amp; Nation-Building</v>
      </c>
    </row>
    <row r="957" spans="1:18">
      <c r="A957">
        <v>1019</v>
      </c>
      <c r="B957" t="s">
        <v>4167</v>
      </c>
      <c r="C957" t="s">
        <v>633</v>
      </c>
      <c r="D957" t="s">
        <v>100</v>
      </c>
      <c r="E957" t="s">
        <v>1609</v>
      </c>
      <c r="F957" t="s">
        <v>4319</v>
      </c>
      <c r="G957" t="s">
        <v>2588</v>
      </c>
      <c r="H957" t="s">
        <v>4319</v>
      </c>
      <c r="I957" t="s">
        <v>4320</v>
      </c>
      <c r="J957" t="s">
        <v>4321</v>
      </c>
      <c r="K957" t="s">
        <v>5071</v>
      </c>
      <c r="L957" t="s">
        <v>21</v>
      </c>
      <c r="M957">
        <v>1976</v>
      </c>
      <c r="N957" s="5">
        <f>ROUNDUP(Clean_Data[[#This Row],[Year_Num]]/100,0)</f>
        <v>20</v>
      </c>
      <c r="O957" s="5" t="str" cm="1">
        <f t="array" ref="O957">_xlfn.LET(_xlpm.y,Clean_Data[[#This Row],[Year_Num]],_xlfn.IFS(_xlpm.y&lt;500,"Ancient",_xlpm.y&lt;1500,"Medieval",_xlpm.y&lt;1800,"Early Modern",_xlpm.y&lt;1946,"Modern",TRUE,"Contemporary"))</f>
        <v>Contemporary</v>
      </c>
      <c r="P957" s="5" t="str">
        <f>_xlfn.XLOOKUP(Clean_Data[[#This Row],[Country]],country_region[Country],country_region[Country_Standard],"Not found")</f>
        <v>Seychelles</v>
      </c>
      <c r="Q957" s="5" t="str">
        <f>_xlfn.XLOOKUP(Clean_Data[[#This Row],[Country]],country_region[Country],country_region[Region],"Not found")</f>
        <v>Sub-Saharan Africa</v>
      </c>
      <c r="R957" s="5" t="str">
        <f>_xlfn.XLOOKUP(Clean_Data[[#This Row],[Type of Event]],event_type_category[Type of Event],event_type_category[Category],"Not found")</f>
        <v>Independence &amp; Nation-Building</v>
      </c>
    </row>
    <row r="958" spans="1:18">
      <c r="A958">
        <v>1020</v>
      </c>
      <c r="B958" t="s">
        <v>4323</v>
      </c>
      <c r="C958" t="s">
        <v>46</v>
      </c>
      <c r="D958" t="s">
        <v>211</v>
      </c>
      <c r="E958" t="s">
        <v>123</v>
      </c>
      <c r="F958" t="s">
        <v>4163</v>
      </c>
      <c r="G958" t="s">
        <v>4324</v>
      </c>
      <c r="H958" t="s">
        <v>4163</v>
      </c>
      <c r="I958" t="s">
        <v>4325</v>
      </c>
      <c r="J958" t="s">
        <v>4165</v>
      </c>
      <c r="K958" t="s">
        <v>4326</v>
      </c>
      <c r="L958" t="s">
        <v>21</v>
      </c>
      <c r="M958">
        <v>1960</v>
      </c>
      <c r="N958" s="5">
        <f>ROUNDUP(Clean_Data[[#This Row],[Year_Num]]/100,0)</f>
        <v>20</v>
      </c>
      <c r="O958" s="5" t="str" cm="1">
        <f t="array" ref="O958">_xlfn.LET(_xlpm.y,Clean_Data[[#This Row],[Year_Num]],_xlfn.IFS(_xlpm.y&lt;500,"Ancient",_xlpm.y&lt;1500,"Medieval",_xlpm.y&lt;1800,"Early Modern",_xlpm.y&lt;1946,"Modern",TRUE,"Contemporary"))</f>
        <v>Contemporary</v>
      </c>
      <c r="P958" s="5" t="str">
        <f>_xlfn.XLOOKUP(Clean_Data[[#This Row],[Country]],country_region[Country],country_region[Country_Standard],"Not found")</f>
        <v>Somalia</v>
      </c>
      <c r="Q958" s="5" t="str">
        <f>_xlfn.XLOOKUP(Clean_Data[[#This Row],[Country]],country_region[Country],country_region[Region],"Not found")</f>
        <v>Sub-Saharan Africa</v>
      </c>
      <c r="R958" s="5" t="str">
        <f>_xlfn.XLOOKUP(Clean_Data[[#This Row],[Type of Event]],event_type_category[Type of Event],event_type_category[Category],"Not found")</f>
        <v>Independence &amp; Nation-Building</v>
      </c>
    </row>
    <row r="959" spans="1:18">
      <c r="A959">
        <v>1021</v>
      </c>
      <c r="B959" t="s">
        <v>4221</v>
      </c>
      <c r="C959" t="s">
        <v>165</v>
      </c>
      <c r="D959" t="s">
        <v>211</v>
      </c>
      <c r="E959" t="s">
        <v>201</v>
      </c>
      <c r="F959" t="s">
        <v>4327</v>
      </c>
      <c r="G959" t="s">
        <v>2588</v>
      </c>
      <c r="H959" t="s">
        <v>4327</v>
      </c>
      <c r="I959" t="s">
        <v>4328</v>
      </c>
      <c r="J959" t="s">
        <v>4329</v>
      </c>
      <c r="K959" t="s">
        <v>4330</v>
      </c>
      <c r="L959" t="s">
        <v>21</v>
      </c>
      <c r="M959">
        <v>1975</v>
      </c>
      <c r="N959" s="5">
        <f>ROUNDUP(Clean_Data[[#This Row],[Year_Num]]/100,0)</f>
        <v>20</v>
      </c>
      <c r="O959" s="5" t="str" cm="1">
        <f t="array" ref="O959">_xlfn.LET(_xlpm.y,Clean_Data[[#This Row],[Year_Num]],_xlfn.IFS(_xlpm.y&lt;500,"Ancient",_xlpm.y&lt;1500,"Medieval",_xlpm.y&lt;1800,"Early Modern",_xlpm.y&lt;1946,"Modern",TRUE,"Contemporary"))</f>
        <v>Contemporary</v>
      </c>
      <c r="P959" s="5" t="str">
        <f>_xlfn.XLOOKUP(Clean_Data[[#This Row],[Country]],country_region[Country],country_region[Country_Standard],"Not found")</f>
        <v>Cape Verde</v>
      </c>
      <c r="Q959" s="5" t="str">
        <f>_xlfn.XLOOKUP(Clean_Data[[#This Row],[Country]],country_region[Country],country_region[Region],"Not found")</f>
        <v>Sub-Saharan Africa</v>
      </c>
      <c r="R959" s="5" t="str">
        <f>_xlfn.XLOOKUP(Clean_Data[[#This Row],[Type of Event]],event_type_category[Type of Event],event_type_category[Category],"Not found")</f>
        <v>Independence &amp; Nation-Building</v>
      </c>
    </row>
    <row r="960" spans="1:18">
      <c r="A960">
        <v>1022</v>
      </c>
      <c r="B960" t="s">
        <v>4221</v>
      </c>
      <c r="C960" t="s">
        <v>218</v>
      </c>
      <c r="D960" t="s">
        <v>286</v>
      </c>
      <c r="E960" t="s">
        <v>1396</v>
      </c>
      <c r="F960" t="s">
        <v>5072</v>
      </c>
      <c r="G960" t="s">
        <v>2588</v>
      </c>
      <c r="H960" t="s">
        <v>5072</v>
      </c>
      <c r="I960" t="s">
        <v>4332</v>
      </c>
      <c r="J960" t="s">
        <v>5073</v>
      </c>
      <c r="K960" t="s">
        <v>4330</v>
      </c>
      <c r="L960" t="s">
        <v>21</v>
      </c>
      <c r="M960">
        <v>1973</v>
      </c>
      <c r="N960" s="5">
        <f>ROUNDUP(Clean_Data[[#This Row],[Year_Num]]/100,0)</f>
        <v>20</v>
      </c>
      <c r="O960" s="5" t="str" cm="1">
        <f t="array" ref="O960">_xlfn.LET(_xlpm.y,Clean_Data[[#This Row],[Year_Num]],_xlfn.IFS(_xlpm.y&lt;500,"Ancient",_xlpm.y&lt;1500,"Medieval",_xlpm.y&lt;1800,"Early Modern",_xlpm.y&lt;1946,"Modern",TRUE,"Contemporary"))</f>
        <v>Contemporary</v>
      </c>
      <c r="P960" s="5" t="str">
        <f>_xlfn.XLOOKUP(Clean_Data[[#This Row],[Country]],country_region[Country],country_region[Country_Standard],"Not found")</f>
        <v>Guinea-Bissau</v>
      </c>
      <c r="Q960" s="5" t="str">
        <f>_xlfn.XLOOKUP(Clean_Data[[#This Row],[Country]],country_region[Country],country_region[Region],"Not found")</f>
        <v>Sub-Saharan Africa</v>
      </c>
      <c r="R960" s="5" t="str">
        <f>_xlfn.XLOOKUP(Clean_Data[[#This Row],[Type of Event]],event_type_category[Type of Event],event_type_category[Category],"Not found")</f>
        <v>Independence &amp; Nation-Building</v>
      </c>
    </row>
    <row r="961" spans="1:18">
      <c r="A961">
        <v>1023</v>
      </c>
      <c r="B961" t="s">
        <v>4122</v>
      </c>
      <c r="C961" t="s">
        <v>321</v>
      </c>
      <c r="D961" t="s">
        <v>211</v>
      </c>
      <c r="E961" t="s">
        <v>201</v>
      </c>
      <c r="F961" t="s">
        <v>4334</v>
      </c>
      <c r="G961" t="s">
        <v>2588</v>
      </c>
      <c r="H961" t="s">
        <v>4334</v>
      </c>
      <c r="I961" t="s">
        <v>4335</v>
      </c>
      <c r="J961" t="s">
        <v>4336</v>
      </c>
      <c r="K961" t="s">
        <v>4337</v>
      </c>
      <c r="L961" t="s">
        <v>21</v>
      </c>
      <c r="M961">
        <v>1975</v>
      </c>
      <c r="N961" s="5">
        <f>ROUNDUP(Clean_Data[[#This Row],[Year_Num]]/100,0)</f>
        <v>20</v>
      </c>
      <c r="O961" s="5" t="str" cm="1">
        <f t="array" ref="O961">_xlfn.LET(_xlpm.y,Clean_Data[[#This Row],[Year_Num]],_xlfn.IFS(_xlpm.y&lt;500,"Ancient",_xlpm.y&lt;1500,"Medieval",_xlpm.y&lt;1800,"Early Modern",_xlpm.y&lt;1946,"Modern",TRUE,"Contemporary"))</f>
        <v>Contemporary</v>
      </c>
      <c r="P961" s="5" t="str">
        <f>_xlfn.XLOOKUP(Clean_Data[[#This Row],[Country]],country_region[Country],country_region[Country_Standard],"Not found")</f>
        <v>Comoros</v>
      </c>
      <c r="Q961" s="5" t="str">
        <f>_xlfn.XLOOKUP(Clean_Data[[#This Row],[Country]],country_region[Country],country_region[Region],"Not found")</f>
        <v>Sub-Saharan Africa</v>
      </c>
      <c r="R961" s="5" t="str">
        <f>_xlfn.XLOOKUP(Clean_Data[[#This Row],[Type of Event]],event_type_category[Type of Event],event_type_category[Category],"Not found")</f>
        <v>Independence &amp; Nation-Building</v>
      </c>
    </row>
    <row r="962" spans="1:18">
      <c r="A962">
        <v>1024</v>
      </c>
      <c r="B962" t="s">
        <v>4221</v>
      </c>
      <c r="C962" t="s">
        <v>74</v>
      </c>
      <c r="D962" t="s">
        <v>83</v>
      </c>
      <c r="E962" t="s">
        <v>201</v>
      </c>
      <c r="F962" t="s">
        <v>4142</v>
      </c>
      <c r="G962" t="s">
        <v>2588</v>
      </c>
      <c r="H962" t="s">
        <v>4142</v>
      </c>
      <c r="I962" t="s">
        <v>4338</v>
      </c>
      <c r="J962" t="s">
        <v>4144</v>
      </c>
      <c r="K962" t="s">
        <v>4339</v>
      </c>
      <c r="L962" t="s">
        <v>21</v>
      </c>
      <c r="M962">
        <v>1975</v>
      </c>
      <c r="N962" s="5">
        <f>ROUNDUP(Clean_Data[[#This Row],[Year_Num]]/100,0)</f>
        <v>20</v>
      </c>
      <c r="O962" s="5" t="str" cm="1">
        <f t="array" ref="O962">_xlfn.LET(_xlpm.y,Clean_Data[[#This Row],[Year_Num]],_xlfn.IFS(_xlpm.y&lt;500,"Ancient",_xlpm.y&lt;1500,"Medieval",_xlpm.y&lt;1800,"Early Modern",_xlpm.y&lt;1946,"Modern",TRUE,"Contemporary"))</f>
        <v>Contemporary</v>
      </c>
      <c r="P962" s="5" t="str">
        <f>_xlfn.XLOOKUP(Clean_Data[[#This Row],[Country]],country_region[Country],country_region[Country_Standard],"Not found")</f>
        <v>Angola</v>
      </c>
      <c r="Q962" s="5" t="str">
        <f>_xlfn.XLOOKUP(Clean_Data[[#This Row],[Country]],country_region[Country],country_region[Region],"Not found")</f>
        <v>Sub-Saharan Africa</v>
      </c>
      <c r="R962" s="5" t="str">
        <f>_xlfn.XLOOKUP(Clean_Data[[#This Row],[Type of Event]],event_type_category[Type of Event],event_type_category[Category],"Not found")</f>
        <v>Independence &amp; Nation-Building</v>
      </c>
    </row>
    <row r="963" spans="1:18">
      <c r="A963">
        <v>1025</v>
      </c>
      <c r="B963" t="s">
        <v>4122</v>
      </c>
      <c r="C963" t="s">
        <v>224</v>
      </c>
      <c r="D963" t="s">
        <v>57</v>
      </c>
      <c r="E963" t="s">
        <v>123</v>
      </c>
      <c r="F963" t="s">
        <v>4340</v>
      </c>
      <c r="G963" t="s">
        <v>2588</v>
      </c>
      <c r="H963" t="s">
        <v>4340</v>
      </c>
      <c r="I963" t="s">
        <v>4341</v>
      </c>
      <c r="J963" t="s">
        <v>4342</v>
      </c>
      <c r="K963" t="s">
        <v>4343</v>
      </c>
      <c r="L963" t="s">
        <v>21</v>
      </c>
      <c r="M963">
        <v>1960</v>
      </c>
      <c r="N963" s="5">
        <f>ROUNDUP(Clean_Data[[#This Row],[Year_Num]]/100,0)</f>
        <v>20</v>
      </c>
      <c r="O963" s="5" t="str" cm="1">
        <f t="array" ref="O963">_xlfn.LET(_xlpm.y,Clean_Data[[#This Row],[Year_Num]],_xlfn.IFS(_xlpm.y&lt;500,"Ancient",_xlpm.y&lt;1500,"Medieval",_xlpm.y&lt;1800,"Early Modern",_xlpm.y&lt;1946,"Modern",TRUE,"Contemporary"))</f>
        <v>Contemporary</v>
      </c>
      <c r="P963" s="5" t="str">
        <f>_xlfn.XLOOKUP(Clean_Data[[#This Row],[Country]],country_region[Country],country_region[Country_Standard],"Not found")</f>
        <v>Central African Republic</v>
      </c>
      <c r="Q963" s="5" t="str">
        <f>_xlfn.XLOOKUP(Clean_Data[[#This Row],[Country]],country_region[Country],country_region[Region],"Not found")</f>
        <v>Sub-Saharan Africa</v>
      </c>
      <c r="R963" s="5" t="str">
        <f>_xlfn.XLOOKUP(Clean_Data[[#This Row],[Type of Event]],event_type_category[Type of Event],event_type_category[Category],"Not found")</f>
        <v>Independence &amp; Nation-Building</v>
      </c>
    </row>
    <row r="964" spans="1:18">
      <c r="A964">
        <v>1026</v>
      </c>
      <c r="B964" t="s">
        <v>4122</v>
      </c>
      <c r="C964" t="s">
        <v>74</v>
      </c>
      <c r="D964" t="s">
        <v>57</v>
      </c>
      <c r="E964" t="s">
        <v>123</v>
      </c>
      <c r="F964" t="s">
        <v>4344</v>
      </c>
      <c r="G964" t="s">
        <v>2588</v>
      </c>
      <c r="H964" t="s">
        <v>4344</v>
      </c>
      <c r="I964" t="s">
        <v>4345</v>
      </c>
      <c r="J964" t="s">
        <v>4346</v>
      </c>
      <c r="K964" t="s">
        <v>4347</v>
      </c>
      <c r="L964" t="s">
        <v>21</v>
      </c>
      <c r="M964">
        <v>1960</v>
      </c>
      <c r="N964" s="5">
        <f>ROUNDUP(Clean_Data[[#This Row],[Year_Num]]/100,0)</f>
        <v>20</v>
      </c>
      <c r="O964" s="5" t="str" cm="1">
        <f t="array" ref="O964">_xlfn.LET(_xlpm.y,Clean_Data[[#This Row],[Year_Num]],_xlfn.IFS(_xlpm.y&lt;500,"Ancient",_xlpm.y&lt;1500,"Medieval",_xlpm.y&lt;1800,"Early Modern",_xlpm.y&lt;1946,"Modern",TRUE,"Contemporary"))</f>
        <v>Contemporary</v>
      </c>
      <c r="P964" s="5" t="str">
        <f>_xlfn.XLOOKUP(Clean_Data[[#This Row],[Country]],country_region[Country],country_region[Country_Standard],"Not found")</f>
        <v>Chad</v>
      </c>
      <c r="Q964" s="5" t="str">
        <f>_xlfn.XLOOKUP(Clean_Data[[#This Row],[Country]],country_region[Country],country_region[Region],"Not found")</f>
        <v>Sub-Saharan Africa</v>
      </c>
      <c r="R964" s="5" t="str">
        <f>_xlfn.XLOOKUP(Clean_Data[[#This Row],[Type of Event]],event_type_category[Type of Event],event_type_category[Category],"Not found")</f>
        <v>Independence &amp; Nation-Building</v>
      </c>
    </row>
    <row r="965" spans="1:18">
      <c r="A965">
        <v>1027</v>
      </c>
      <c r="B965" t="s">
        <v>4167</v>
      </c>
      <c r="C965" t="s">
        <v>321</v>
      </c>
      <c r="D965" t="s">
        <v>211</v>
      </c>
      <c r="E965" t="s">
        <v>1387</v>
      </c>
      <c r="F965" t="s">
        <v>4348</v>
      </c>
      <c r="G965" t="s">
        <v>2588</v>
      </c>
      <c r="H965" t="s">
        <v>4348</v>
      </c>
      <c r="I965" t="s">
        <v>4349</v>
      </c>
      <c r="J965" t="s">
        <v>4350</v>
      </c>
      <c r="K965" t="s">
        <v>4351</v>
      </c>
      <c r="L965" t="s">
        <v>21</v>
      </c>
      <c r="M965">
        <v>1964</v>
      </c>
      <c r="N965" s="5">
        <f>ROUNDUP(Clean_Data[[#This Row],[Year_Num]]/100,0)</f>
        <v>20</v>
      </c>
      <c r="O965" s="5" t="str" cm="1">
        <f t="array" ref="O965">_xlfn.LET(_xlpm.y,Clean_Data[[#This Row],[Year_Num]],_xlfn.IFS(_xlpm.y&lt;500,"Ancient",_xlpm.y&lt;1500,"Medieval",_xlpm.y&lt;1800,"Early Modern",_xlpm.y&lt;1946,"Modern",TRUE,"Contemporary"))</f>
        <v>Contemporary</v>
      </c>
      <c r="P965" s="5" t="str">
        <f>_xlfn.XLOOKUP(Clean_Data[[#This Row],[Country]],country_region[Country],country_region[Country_Standard],"Not found")</f>
        <v>Malawi</v>
      </c>
      <c r="Q965" s="5" t="str">
        <f>_xlfn.XLOOKUP(Clean_Data[[#This Row],[Country]],country_region[Country],country_region[Region],"Not found")</f>
        <v>Sub-Saharan Africa</v>
      </c>
      <c r="R965" s="5" t="str">
        <f>_xlfn.XLOOKUP(Clean_Data[[#This Row],[Type of Event]],event_type_category[Type of Event],event_type_category[Category],"Not found")</f>
        <v>Independence &amp; Nation-Building</v>
      </c>
    </row>
    <row r="966" spans="1:18">
      <c r="A966">
        <v>1028</v>
      </c>
      <c r="B966" t="s">
        <v>4234</v>
      </c>
      <c r="C966" t="s">
        <v>46</v>
      </c>
      <c r="D966" t="s">
        <v>211</v>
      </c>
      <c r="E966" t="s">
        <v>189</v>
      </c>
      <c r="F966" t="s">
        <v>4352</v>
      </c>
      <c r="G966" t="s">
        <v>2588</v>
      </c>
      <c r="H966" t="s">
        <v>4352</v>
      </c>
      <c r="I966" t="s">
        <v>4353</v>
      </c>
      <c r="J966" t="s">
        <v>4354</v>
      </c>
      <c r="K966" t="s">
        <v>4355</v>
      </c>
      <c r="L966" t="s">
        <v>21</v>
      </c>
      <c r="M966">
        <v>1962</v>
      </c>
      <c r="N966" s="5">
        <f>ROUNDUP(Clean_Data[[#This Row],[Year_Num]]/100,0)</f>
        <v>20</v>
      </c>
      <c r="O966" s="5" t="str" cm="1">
        <f t="array" ref="O966">_xlfn.LET(_xlpm.y,Clean_Data[[#This Row],[Year_Num]],_xlfn.IFS(_xlpm.y&lt;500,"Ancient",_xlpm.y&lt;1500,"Medieval",_xlpm.y&lt;1800,"Early Modern",_xlpm.y&lt;1946,"Modern",TRUE,"Contemporary"))</f>
        <v>Contemporary</v>
      </c>
      <c r="P966" s="5" t="str">
        <f>_xlfn.XLOOKUP(Clean_Data[[#This Row],[Country]],country_region[Country],country_region[Country_Standard],"Not found")</f>
        <v>Burundi</v>
      </c>
      <c r="Q966" s="5" t="str">
        <f>_xlfn.XLOOKUP(Clean_Data[[#This Row],[Country]],country_region[Country],country_region[Region],"Not found")</f>
        <v>Sub-Saharan Africa</v>
      </c>
      <c r="R966" s="5" t="str">
        <f>_xlfn.XLOOKUP(Clean_Data[[#This Row],[Type of Event]],event_type_category[Type of Event],event_type_category[Category],"Not found")</f>
        <v>Independence &amp; Nation-Building</v>
      </c>
    </row>
    <row r="967" spans="1:18">
      <c r="A967">
        <v>1029</v>
      </c>
      <c r="B967" t="s">
        <v>4122</v>
      </c>
      <c r="C967" t="s">
        <v>56</v>
      </c>
      <c r="D967" t="s">
        <v>57</v>
      </c>
      <c r="E967" t="s">
        <v>123</v>
      </c>
      <c r="F967" t="s">
        <v>4356</v>
      </c>
      <c r="G967" t="s">
        <v>2588</v>
      </c>
      <c r="H967" t="s">
        <v>4356</v>
      </c>
      <c r="I967" t="s">
        <v>4357</v>
      </c>
      <c r="J967" t="s">
        <v>4358</v>
      </c>
      <c r="K967" t="s">
        <v>4359</v>
      </c>
      <c r="L967" t="s">
        <v>21</v>
      </c>
      <c r="M967">
        <v>1960</v>
      </c>
      <c r="N967" s="5">
        <f>ROUNDUP(Clean_Data[[#This Row],[Year_Num]]/100,0)</f>
        <v>20</v>
      </c>
      <c r="O967" s="5" t="str" cm="1">
        <f t="array" ref="O967">_xlfn.LET(_xlpm.y,Clean_Data[[#This Row],[Year_Num]],_xlfn.IFS(_xlpm.y&lt;500,"Ancient",_xlpm.y&lt;1500,"Medieval",_xlpm.y&lt;1800,"Early Modern",_xlpm.y&lt;1946,"Modern",TRUE,"Contemporary"))</f>
        <v>Contemporary</v>
      </c>
      <c r="P967" s="5" t="str">
        <f>_xlfn.XLOOKUP(Clean_Data[[#This Row],[Country]],country_region[Country],country_region[Country_Standard],"Not found")</f>
        <v>Congo (Brazzaville)</v>
      </c>
      <c r="Q967" s="5" t="str">
        <f>_xlfn.XLOOKUP(Clean_Data[[#This Row],[Country]],country_region[Country],country_region[Region],"Not found")</f>
        <v>Sub-Saharan Africa</v>
      </c>
      <c r="R967" s="5" t="str">
        <f>_xlfn.XLOOKUP(Clean_Data[[#This Row],[Type of Event]],event_type_category[Type of Event],event_type_category[Category],"Not found")</f>
        <v>Independence &amp; Nation-Building</v>
      </c>
    </row>
    <row r="968" spans="1:18">
      <c r="A968">
        <v>1030</v>
      </c>
      <c r="B968" t="s">
        <v>4122</v>
      </c>
      <c r="C968" t="s">
        <v>522</v>
      </c>
      <c r="D968" t="s">
        <v>39</v>
      </c>
      <c r="E968" t="s">
        <v>123</v>
      </c>
      <c r="F968" t="s">
        <v>4360</v>
      </c>
      <c r="G968" t="s">
        <v>2588</v>
      </c>
      <c r="H968" t="s">
        <v>4360</v>
      </c>
      <c r="I968" t="s">
        <v>4361</v>
      </c>
      <c r="J968" t="s">
        <v>4362</v>
      </c>
      <c r="K968" t="s">
        <v>4363</v>
      </c>
      <c r="L968" t="s">
        <v>21</v>
      </c>
      <c r="M968">
        <v>1960</v>
      </c>
      <c r="N968" s="5">
        <f>ROUNDUP(Clean_Data[[#This Row],[Year_Num]]/100,0)</f>
        <v>20</v>
      </c>
      <c r="O968" s="5" t="str" cm="1">
        <f t="array" ref="O968">_xlfn.LET(_xlpm.y,Clean_Data[[#This Row],[Year_Num]],_xlfn.IFS(_xlpm.y&lt;500,"Ancient",_xlpm.y&lt;1500,"Medieval",_xlpm.y&lt;1800,"Early Modern",_xlpm.y&lt;1946,"Modern",TRUE,"Contemporary"))</f>
        <v>Contemporary</v>
      </c>
      <c r="P968" s="5" t="str">
        <f>_xlfn.XLOOKUP(Clean_Data[[#This Row],[Country]],country_region[Country],country_region[Country_Standard],"Not found")</f>
        <v>Togo</v>
      </c>
      <c r="Q968" s="5" t="str">
        <f>_xlfn.XLOOKUP(Clean_Data[[#This Row],[Country]],country_region[Country],country_region[Region],"Not found")</f>
        <v>Sub-Saharan Africa</v>
      </c>
      <c r="R968" s="5" t="str">
        <f>_xlfn.XLOOKUP(Clean_Data[[#This Row],[Type of Event]],event_type_category[Type of Event],event_type_category[Category],"Not found")</f>
        <v>Independence &amp; Nation-Building</v>
      </c>
    </row>
    <row r="969" spans="1:18">
      <c r="A969">
        <v>1031</v>
      </c>
      <c r="B969" t="s">
        <v>4122</v>
      </c>
      <c r="C969" t="s">
        <v>115</v>
      </c>
      <c r="D969" t="s">
        <v>57</v>
      </c>
      <c r="E969" t="s">
        <v>123</v>
      </c>
      <c r="F969" t="s">
        <v>4364</v>
      </c>
      <c r="G969" t="s">
        <v>2588</v>
      </c>
      <c r="H969" t="s">
        <v>4365</v>
      </c>
      <c r="I969" t="s">
        <v>4366</v>
      </c>
      <c r="J969" t="s">
        <v>4186</v>
      </c>
      <c r="K969" t="s">
        <v>5066</v>
      </c>
      <c r="L969" t="s">
        <v>21</v>
      </c>
      <c r="M969">
        <v>1960</v>
      </c>
      <c r="N969" s="5">
        <f>ROUNDUP(Clean_Data[[#This Row],[Year_Num]]/100,0)</f>
        <v>20</v>
      </c>
      <c r="O969" s="5" t="str" cm="1">
        <f t="array" ref="O969">_xlfn.LET(_xlpm.y,Clean_Data[[#This Row],[Year_Num]],_xlfn.IFS(_xlpm.y&lt;500,"Ancient",_xlpm.y&lt;1500,"Medieval",_xlpm.y&lt;1800,"Early Modern",_xlpm.y&lt;1946,"Modern",TRUE,"Contemporary"))</f>
        <v>Contemporary</v>
      </c>
      <c r="P969" s="5" t="str">
        <f>_xlfn.XLOOKUP(Clean_Data[[#This Row],[Country]],country_region[Country],country_region[Country_Standard],"Not found")</f>
        <v>Côte d'Ivoire</v>
      </c>
      <c r="Q969" s="5" t="str">
        <f>_xlfn.XLOOKUP(Clean_Data[[#This Row],[Country]],country_region[Country],country_region[Region],"Not found")</f>
        <v>Sub-Saharan Africa</v>
      </c>
      <c r="R969" s="5" t="str">
        <f>_xlfn.XLOOKUP(Clean_Data[[#This Row],[Type of Event]],event_type_category[Type of Event],event_type_category[Category],"Not found")</f>
        <v>Independence &amp; Nation-Building</v>
      </c>
    </row>
    <row r="970" spans="1:18">
      <c r="A970">
        <v>1032</v>
      </c>
      <c r="B970" t="s">
        <v>4122</v>
      </c>
      <c r="C970" t="s">
        <v>65</v>
      </c>
      <c r="D970" t="s">
        <v>57</v>
      </c>
      <c r="E970" t="s">
        <v>123</v>
      </c>
      <c r="F970" t="s">
        <v>4367</v>
      </c>
      <c r="G970" t="s">
        <v>2588</v>
      </c>
      <c r="H970" t="s">
        <v>4367</v>
      </c>
      <c r="I970" t="s">
        <v>4368</v>
      </c>
      <c r="J970" t="s">
        <v>4369</v>
      </c>
      <c r="K970" t="s">
        <v>4370</v>
      </c>
      <c r="L970" t="s">
        <v>21</v>
      </c>
      <c r="M970">
        <v>1960</v>
      </c>
      <c r="N970" s="5">
        <f>ROUNDUP(Clean_Data[[#This Row],[Year_Num]]/100,0)</f>
        <v>20</v>
      </c>
      <c r="O970" s="5" t="str" cm="1">
        <f t="array" ref="O970">_xlfn.LET(_xlpm.y,Clean_Data[[#This Row],[Year_Num]],_xlfn.IFS(_xlpm.y&lt;500,"Ancient",_xlpm.y&lt;1500,"Medieval",_xlpm.y&lt;1800,"Early Modern",_xlpm.y&lt;1946,"Modern",TRUE,"Contemporary"))</f>
        <v>Contemporary</v>
      </c>
      <c r="P970" s="5" t="str">
        <f>_xlfn.XLOOKUP(Clean_Data[[#This Row],[Country]],country_region[Country],country_region[Country_Standard],"Not found")</f>
        <v>Niger</v>
      </c>
      <c r="Q970" s="5" t="str">
        <f>_xlfn.XLOOKUP(Clean_Data[[#This Row],[Country]],country_region[Country],country_region[Region],"Not found")</f>
        <v>Sub-Saharan Africa</v>
      </c>
      <c r="R970" s="5" t="str">
        <f>_xlfn.XLOOKUP(Clean_Data[[#This Row],[Type of Event]],event_type_category[Type of Event],event_type_category[Category],"Not found")</f>
        <v>Independence &amp; Nation-Building</v>
      </c>
    </row>
    <row r="971" spans="1:18">
      <c r="A971">
        <v>1033</v>
      </c>
      <c r="B971" t="s">
        <v>4167</v>
      </c>
      <c r="C971" t="s">
        <v>321</v>
      </c>
      <c r="D971" t="s">
        <v>286</v>
      </c>
      <c r="E971" t="s">
        <v>1164</v>
      </c>
      <c r="F971" t="s">
        <v>4371</v>
      </c>
      <c r="G971" t="s">
        <v>2588</v>
      </c>
      <c r="H971" t="s">
        <v>4372</v>
      </c>
      <c r="I971" t="s">
        <v>4373</v>
      </c>
      <c r="J971" t="s">
        <v>4374</v>
      </c>
      <c r="K971" t="s">
        <v>4375</v>
      </c>
      <c r="L971" t="s">
        <v>21</v>
      </c>
      <c r="M971">
        <v>1968</v>
      </c>
      <c r="N971" s="5">
        <f>ROUNDUP(Clean_Data[[#This Row],[Year_Num]]/100,0)</f>
        <v>20</v>
      </c>
      <c r="O971" s="5" t="str" cm="1">
        <f t="array" ref="O971">_xlfn.LET(_xlpm.y,Clean_Data[[#This Row],[Year_Num]],_xlfn.IFS(_xlpm.y&lt;500,"Ancient",_xlpm.y&lt;1500,"Medieval",_xlpm.y&lt;1800,"Early Modern",_xlpm.y&lt;1946,"Modern",TRUE,"Contemporary"))</f>
        <v>Contemporary</v>
      </c>
      <c r="P971" s="5" t="str">
        <f>_xlfn.XLOOKUP(Clean_Data[[#This Row],[Country]],country_region[Country],country_region[Country_Standard],"Not found")</f>
        <v>Eswatini</v>
      </c>
      <c r="Q971" s="5" t="str">
        <f>_xlfn.XLOOKUP(Clean_Data[[#This Row],[Country]],country_region[Country],country_region[Region],"Not found")</f>
        <v>Sub-Saharan Africa</v>
      </c>
      <c r="R971" s="5" t="str">
        <f>_xlfn.XLOOKUP(Clean_Data[[#This Row],[Type of Event]],event_type_category[Type of Event],event_type_category[Category],"Not found")</f>
        <v>Independence &amp; Nation-Building</v>
      </c>
    </row>
    <row r="972" spans="1:18">
      <c r="A972">
        <v>1034</v>
      </c>
      <c r="B972" t="s">
        <v>4122</v>
      </c>
      <c r="C972" t="s">
        <v>331</v>
      </c>
      <c r="D972" t="s">
        <v>158</v>
      </c>
      <c r="E972" t="s">
        <v>954</v>
      </c>
      <c r="F972" t="s">
        <v>4376</v>
      </c>
      <c r="G972" t="s">
        <v>2588</v>
      </c>
      <c r="H972" t="s">
        <v>4376</v>
      </c>
      <c r="I972" t="s">
        <v>4377</v>
      </c>
      <c r="J972" t="s">
        <v>4378</v>
      </c>
      <c r="K972" t="s">
        <v>4379</v>
      </c>
      <c r="L972" t="s">
        <v>21</v>
      </c>
      <c r="M972">
        <v>1958</v>
      </c>
      <c r="N972" s="5">
        <f>ROUNDUP(Clean_Data[[#This Row],[Year_Num]]/100,0)</f>
        <v>20</v>
      </c>
      <c r="O972" s="5" t="str" cm="1">
        <f t="array" ref="O972">_xlfn.LET(_xlpm.y,Clean_Data[[#This Row],[Year_Num]],_xlfn.IFS(_xlpm.y&lt;500,"Ancient",_xlpm.y&lt;1500,"Medieval",_xlpm.y&lt;1800,"Early Modern",_xlpm.y&lt;1946,"Modern",TRUE,"Contemporary"))</f>
        <v>Contemporary</v>
      </c>
      <c r="P972" s="5" t="str">
        <f>_xlfn.XLOOKUP(Clean_Data[[#This Row],[Country]],country_region[Country],country_region[Country_Standard],"Not found")</f>
        <v>Guinea</v>
      </c>
      <c r="Q972" s="5" t="str">
        <f>_xlfn.XLOOKUP(Clean_Data[[#This Row],[Country]],country_region[Country],country_region[Region],"Not found")</f>
        <v>Sub-Saharan Africa</v>
      </c>
      <c r="R972" s="5" t="str">
        <f>_xlfn.XLOOKUP(Clean_Data[[#This Row],[Type of Event]],event_type_category[Type of Event],event_type_category[Category],"Not found")</f>
        <v>Independence &amp; Nation-Building</v>
      </c>
    </row>
    <row r="973" spans="1:18">
      <c r="A973">
        <v>1035</v>
      </c>
      <c r="B973" t="s">
        <v>4380</v>
      </c>
      <c r="E973" t="s">
        <v>212</v>
      </c>
      <c r="F973" t="s">
        <v>4226</v>
      </c>
      <c r="G973" t="s">
        <v>31</v>
      </c>
      <c r="H973" t="s">
        <v>4226</v>
      </c>
      <c r="I973" t="s">
        <v>5074</v>
      </c>
      <c r="J973" t="s">
        <v>4228</v>
      </c>
      <c r="K973" t="s">
        <v>4382</v>
      </c>
      <c r="L973" t="s">
        <v>21</v>
      </c>
      <c r="M973">
        <v>1991</v>
      </c>
      <c r="N973" s="5">
        <f>ROUNDUP(Clean_Data[[#This Row],[Year_Num]]/100,0)</f>
        <v>20</v>
      </c>
      <c r="O973" s="5" t="str" cm="1">
        <f t="array" ref="O973">_xlfn.LET(_xlpm.y,Clean_Data[[#This Row],[Year_Num]],_xlfn.IFS(_xlpm.y&lt;500,"Ancient",_xlpm.y&lt;1500,"Medieval",_xlpm.y&lt;1800,"Early Modern",_xlpm.y&lt;1946,"Modern",TRUE,"Contemporary"))</f>
        <v>Contemporary</v>
      </c>
      <c r="P973" s="5" t="str">
        <f>_xlfn.XLOOKUP(Clean_Data[[#This Row],[Country]],country_region[Country],country_region[Country_Standard],"Not found")</f>
        <v>Zambia</v>
      </c>
      <c r="Q973" s="5" t="str">
        <f>_xlfn.XLOOKUP(Clean_Data[[#This Row],[Country]],country_region[Country],country_region[Region],"Not found")</f>
        <v>Sub-Saharan Africa</v>
      </c>
      <c r="R973" s="5" t="str">
        <f>_xlfn.XLOOKUP(Clean_Data[[#This Row],[Type of Event]],event_type_category[Type of Event],event_type_category[Category],"Not found")</f>
        <v>Politics &amp; Law</v>
      </c>
    </row>
    <row r="974" spans="1:18">
      <c r="A974">
        <v>1036</v>
      </c>
      <c r="B974" t="s">
        <v>4383</v>
      </c>
      <c r="C974" t="s">
        <v>230</v>
      </c>
      <c r="D974" t="s">
        <v>158</v>
      </c>
      <c r="E974" t="s">
        <v>893</v>
      </c>
      <c r="F974" t="s">
        <v>4222</v>
      </c>
      <c r="G974" t="s">
        <v>4272</v>
      </c>
      <c r="H974" t="s">
        <v>4384</v>
      </c>
      <c r="I974" t="s">
        <v>4385</v>
      </c>
      <c r="J974" t="s">
        <v>4224</v>
      </c>
      <c r="K974" t="s">
        <v>4386</v>
      </c>
      <c r="L974" t="s">
        <v>21</v>
      </c>
      <c r="M974">
        <v>1992</v>
      </c>
      <c r="N974" s="5">
        <f>ROUNDUP(Clean_Data[[#This Row],[Year_Num]]/100,0)</f>
        <v>20</v>
      </c>
      <c r="O974" s="5" t="str" cm="1">
        <f t="array" ref="O974">_xlfn.LET(_xlpm.y,Clean_Data[[#This Row],[Year_Num]],_xlfn.IFS(_xlpm.y&lt;500,"Ancient",_xlpm.y&lt;1500,"Medieval",_xlpm.y&lt;1800,"Early Modern",_xlpm.y&lt;1946,"Modern",TRUE,"Contemporary"))</f>
        <v>Contemporary</v>
      </c>
      <c r="P974" s="5" t="str">
        <f>_xlfn.XLOOKUP(Clean_Data[[#This Row],[Country]],country_region[Country],country_region[Country_Standard],"Not found")</f>
        <v>Mozambique</v>
      </c>
      <c r="Q974" s="5" t="str">
        <f>_xlfn.XLOOKUP(Clean_Data[[#This Row],[Country]],country_region[Country],country_region[Region],"Not found")</f>
        <v>Sub-Saharan Africa</v>
      </c>
      <c r="R974" s="5" t="str">
        <f>_xlfn.XLOOKUP(Clean_Data[[#This Row],[Type of Event]],event_type_category[Type of Event],event_type_category[Category],"Not found")</f>
        <v>Diplomacy &amp; International Relations</v>
      </c>
    </row>
    <row r="975" spans="1:18">
      <c r="A975">
        <v>1037</v>
      </c>
      <c r="B975" t="s">
        <v>4387</v>
      </c>
      <c r="C975" t="s">
        <v>522</v>
      </c>
      <c r="D975" t="s">
        <v>39</v>
      </c>
      <c r="E975" t="s">
        <v>1917</v>
      </c>
      <c r="F975" t="s">
        <v>295</v>
      </c>
      <c r="G975" t="s">
        <v>4388</v>
      </c>
      <c r="H975" t="s">
        <v>295</v>
      </c>
      <c r="I975" t="s">
        <v>4389</v>
      </c>
      <c r="J975" t="s">
        <v>4099</v>
      </c>
      <c r="K975" t="s">
        <v>4390</v>
      </c>
      <c r="L975" t="s">
        <v>21</v>
      </c>
      <c r="M975">
        <v>1994</v>
      </c>
      <c r="N975" s="5">
        <f>ROUNDUP(Clean_Data[[#This Row],[Year_Num]]/100,0)</f>
        <v>20</v>
      </c>
      <c r="O975" s="5" t="str" cm="1">
        <f t="array" ref="O975">_xlfn.LET(_xlpm.y,Clean_Data[[#This Row],[Year_Num]],_xlfn.IFS(_xlpm.y&lt;500,"Ancient",_xlpm.y&lt;1500,"Medieval",_xlpm.y&lt;1800,"Early Modern",_xlpm.y&lt;1946,"Modern",TRUE,"Contemporary"))</f>
        <v>Contemporary</v>
      </c>
      <c r="P975" s="5" t="str">
        <f>_xlfn.XLOOKUP(Clean_Data[[#This Row],[Country]],country_region[Country],country_region[Country_Standard],"Not found")</f>
        <v>South Africa</v>
      </c>
      <c r="Q975" s="5" t="str">
        <f>_xlfn.XLOOKUP(Clean_Data[[#This Row],[Country]],country_region[Country],country_region[Region],"Not found")</f>
        <v>Sub-Saharan Africa</v>
      </c>
      <c r="R975" s="5" t="str">
        <f>_xlfn.XLOOKUP(Clean_Data[[#This Row],[Type of Event]],event_type_category[Type of Event],event_type_category[Category],"Not found")</f>
        <v>Politics &amp; Law</v>
      </c>
    </row>
    <row r="976" spans="1:18">
      <c r="A976">
        <v>1038</v>
      </c>
      <c r="B976" t="s">
        <v>4391</v>
      </c>
      <c r="C976" t="s">
        <v>5075</v>
      </c>
      <c r="D976" t="s">
        <v>39</v>
      </c>
      <c r="E976" t="s">
        <v>1195</v>
      </c>
      <c r="F976" t="s">
        <v>4206</v>
      </c>
      <c r="G976" t="s">
        <v>3750</v>
      </c>
      <c r="H976" t="s">
        <v>4264</v>
      </c>
      <c r="I976" t="s">
        <v>4393</v>
      </c>
      <c r="J976" t="s">
        <v>4266</v>
      </c>
      <c r="K976" t="s">
        <v>4267</v>
      </c>
      <c r="L976" t="s">
        <v>21</v>
      </c>
      <c r="M976">
        <v>1993</v>
      </c>
      <c r="N976" s="5">
        <f>ROUNDUP(Clean_Data[[#This Row],[Year_Num]]/100,0)</f>
        <v>20</v>
      </c>
      <c r="O976" s="5" t="str" cm="1">
        <f t="array" ref="O976">_xlfn.LET(_xlpm.y,Clean_Data[[#This Row],[Year_Num]],_xlfn.IFS(_xlpm.y&lt;500,"Ancient",_xlpm.y&lt;1500,"Medieval",_xlpm.y&lt;1800,"Early Modern",_xlpm.y&lt;1946,"Modern",TRUE,"Contemporary"))</f>
        <v>Contemporary</v>
      </c>
      <c r="P976" s="5" t="str">
        <f>_xlfn.XLOOKUP(Clean_Data[[#This Row],[Country]],country_region[Country],country_region[Country_Standard],"Not found")</f>
        <v>Ethiopia</v>
      </c>
      <c r="Q976" s="5" t="str">
        <f>_xlfn.XLOOKUP(Clean_Data[[#This Row],[Country]],country_region[Country],country_region[Region],"Not found")</f>
        <v>Sub-Saharan Africa</v>
      </c>
      <c r="R976" s="5" t="str">
        <f>_xlfn.XLOOKUP(Clean_Data[[#This Row],[Type of Event]],event_type_category[Type of Event],event_type_category[Category],"Not found")</f>
        <v>Politics &amp; Law</v>
      </c>
    </row>
    <row r="977" spans="1:18">
      <c r="A977">
        <v>1039</v>
      </c>
      <c r="B977" t="s">
        <v>4394</v>
      </c>
      <c r="C977" t="s">
        <v>38</v>
      </c>
      <c r="D977" t="s">
        <v>267</v>
      </c>
      <c r="E977" t="s">
        <v>627</v>
      </c>
      <c r="F977" t="s">
        <v>4173</v>
      </c>
      <c r="G977" t="s">
        <v>2588</v>
      </c>
      <c r="H977" t="s">
        <v>4173</v>
      </c>
      <c r="I977" t="s">
        <v>4395</v>
      </c>
      <c r="J977" t="s">
        <v>4175</v>
      </c>
      <c r="K977" t="s">
        <v>4396</v>
      </c>
      <c r="L977" t="s">
        <v>21</v>
      </c>
      <c r="M977">
        <v>1990</v>
      </c>
      <c r="N977" s="5">
        <f>ROUNDUP(Clean_Data[[#This Row],[Year_Num]]/100,0)</f>
        <v>20</v>
      </c>
      <c r="O977" s="5" t="str" cm="1">
        <f t="array" ref="O977">_xlfn.LET(_xlpm.y,Clean_Data[[#This Row],[Year_Num]],_xlfn.IFS(_xlpm.y&lt;500,"Ancient",_xlpm.y&lt;1500,"Medieval",_xlpm.y&lt;1800,"Early Modern",_xlpm.y&lt;1946,"Modern",TRUE,"Contemporary"))</f>
        <v>Contemporary</v>
      </c>
      <c r="P977" s="5" t="str">
        <f>_xlfn.XLOOKUP(Clean_Data[[#This Row],[Country]],country_region[Country],country_region[Country_Standard],"Not found")</f>
        <v>Namibia</v>
      </c>
      <c r="Q977" s="5" t="str">
        <f>_xlfn.XLOOKUP(Clean_Data[[#This Row],[Country]],country_region[Country],country_region[Region],"Not found")</f>
        <v>Sub-Saharan Africa</v>
      </c>
      <c r="R977" s="5" t="str">
        <f>_xlfn.XLOOKUP(Clean_Data[[#This Row],[Type of Event]],event_type_category[Type of Event],event_type_category[Category],"Not found")</f>
        <v>Independence &amp; Nation-Building</v>
      </c>
    </row>
    <row r="978" spans="1:18">
      <c r="A978">
        <v>1040</v>
      </c>
      <c r="B978" t="s">
        <v>4397</v>
      </c>
      <c r="E978" t="s">
        <v>1203</v>
      </c>
      <c r="F978" t="s">
        <v>4129</v>
      </c>
      <c r="G978" t="s">
        <v>4398</v>
      </c>
      <c r="H978" t="s">
        <v>4129</v>
      </c>
      <c r="I978" t="s">
        <v>4399</v>
      </c>
      <c r="J978" t="s">
        <v>4132</v>
      </c>
      <c r="K978" t="s">
        <v>4252</v>
      </c>
      <c r="L978" t="s">
        <v>36</v>
      </c>
      <c r="M978">
        <v>2000</v>
      </c>
      <c r="N978" s="5">
        <f>ROUNDUP(Clean_Data[[#This Row],[Year_Num]]/100,0)</f>
        <v>20</v>
      </c>
      <c r="O978" s="5" t="str" cm="1">
        <f t="array" ref="O978">_xlfn.LET(_xlpm.y,Clean_Data[[#This Row],[Year_Num]],_xlfn.IFS(_xlpm.y&lt;500,"Ancient",_xlpm.y&lt;1500,"Medieval",_xlpm.y&lt;1800,"Early Modern",_xlpm.y&lt;1946,"Modern",TRUE,"Contemporary"))</f>
        <v>Contemporary</v>
      </c>
      <c r="P978" s="5" t="str">
        <f>_xlfn.XLOOKUP(Clean_Data[[#This Row],[Country]],country_region[Country],country_region[Country_Standard],"Not found")</f>
        <v>Zimbabwe</v>
      </c>
      <c r="Q978" s="5" t="str">
        <f>_xlfn.XLOOKUP(Clean_Data[[#This Row],[Country]],country_region[Country],country_region[Region],"Not found")</f>
        <v>Sub-Saharan Africa</v>
      </c>
      <c r="R978" s="5" t="str">
        <f>_xlfn.XLOOKUP(Clean_Data[[#This Row],[Type of Event]],event_type_category[Type of Event],event_type_category[Category],"Not found")</f>
        <v>Economy &amp; Infrastructure</v>
      </c>
    </row>
    <row r="979" spans="1:18">
      <c r="A979">
        <v>1041</v>
      </c>
      <c r="B979" t="s">
        <v>4400</v>
      </c>
      <c r="E979" t="s">
        <v>648</v>
      </c>
      <c r="F979" t="s">
        <v>4113</v>
      </c>
      <c r="G979" t="s">
        <v>4272</v>
      </c>
      <c r="H979" t="s">
        <v>4113</v>
      </c>
      <c r="I979" t="s">
        <v>5076</v>
      </c>
      <c r="J979" t="s">
        <v>4115</v>
      </c>
      <c r="K979" t="s">
        <v>4402</v>
      </c>
      <c r="L979" t="s">
        <v>21</v>
      </c>
      <c r="M979">
        <v>2002</v>
      </c>
      <c r="N979" s="5">
        <f>ROUNDUP(Clean_Data[[#This Row],[Year_Num]]/100,0)</f>
        <v>21</v>
      </c>
      <c r="O979" s="5" t="str" cm="1">
        <f t="array" ref="O979">_xlfn.LET(_xlpm.y,Clean_Data[[#This Row],[Year_Num]],_xlfn.IFS(_xlpm.y&lt;500,"Ancient",_xlpm.y&lt;1500,"Medieval",_xlpm.y&lt;1800,"Early Modern",_xlpm.y&lt;1946,"Modern",TRUE,"Contemporary"))</f>
        <v>Contemporary</v>
      </c>
      <c r="P979" s="5" t="str">
        <f>_xlfn.XLOOKUP(Clean_Data[[#This Row],[Country]],country_region[Country],country_region[Country_Standard],"Not found")</f>
        <v>Algeria</v>
      </c>
      <c r="Q979" s="5" t="str">
        <f>_xlfn.XLOOKUP(Clean_Data[[#This Row],[Country]],country_region[Country],country_region[Region],"Not found")</f>
        <v>Middle East &amp; North Africa</v>
      </c>
      <c r="R979" s="5" t="str">
        <f>_xlfn.XLOOKUP(Clean_Data[[#This Row],[Type of Event]],event_type_category[Type of Event],event_type_category[Category],"Not found")</f>
        <v>Diplomacy &amp; International Relations</v>
      </c>
    </row>
    <row r="980" spans="1:18">
      <c r="A980">
        <v>1042</v>
      </c>
      <c r="B980" t="s">
        <v>4403</v>
      </c>
      <c r="C980" t="s">
        <v>195</v>
      </c>
      <c r="D980" t="s">
        <v>260</v>
      </c>
      <c r="E980" t="s">
        <v>648</v>
      </c>
      <c r="F980" t="s">
        <v>4239</v>
      </c>
      <c r="G980" t="s">
        <v>4272</v>
      </c>
      <c r="H980" t="s">
        <v>4239</v>
      </c>
      <c r="I980" t="s">
        <v>4404</v>
      </c>
      <c r="J980" t="s">
        <v>4241</v>
      </c>
      <c r="K980" t="s">
        <v>4405</v>
      </c>
      <c r="L980" t="s">
        <v>21</v>
      </c>
      <c r="M980">
        <v>2002</v>
      </c>
      <c r="N980" s="5">
        <f>ROUNDUP(Clean_Data[[#This Row],[Year_Num]]/100,0)</f>
        <v>21</v>
      </c>
      <c r="O980" s="5" t="str" cm="1">
        <f t="array" ref="O980">_xlfn.LET(_xlpm.y,Clean_Data[[#This Row],[Year_Num]],_xlfn.IFS(_xlpm.y&lt;500,"Ancient",_xlpm.y&lt;1500,"Medieval",_xlpm.y&lt;1800,"Early Modern",_xlpm.y&lt;1946,"Modern",TRUE,"Contemporary"))</f>
        <v>Contemporary</v>
      </c>
      <c r="P980" s="5" t="str">
        <f>_xlfn.XLOOKUP(Clean_Data[[#This Row],[Country]],country_region[Country],country_region[Country_Standard],"Not found")</f>
        <v>Sierra Leone</v>
      </c>
      <c r="Q980" s="5" t="str">
        <f>_xlfn.XLOOKUP(Clean_Data[[#This Row],[Country]],country_region[Country],country_region[Region],"Not found")</f>
        <v>Sub-Saharan Africa</v>
      </c>
      <c r="R980" s="5" t="str">
        <f>_xlfn.XLOOKUP(Clean_Data[[#This Row],[Type of Event]],event_type_category[Type of Event],event_type_category[Category],"Not found")</f>
        <v>Diplomacy &amp; International Relations</v>
      </c>
    </row>
    <row r="981" spans="1:18">
      <c r="A981">
        <v>1043</v>
      </c>
      <c r="B981" t="s">
        <v>4406</v>
      </c>
      <c r="E981" t="s">
        <v>225</v>
      </c>
      <c r="F981" t="s">
        <v>4152</v>
      </c>
      <c r="G981" t="s">
        <v>4407</v>
      </c>
      <c r="H981" t="s">
        <v>4152</v>
      </c>
      <c r="I981" t="s">
        <v>4408</v>
      </c>
      <c r="J981" t="s">
        <v>4155</v>
      </c>
      <c r="K981" t="s">
        <v>4409</v>
      </c>
      <c r="L981" t="s">
        <v>36</v>
      </c>
      <c r="M981">
        <v>2001</v>
      </c>
      <c r="N981" s="5">
        <f>ROUNDUP(Clean_Data[[#This Row],[Year_Num]]/100,0)</f>
        <v>21</v>
      </c>
      <c r="O981" s="5" t="str" cm="1">
        <f t="array" ref="O981">_xlfn.LET(_xlpm.y,Clean_Data[[#This Row],[Year_Num]],_xlfn.IFS(_xlpm.y&lt;500,"Ancient",_xlpm.y&lt;1500,"Medieval",_xlpm.y&lt;1800,"Early Modern",_xlpm.y&lt;1946,"Modern",TRUE,"Contemporary"))</f>
        <v>Contemporary</v>
      </c>
      <c r="P981" s="5" t="str">
        <f>_xlfn.XLOOKUP(Clean_Data[[#This Row],[Country]],country_region[Country],country_region[Country_Standard],"Not found")</f>
        <v>Rwanda</v>
      </c>
      <c r="Q981" s="5" t="str">
        <f>_xlfn.XLOOKUP(Clean_Data[[#This Row],[Country]],country_region[Country],country_region[Region],"Not found")</f>
        <v>Sub-Saharan Africa</v>
      </c>
      <c r="R981" s="5" t="str">
        <f>_xlfn.XLOOKUP(Clean_Data[[#This Row],[Type of Event]],event_type_category[Type of Event],event_type_category[Category],"Not found")</f>
        <v>Society &amp; Health</v>
      </c>
    </row>
    <row r="982" spans="1:18">
      <c r="A982">
        <v>1044</v>
      </c>
      <c r="B982" t="s">
        <v>4410</v>
      </c>
      <c r="E982" t="s">
        <v>1426</v>
      </c>
      <c r="F982" t="s">
        <v>4158</v>
      </c>
      <c r="G982" t="s">
        <v>356</v>
      </c>
      <c r="H982" t="s">
        <v>4411</v>
      </c>
      <c r="I982" t="s">
        <v>4412</v>
      </c>
      <c r="J982" t="s">
        <v>4160</v>
      </c>
      <c r="K982" t="s">
        <v>4413</v>
      </c>
      <c r="L982" t="s">
        <v>21</v>
      </c>
      <c r="M982">
        <v>2011</v>
      </c>
      <c r="N982" s="5">
        <f>ROUNDUP(Clean_Data[[#This Row],[Year_Num]]/100,0)</f>
        <v>21</v>
      </c>
      <c r="O982" s="5" t="str" cm="1">
        <f t="array" ref="O982">_xlfn.LET(_xlpm.y,Clean_Data[[#This Row],[Year_Num]],_xlfn.IFS(_xlpm.y&lt;500,"Ancient",_xlpm.y&lt;1500,"Medieval",_xlpm.y&lt;1800,"Early Modern",_xlpm.y&lt;1946,"Modern",TRUE,"Contemporary"))</f>
        <v>Contemporary</v>
      </c>
      <c r="P982" s="5" t="str">
        <f>_xlfn.XLOOKUP(Clean_Data[[#This Row],[Country]],country_region[Country],country_region[Country_Standard],"Not found")</f>
        <v>Uganda</v>
      </c>
      <c r="Q982" s="5" t="str">
        <f>_xlfn.XLOOKUP(Clean_Data[[#This Row],[Country]],country_region[Country],country_region[Region],"Not found")</f>
        <v>Sub-Saharan Africa</v>
      </c>
      <c r="R982" s="5" t="str">
        <f>_xlfn.XLOOKUP(Clean_Data[[#This Row],[Type of Event]],event_type_category[Type of Event],event_type_category[Category],"Not found")</f>
        <v>War &amp; Conflict</v>
      </c>
    </row>
    <row r="983" spans="1:18">
      <c r="A983">
        <v>1045</v>
      </c>
      <c r="B983" t="s">
        <v>4414</v>
      </c>
      <c r="C983" t="s">
        <v>91</v>
      </c>
      <c r="D983" t="s">
        <v>158</v>
      </c>
      <c r="E983" t="s">
        <v>1426</v>
      </c>
      <c r="F983" t="s">
        <v>4118</v>
      </c>
      <c r="G983" t="s">
        <v>2646</v>
      </c>
      <c r="H983" t="s">
        <v>4415</v>
      </c>
      <c r="I983" t="s">
        <v>5077</v>
      </c>
      <c r="J983" t="s">
        <v>4120</v>
      </c>
      <c r="K983" t="s">
        <v>4417</v>
      </c>
      <c r="L983" t="s">
        <v>36</v>
      </c>
      <c r="M983">
        <v>2011</v>
      </c>
      <c r="N983" s="5">
        <f>ROUNDUP(Clean_Data[[#This Row],[Year_Num]]/100,0)</f>
        <v>21</v>
      </c>
      <c r="O983" s="5" t="str" cm="1">
        <f t="array" ref="O983">_xlfn.LET(_xlpm.y,Clean_Data[[#This Row],[Year_Num]],_xlfn.IFS(_xlpm.y&lt;500,"Ancient",_xlpm.y&lt;1500,"Medieval",_xlpm.y&lt;1800,"Early Modern",_xlpm.y&lt;1946,"Modern",TRUE,"Contemporary"))</f>
        <v>Contemporary</v>
      </c>
      <c r="P983" s="5" t="str">
        <f>_xlfn.XLOOKUP(Clean_Data[[#This Row],[Country]],country_region[Country],country_region[Country_Standard],"Not found")</f>
        <v>Libya</v>
      </c>
      <c r="Q983" s="5" t="str">
        <f>_xlfn.XLOOKUP(Clean_Data[[#This Row],[Country]],country_region[Country],country_region[Region],"Not found")</f>
        <v>Middle East &amp; North Africa</v>
      </c>
      <c r="R983" s="5" t="str">
        <f>_xlfn.XLOOKUP(Clean_Data[[#This Row],[Type of Event]],event_type_category[Type of Event],event_type_category[Category],"Not found")</f>
        <v>Politics &amp; Law</v>
      </c>
    </row>
    <row r="984" spans="1:18">
      <c r="A984">
        <v>1046</v>
      </c>
      <c r="B984" t="s">
        <v>4418</v>
      </c>
      <c r="C984" t="s">
        <v>200</v>
      </c>
      <c r="D984" t="s">
        <v>260</v>
      </c>
      <c r="E984" t="s">
        <v>1426</v>
      </c>
      <c r="F984" t="s">
        <v>4147</v>
      </c>
      <c r="G984" t="s">
        <v>2646</v>
      </c>
      <c r="H984" t="s">
        <v>4419</v>
      </c>
      <c r="I984" t="s">
        <v>4420</v>
      </c>
      <c r="J984" t="s">
        <v>4255</v>
      </c>
      <c r="K984" t="s">
        <v>4421</v>
      </c>
      <c r="L984" t="s">
        <v>36</v>
      </c>
      <c r="M984">
        <v>2011</v>
      </c>
      <c r="N984" s="5">
        <f>ROUNDUP(Clean_Data[[#This Row],[Year_Num]]/100,0)</f>
        <v>21</v>
      </c>
      <c r="O984" s="5" t="str" cm="1">
        <f t="array" ref="O984">_xlfn.LET(_xlpm.y,Clean_Data[[#This Row],[Year_Num]],_xlfn.IFS(_xlpm.y&lt;500,"Ancient",_xlpm.y&lt;1500,"Medieval",_xlpm.y&lt;1800,"Early Modern",_xlpm.y&lt;1946,"Modern",TRUE,"Contemporary"))</f>
        <v>Contemporary</v>
      </c>
      <c r="P984" s="5" t="str">
        <f>_xlfn.XLOOKUP(Clean_Data[[#This Row],[Country]],country_region[Country],country_region[Country_Standard],"Not found")</f>
        <v>Egypt</v>
      </c>
      <c r="Q984" s="5" t="str">
        <f>_xlfn.XLOOKUP(Clean_Data[[#This Row],[Country]],country_region[Country],country_region[Region],"Not found")</f>
        <v>Middle East &amp; North Africa</v>
      </c>
      <c r="R984" s="5" t="str">
        <f>_xlfn.XLOOKUP(Clean_Data[[#This Row],[Type of Event]],event_type_category[Type of Event],event_type_category[Category],"Not found")</f>
        <v>Politics &amp; Law</v>
      </c>
    </row>
    <row r="985" spans="1:18">
      <c r="A985">
        <v>1047</v>
      </c>
      <c r="B985" t="s">
        <v>4199</v>
      </c>
      <c r="C985" t="s">
        <v>325</v>
      </c>
      <c r="D985" t="s">
        <v>267</v>
      </c>
      <c r="E985" t="s">
        <v>151</v>
      </c>
      <c r="F985" t="s">
        <v>4243</v>
      </c>
      <c r="G985" t="s">
        <v>3736</v>
      </c>
      <c r="H985" t="s">
        <v>4422</v>
      </c>
      <c r="I985" t="s">
        <v>4423</v>
      </c>
      <c r="J985" t="s">
        <v>4245</v>
      </c>
      <c r="K985" t="s">
        <v>4424</v>
      </c>
      <c r="L985" t="s">
        <v>54</v>
      </c>
      <c r="M985">
        <v>2012</v>
      </c>
      <c r="N985" s="5">
        <f>ROUNDUP(Clean_Data[[#This Row],[Year_Num]]/100,0)</f>
        <v>21</v>
      </c>
      <c r="O985" s="5" t="str" cm="1">
        <f t="array" ref="O985">_xlfn.LET(_xlpm.y,Clean_Data[[#This Row],[Year_Num]],_xlfn.IFS(_xlpm.y&lt;500,"Ancient",_xlpm.y&lt;1500,"Medieval",_xlpm.y&lt;1800,"Early Modern",_xlpm.y&lt;1946,"Modern",TRUE,"Contemporary"))</f>
        <v>Contemporary</v>
      </c>
      <c r="P985" s="5" t="str">
        <f>_xlfn.XLOOKUP(Clean_Data[[#This Row],[Country]],country_region[Country],country_region[Country_Standard],"Not found")</f>
        <v>Mali</v>
      </c>
      <c r="Q985" s="5" t="str">
        <f>_xlfn.XLOOKUP(Clean_Data[[#This Row],[Country]],country_region[Country],country_region[Region],"Not found")</f>
        <v>Sub-Saharan Africa</v>
      </c>
      <c r="R985" s="5" t="str">
        <f>_xlfn.XLOOKUP(Clean_Data[[#This Row],[Type of Event]],event_type_category[Type of Event],event_type_category[Category],"Not found")</f>
        <v>War &amp; Conflict</v>
      </c>
    </row>
    <row r="986" spans="1:18">
      <c r="A986">
        <v>1048</v>
      </c>
      <c r="B986" t="s">
        <v>4425</v>
      </c>
      <c r="D986" t="s">
        <v>66</v>
      </c>
      <c r="E986" t="s">
        <v>151</v>
      </c>
      <c r="F986" t="s">
        <v>4340</v>
      </c>
      <c r="G986" t="s">
        <v>1470</v>
      </c>
      <c r="H986" t="s">
        <v>4340</v>
      </c>
      <c r="I986" t="s">
        <v>4426</v>
      </c>
      <c r="J986" t="s">
        <v>4342</v>
      </c>
      <c r="K986" t="s">
        <v>4427</v>
      </c>
      <c r="L986" t="s">
        <v>54</v>
      </c>
      <c r="M986">
        <v>2012</v>
      </c>
      <c r="N986" s="5">
        <f>ROUNDUP(Clean_Data[[#This Row],[Year_Num]]/100,0)</f>
        <v>21</v>
      </c>
      <c r="O986" s="5" t="str" cm="1">
        <f t="array" ref="O986">_xlfn.LET(_xlpm.y,Clean_Data[[#This Row],[Year_Num]],_xlfn.IFS(_xlpm.y&lt;500,"Ancient",_xlpm.y&lt;1500,"Medieval",_xlpm.y&lt;1800,"Early Modern",_xlpm.y&lt;1946,"Modern",TRUE,"Contemporary"))</f>
        <v>Contemporary</v>
      </c>
      <c r="P986" s="5" t="str">
        <f>_xlfn.XLOOKUP(Clean_Data[[#This Row],[Country]],country_region[Country],country_region[Country_Standard],"Not found")</f>
        <v>Central African Republic</v>
      </c>
      <c r="Q986" s="5" t="str">
        <f>_xlfn.XLOOKUP(Clean_Data[[#This Row],[Country]],country_region[Country],country_region[Region],"Not found")</f>
        <v>Sub-Saharan Africa</v>
      </c>
      <c r="R986" s="5" t="str">
        <f>_xlfn.XLOOKUP(Clean_Data[[#This Row],[Type of Event]],event_type_category[Type of Event],event_type_category[Category],"Not found")</f>
        <v>War &amp; Conflict</v>
      </c>
    </row>
    <row r="987" spans="1:18">
      <c r="A987">
        <v>1049</v>
      </c>
      <c r="B987" t="s">
        <v>4428</v>
      </c>
      <c r="E987" t="s">
        <v>231</v>
      </c>
      <c r="F987" t="s">
        <v>4102</v>
      </c>
      <c r="G987" t="s">
        <v>4429</v>
      </c>
      <c r="H987" t="s">
        <v>4430</v>
      </c>
      <c r="I987" t="s">
        <v>4431</v>
      </c>
      <c r="J987" t="s">
        <v>4104</v>
      </c>
      <c r="K987" t="s">
        <v>4432</v>
      </c>
      <c r="L987" t="s">
        <v>54</v>
      </c>
      <c r="M987">
        <v>2009</v>
      </c>
      <c r="N987" s="5">
        <f>ROUNDUP(Clean_Data[[#This Row],[Year_Num]]/100,0)</f>
        <v>21</v>
      </c>
      <c r="O987" s="5" t="str" cm="1">
        <f t="array" ref="O987">_xlfn.LET(_xlpm.y,Clean_Data[[#This Row],[Year_Num]],_xlfn.IFS(_xlpm.y&lt;500,"Ancient",_xlpm.y&lt;1500,"Medieval",_xlpm.y&lt;1800,"Early Modern",_xlpm.y&lt;1946,"Modern",TRUE,"Contemporary"))</f>
        <v>Contemporary</v>
      </c>
      <c r="P987" s="5" t="str">
        <f>_xlfn.XLOOKUP(Clean_Data[[#This Row],[Country]],country_region[Country],country_region[Country_Standard],"Not found")</f>
        <v>Nigeria</v>
      </c>
      <c r="Q987" s="5" t="str">
        <f>_xlfn.XLOOKUP(Clean_Data[[#This Row],[Country]],country_region[Country],country_region[Region],"Not found")</f>
        <v>Sub-Saharan Africa</v>
      </c>
      <c r="R987" s="5" t="str">
        <f>_xlfn.XLOOKUP(Clean_Data[[#This Row],[Type of Event]],event_type_category[Type of Event],event_type_category[Category],"Not found")</f>
        <v>War &amp; Conflict</v>
      </c>
    </row>
    <row r="988" spans="1:18">
      <c r="A988">
        <v>1050</v>
      </c>
      <c r="B988" t="s">
        <v>4433</v>
      </c>
      <c r="C988" t="s">
        <v>240</v>
      </c>
      <c r="D988" t="s">
        <v>211</v>
      </c>
      <c r="E988" t="s">
        <v>1426</v>
      </c>
      <c r="F988" t="s">
        <v>4434</v>
      </c>
      <c r="G988" t="s">
        <v>2588</v>
      </c>
      <c r="H988" t="s">
        <v>4434</v>
      </c>
      <c r="I988" t="s">
        <v>4435</v>
      </c>
      <c r="J988" t="s">
        <v>4436</v>
      </c>
      <c r="K988" t="s">
        <v>4437</v>
      </c>
      <c r="L988" t="s">
        <v>21</v>
      </c>
      <c r="M988">
        <v>2011</v>
      </c>
      <c r="N988" s="5">
        <f>ROUNDUP(Clean_Data[[#This Row],[Year_Num]]/100,0)</f>
        <v>21</v>
      </c>
      <c r="O988" s="5" t="str" cm="1">
        <f t="array" ref="O988">_xlfn.LET(_xlpm.y,Clean_Data[[#This Row],[Year_Num]],_xlfn.IFS(_xlpm.y&lt;500,"Ancient",_xlpm.y&lt;1500,"Medieval",_xlpm.y&lt;1800,"Early Modern",_xlpm.y&lt;1946,"Modern",TRUE,"Contemporary"))</f>
        <v>Contemporary</v>
      </c>
      <c r="P988" s="5" t="str">
        <f>_xlfn.XLOOKUP(Clean_Data[[#This Row],[Country]],country_region[Country],country_region[Country_Standard],"Not found")</f>
        <v>South Sudan</v>
      </c>
      <c r="Q988" s="5" t="str">
        <f>_xlfn.XLOOKUP(Clean_Data[[#This Row],[Country]],country_region[Country],country_region[Region],"Not found")</f>
        <v>Sub-Saharan Africa</v>
      </c>
      <c r="R988" s="5" t="str">
        <f>_xlfn.XLOOKUP(Clean_Data[[#This Row],[Type of Event]],event_type_category[Type of Event],event_type_category[Category],"Not found")</f>
        <v>Independence &amp; Nation-Building</v>
      </c>
    </row>
    <row r="989" spans="1:18">
      <c r="A989">
        <v>1051</v>
      </c>
      <c r="B989" t="s">
        <v>4438</v>
      </c>
      <c r="C989" t="s">
        <v>251</v>
      </c>
      <c r="D989" t="s">
        <v>158</v>
      </c>
      <c r="E989" t="s">
        <v>287</v>
      </c>
      <c r="F989" t="s">
        <v>4247</v>
      </c>
      <c r="G989" t="s">
        <v>2646</v>
      </c>
      <c r="H989" t="s">
        <v>4439</v>
      </c>
      <c r="I989" t="s">
        <v>5078</v>
      </c>
      <c r="J989" t="s">
        <v>4249</v>
      </c>
      <c r="K989" t="s">
        <v>4441</v>
      </c>
      <c r="L989" t="s">
        <v>21</v>
      </c>
      <c r="M989">
        <v>2014</v>
      </c>
      <c r="N989" s="5">
        <f>ROUNDUP(Clean_Data[[#This Row],[Year_Num]]/100,0)</f>
        <v>21</v>
      </c>
      <c r="O989" s="5" t="str" cm="1">
        <f t="array" ref="O989">_xlfn.LET(_xlpm.y,Clean_Data[[#This Row],[Year_Num]],_xlfn.IFS(_xlpm.y&lt;500,"Ancient",_xlpm.y&lt;1500,"Medieval",_xlpm.y&lt;1800,"Early Modern",_xlpm.y&lt;1946,"Modern",TRUE,"Contemporary"))</f>
        <v>Contemporary</v>
      </c>
      <c r="P989" s="5" t="str">
        <f>_xlfn.XLOOKUP(Clean_Data[[#This Row],[Country]],country_region[Country],country_region[Country_Standard],"Not found")</f>
        <v>Burkina Faso</v>
      </c>
      <c r="Q989" s="5" t="str">
        <f>_xlfn.XLOOKUP(Clean_Data[[#This Row],[Country]],country_region[Country],country_region[Region],"Not found")</f>
        <v>Sub-Saharan Africa</v>
      </c>
      <c r="R989" s="5" t="str">
        <f>_xlfn.XLOOKUP(Clean_Data[[#This Row],[Type of Event]],event_type_category[Type of Event],event_type_category[Category],"Not found")</f>
        <v>Politics &amp; Law</v>
      </c>
    </row>
    <row r="990" spans="1:18">
      <c r="A990">
        <v>1052</v>
      </c>
      <c r="B990" t="s">
        <v>4442</v>
      </c>
      <c r="C990" t="s">
        <v>38</v>
      </c>
      <c r="D990" t="s">
        <v>83</v>
      </c>
      <c r="E990" t="s">
        <v>348</v>
      </c>
      <c r="F990" t="s">
        <v>4129</v>
      </c>
      <c r="G990" t="s">
        <v>3736</v>
      </c>
      <c r="H990" t="s">
        <v>4443</v>
      </c>
      <c r="I990" t="s">
        <v>5079</v>
      </c>
      <c r="J990" t="s">
        <v>4132</v>
      </c>
      <c r="K990" t="s">
        <v>4445</v>
      </c>
      <c r="L990" t="s">
        <v>36</v>
      </c>
      <c r="M990">
        <v>2017</v>
      </c>
      <c r="N990" s="5">
        <f>ROUNDUP(Clean_Data[[#This Row],[Year_Num]]/100,0)</f>
        <v>21</v>
      </c>
      <c r="O990" s="5" t="str" cm="1">
        <f t="array" ref="O990">_xlfn.LET(_xlpm.y,Clean_Data[[#This Row],[Year_Num]],_xlfn.IFS(_xlpm.y&lt;500,"Ancient",_xlpm.y&lt;1500,"Medieval",_xlpm.y&lt;1800,"Early Modern",_xlpm.y&lt;1946,"Modern",TRUE,"Contemporary"))</f>
        <v>Contemporary</v>
      </c>
      <c r="P990" s="5" t="str">
        <f>_xlfn.XLOOKUP(Clean_Data[[#This Row],[Country]],country_region[Country],country_region[Country_Standard],"Not found")</f>
        <v>Zimbabwe</v>
      </c>
      <c r="Q990" s="5" t="str">
        <f>_xlfn.XLOOKUP(Clean_Data[[#This Row],[Country]],country_region[Country],country_region[Region],"Not found")</f>
        <v>Sub-Saharan Africa</v>
      </c>
      <c r="R990" s="5" t="str">
        <f>_xlfn.XLOOKUP(Clean_Data[[#This Row],[Type of Event]],event_type_category[Type of Event],event_type_category[Category],"Not found")</f>
        <v>War &amp; Conflict</v>
      </c>
    </row>
    <row r="991" spans="1:18">
      <c r="A991">
        <v>1053</v>
      </c>
      <c r="B991" t="s">
        <v>4446</v>
      </c>
      <c r="C991" t="s">
        <v>331</v>
      </c>
      <c r="D991" t="s">
        <v>39</v>
      </c>
      <c r="E991" t="s">
        <v>174</v>
      </c>
      <c r="F991" t="s">
        <v>4206</v>
      </c>
      <c r="G991" t="s">
        <v>31</v>
      </c>
      <c r="H991" t="s">
        <v>4206</v>
      </c>
      <c r="I991" t="s">
        <v>4447</v>
      </c>
      <c r="J991" t="s">
        <v>4208</v>
      </c>
      <c r="K991" t="s">
        <v>4448</v>
      </c>
      <c r="L991" t="s">
        <v>21</v>
      </c>
      <c r="M991">
        <v>2018</v>
      </c>
      <c r="N991" s="5">
        <f>ROUNDUP(Clean_Data[[#This Row],[Year_Num]]/100,0)</f>
        <v>21</v>
      </c>
      <c r="O991" s="5" t="str" cm="1">
        <f t="array" ref="O991">_xlfn.LET(_xlpm.y,Clean_Data[[#This Row],[Year_Num]],_xlfn.IFS(_xlpm.y&lt;500,"Ancient",_xlpm.y&lt;1500,"Medieval",_xlpm.y&lt;1800,"Early Modern",_xlpm.y&lt;1946,"Modern",TRUE,"Contemporary"))</f>
        <v>Contemporary</v>
      </c>
      <c r="P991" s="5" t="str">
        <f>_xlfn.XLOOKUP(Clean_Data[[#This Row],[Country]],country_region[Country],country_region[Country_Standard],"Not found")</f>
        <v>Ethiopia</v>
      </c>
      <c r="Q991" s="5" t="str">
        <f>_xlfn.XLOOKUP(Clean_Data[[#This Row],[Country]],country_region[Country],country_region[Region],"Not found")</f>
        <v>Sub-Saharan Africa</v>
      </c>
      <c r="R991" s="5" t="str">
        <f>_xlfn.XLOOKUP(Clean_Data[[#This Row],[Type of Event]],event_type_category[Type of Event],event_type_category[Category],"Not found")</f>
        <v>Politics &amp; Law</v>
      </c>
    </row>
    <row r="992" spans="1:18">
      <c r="A992">
        <v>1054</v>
      </c>
      <c r="B992" t="s">
        <v>4449</v>
      </c>
      <c r="C992" t="s">
        <v>580</v>
      </c>
      <c r="D992" t="s">
        <v>66</v>
      </c>
      <c r="E992" t="s">
        <v>174</v>
      </c>
      <c r="F992" t="s">
        <v>4179</v>
      </c>
      <c r="G992" t="s">
        <v>2646</v>
      </c>
      <c r="H992" t="s">
        <v>4179</v>
      </c>
      <c r="I992" t="s">
        <v>5080</v>
      </c>
      <c r="J992" t="s">
        <v>4182</v>
      </c>
      <c r="K992" t="s">
        <v>4451</v>
      </c>
      <c r="L992" t="s">
        <v>21</v>
      </c>
      <c r="M992">
        <v>2018</v>
      </c>
      <c r="N992" s="5">
        <f>ROUNDUP(Clean_Data[[#This Row],[Year_Num]]/100,0)</f>
        <v>21</v>
      </c>
      <c r="O992" s="5" t="str" cm="1">
        <f t="array" ref="O992">_xlfn.LET(_xlpm.y,Clean_Data[[#This Row],[Year_Num]],_xlfn.IFS(_xlpm.y&lt;500,"Ancient",_xlpm.y&lt;1500,"Medieval",_xlpm.y&lt;1800,"Early Modern",_xlpm.y&lt;1946,"Modern",TRUE,"Contemporary"))</f>
        <v>Contemporary</v>
      </c>
      <c r="P992" s="5" t="str">
        <f>_xlfn.XLOOKUP(Clean_Data[[#This Row],[Country]],country_region[Country],country_region[Country_Standard],"Not found")</f>
        <v>Sudan</v>
      </c>
      <c r="Q992" s="5" t="str">
        <f>_xlfn.XLOOKUP(Clean_Data[[#This Row],[Country]],country_region[Country],country_region[Region],"Not found")</f>
        <v>Middle East &amp; North Africa</v>
      </c>
      <c r="R992" s="5" t="str">
        <f>_xlfn.XLOOKUP(Clean_Data[[#This Row],[Type of Event]],event_type_category[Type of Event],event_type_category[Category],"Not found")</f>
        <v>Politics &amp; Law</v>
      </c>
    </row>
    <row r="993" spans="1:18">
      <c r="A993">
        <v>1055</v>
      </c>
      <c r="B993" t="s">
        <v>4452</v>
      </c>
      <c r="C993" t="s">
        <v>325</v>
      </c>
      <c r="D993" t="s">
        <v>173</v>
      </c>
      <c r="E993" t="s">
        <v>235</v>
      </c>
      <c r="F993" t="s">
        <v>4113</v>
      </c>
      <c r="G993" t="s">
        <v>4453</v>
      </c>
      <c r="H993" t="s">
        <v>4113</v>
      </c>
      <c r="I993" t="s">
        <v>4454</v>
      </c>
      <c r="J993" t="s">
        <v>4115</v>
      </c>
      <c r="K993" t="s">
        <v>4455</v>
      </c>
      <c r="L993" t="s">
        <v>21</v>
      </c>
      <c r="M993">
        <v>2019</v>
      </c>
      <c r="N993" s="5">
        <f>ROUNDUP(Clean_Data[[#This Row],[Year_Num]]/100,0)</f>
        <v>21</v>
      </c>
      <c r="O993" s="5" t="str" cm="1">
        <f t="array" ref="O993">_xlfn.LET(_xlpm.y,Clean_Data[[#This Row],[Year_Num]],_xlfn.IFS(_xlpm.y&lt;500,"Ancient",_xlpm.y&lt;1500,"Medieval",_xlpm.y&lt;1800,"Early Modern",_xlpm.y&lt;1946,"Modern",TRUE,"Contemporary"))</f>
        <v>Contemporary</v>
      </c>
      <c r="P993" s="5" t="str">
        <f>_xlfn.XLOOKUP(Clean_Data[[#This Row],[Country]],country_region[Country],country_region[Country_Standard],"Not found")</f>
        <v>Algeria</v>
      </c>
      <c r="Q993" s="5" t="str">
        <f>_xlfn.XLOOKUP(Clean_Data[[#This Row],[Country]],country_region[Country],country_region[Region],"Not found")</f>
        <v>Middle East &amp; North Africa</v>
      </c>
      <c r="R993" s="5" t="str">
        <f>_xlfn.XLOOKUP(Clean_Data[[#This Row],[Type of Event]],event_type_category[Type of Event],event_type_category[Category],"Not found")</f>
        <v>Society &amp; Health</v>
      </c>
    </row>
    <row r="994" spans="1:18">
      <c r="A994">
        <v>1056</v>
      </c>
      <c r="B994" t="s">
        <v>4456</v>
      </c>
      <c r="E994" t="s">
        <v>1767</v>
      </c>
      <c r="F994" t="s">
        <v>4295</v>
      </c>
      <c r="G994" t="s">
        <v>313</v>
      </c>
      <c r="H994" t="s">
        <v>4295</v>
      </c>
      <c r="I994" t="s">
        <v>4457</v>
      </c>
      <c r="J994" t="s">
        <v>4297</v>
      </c>
      <c r="K994" t="s">
        <v>4298</v>
      </c>
      <c r="L994" t="s">
        <v>36</v>
      </c>
      <c r="M994">
        <v>1981</v>
      </c>
      <c r="N994" s="5">
        <f>ROUNDUP(Clean_Data[[#This Row],[Year_Num]]/100,0)</f>
        <v>20</v>
      </c>
      <c r="O994" s="5" t="str" cm="1">
        <f t="array" ref="O994">_xlfn.LET(_xlpm.y,Clean_Data[[#This Row],[Year_Num]],_xlfn.IFS(_xlpm.y&lt;500,"Ancient",_xlpm.y&lt;1500,"Medieval",_xlpm.y&lt;1800,"Early Modern",_xlpm.y&lt;1946,"Modern",TRUE,"Contemporary"))</f>
        <v>Contemporary</v>
      </c>
      <c r="P994" s="5" t="str">
        <f>_xlfn.XLOOKUP(Clean_Data[[#This Row],[Country]],country_region[Country],country_region[Country_Standard],"Not found")</f>
        <v>Mauritania</v>
      </c>
      <c r="Q994" s="5" t="str">
        <f>_xlfn.XLOOKUP(Clean_Data[[#This Row],[Country]],country_region[Country],country_region[Region],"Not found")</f>
        <v>Sub-Saharan Africa</v>
      </c>
      <c r="R994" s="5" t="str">
        <f>_xlfn.XLOOKUP(Clean_Data[[#This Row],[Type of Event]],event_type_category[Type of Event],event_type_category[Category],"Not found")</f>
        <v>Politics &amp; Law</v>
      </c>
    </row>
    <row r="995" spans="1:18">
      <c r="A995">
        <v>1057</v>
      </c>
      <c r="B995" t="s">
        <v>4458</v>
      </c>
      <c r="E995" t="s">
        <v>966</v>
      </c>
      <c r="F995" t="s">
        <v>4142</v>
      </c>
      <c r="G995" t="s">
        <v>4459</v>
      </c>
      <c r="H995" t="s">
        <v>4142</v>
      </c>
      <c r="I995" t="s">
        <v>4460</v>
      </c>
      <c r="J995" t="s">
        <v>4461</v>
      </c>
      <c r="K995" t="s">
        <v>4462</v>
      </c>
      <c r="L995" t="s">
        <v>21</v>
      </c>
      <c r="M995">
        <v>1989</v>
      </c>
      <c r="N995" s="5">
        <f>ROUNDUP(Clean_Data[[#This Row],[Year_Num]]/100,0)</f>
        <v>20</v>
      </c>
      <c r="O995" s="5" t="str" cm="1">
        <f t="array" ref="O995">_xlfn.LET(_xlpm.y,Clean_Data[[#This Row],[Year_Num]],_xlfn.IFS(_xlpm.y&lt;500,"Ancient",_xlpm.y&lt;1500,"Medieval",_xlpm.y&lt;1800,"Early Modern",_xlpm.y&lt;1946,"Modern",TRUE,"Contemporary"))</f>
        <v>Contemporary</v>
      </c>
      <c r="P995" s="5" t="str">
        <f>_xlfn.XLOOKUP(Clean_Data[[#This Row],[Country]],country_region[Country],country_region[Country_Standard],"Not found")</f>
        <v>Angola</v>
      </c>
      <c r="Q995" s="5" t="str">
        <f>_xlfn.XLOOKUP(Clean_Data[[#This Row],[Country]],country_region[Country],country_region[Region],"Not found")</f>
        <v>Sub-Saharan Africa</v>
      </c>
      <c r="R995" s="5" t="str">
        <f>_xlfn.XLOOKUP(Clean_Data[[#This Row],[Type of Event]],event_type_category[Type of Event],event_type_category[Category],"Not found")</f>
        <v>War &amp; Conflict</v>
      </c>
    </row>
    <row r="996" spans="1:18">
      <c r="A996">
        <v>1058</v>
      </c>
      <c r="B996" t="s">
        <v>4463</v>
      </c>
      <c r="C996" t="s">
        <v>56</v>
      </c>
      <c r="D996" t="s">
        <v>260</v>
      </c>
      <c r="E996" t="s">
        <v>235</v>
      </c>
      <c r="F996" t="s">
        <v>4108</v>
      </c>
      <c r="G996" t="s">
        <v>85</v>
      </c>
      <c r="H996" t="s">
        <v>4464</v>
      </c>
      <c r="I996" t="s">
        <v>4465</v>
      </c>
      <c r="J996" t="s">
        <v>4110</v>
      </c>
      <c r="K996" t="s">
        <v>5081</v>
      </c>
      <c r="L996" t="s">
        <v>54</v>
      </c>
      <c r="M996">
        <v>2019</v>
      </c>
      <c r="N996" s="5">
        <f>ROUNDUP(Clean_Data[[#This Row],[Year_Num]]/100,0)</f>
        <v>21</v>
      </c>
      <c r="O996" s="5" t="str" cm="1">
        <f t="array" ref="O996">_xlfn.LET(_xlpm.y,Clean_Data[[#This Row],[Year_Num]],_xlfn.IFS(_xlpm.y&lt;500,"Ancient",_xlpm.y&lt;1500,"Medieval",_xlpm.y&lt;1800,"Early Modern",_xlpm.y&lt;1946,"Modern",TRUE,"Contemporary"))</f>
        <v>Contemporary</v>
      </c>
      <c r="P996" s="5" t="str">
        <f>_xlfn.XLOOKUP(Clean_Data[[#This Row],[Country]],country_region[Country],country_region[Country_Standard],"Not found")</f>
        <v>Kenya</v>
      </c>
      <c r="Q996" s="5" t="str">
        <f>_xlfn.XLOOKUP(Clean_Data[[#This Row],[Country]],country_region[Country],country_region[Region],"Not found")</f>
        <v>Sub-Saharan Africa</v>
      </c>
      <c r="R996" s="5" t="str">
        <f>_xlfn.XLOOKUP(Clean_Data[[#This Row],[Type of Event]],event_type_category[Type of Event],event_type_category[Category],"Not found")</f>
        <v>War &amp; Conflict</v>
      </c>
    </row>
    <row r="997" spans="1:18">
      <c r="A997">
        <v>1059</v>
      </c>
      <c r="B997" t="s">
        <v>4467</v>
      </c>
      <c r="C997" t="s">
        <v>335</v>
      </c>
      <c r="D997" t="s">
        <v>267</v>
      </c>
      <c r="E997" t="s">
        <v>235</v>
      </c>
      <c r="F997" t="s">
        <v>4222</v>
      </c>
      <c r="G997" t="s">
        <v>280</v>
      </c>
      <c r="H997" t="s">
        <v>4468</v>
      </c>
      <c r="I997" t="s">
        <v>4469</v>
      </c>
      <c r="J997" t="s">
        <v>4470</v>
      </c>
      <c r="K997" t="s">
        <v>4471</v>
      </c>
      <c r="L997" t="s">
        <v>54</v>
      </c>
      <c r="M997">
        <v>2019</v>
      </c>
      <c r="N997" s="5">
        <f>ROUNDUP(Clean_Data[[#This Row],[Year_Num]]/100,0)</f>
        <v>21</v>
      </c>
      <c r="O997" s="5" t="str" cm="1">
        <f t="array" ref="O997">_xlfn.LET(_xlpm.y,Clean_Data[[#This Row],[Year_Num]],_xlfn.IFS(_xlpm.y&lt;500,"Ancient",_xlpm.y&lt;1500,"Medieval",_xlpm.y&lt;1800,"Early Modern",_xlpm.y&lt;1946,"Modern",TRUE,"Contemporary"))</f>
        <v>Contemporary</v>
      </c>
      <c r="P997" s="5" t="str">
        <f>_xlfn.XLOOKUP(Clean_Data[[#This Row],[Country]],country_region[Country],country_region[Country_Standard],"Not found")</f>
        <v>Mozambique</v>
      </c>
      <c r="Q997" s="5" t="str">
        <f>_xlfn.XLOOKUP(Clean_Data[[#This Row],[Country]],country_region[Country],country_region[Region],"Not found")</f>
        <v>Sub-Saharan Africa</v>
      </c>
      <c r="R997" s="5" t="str">
        <f>_xlfn.XLOOKUP(Clean_Data[[#This Row],[Type of Event]],event_type_category[Type of Event],event_type_category[Category],"Not found")</f>
        <v>Disasters &amp; Accidents</v>
      </c>
    </row>
    <row r="998" spans="1:18">
      <c r="A998">
        <v>1060</v>
      </c>
      <c r="B998" t="s">
        <v>4472</v>
      </c>
      <c r="C998" t="s">
        <v>230</v>
      </c>
      <c r="D998" t="s">
        <v>83</v>
      </c>
      <c r="E998" t="s">
        <v>166</v>
      </c>
      <c r="F998" t="s">
        <v>4206</v>
      </c>
      <c r="G998" t="s">
        <v>4473</v>
      </c>
      <c r="H998" t="s">
        <v>4474</v>
      </c>
      <c r="I998" t="s">
        <v>4475</v>
      </c>
      <c r="J998" t="s">
        <v>4208</v>
      </c>
      <c r="K998" t="s">
        <v>4476</v>
      </c>
      <c r="L998" t="s">
        <v>54</v>
      </c>
      <c r="M998">
        <v>2020</v>
      </c>
      <c r="N998" s="5">
        <f>ROUNDUP(Clean_Data[[#This Row],[Year_Num]]/100,0)</f>
        <v>21</v>
      </c>
      <c r="O998" s="5" t="str" cm="1">
        <f t="array" ref="O998">_xlfn.LET(_xlpm.y,Clean_Data[[#This Row],[Year_Num]],_xlfn.IFS(_xlpm.y&lt;500,"Ancient",_xlpm.y&lt;1500,"Medieval",_xlpm.y&lt;1800,"Early Modern",_xlpm.y&lt;1946,"Modern",TRUE,"Contemporary"))</f>
        <v>Contemporary</v>
      </c>
      <c r="P998" s="5" t="str">
        <f>_xlfn.XLOOKUP(Clean_Data[[#This Row],[Country]],country_region[Country],country_region[Country_Standard],"Not found")</f>
        <v>Ethiopia</v>
      </c>
      <c r="Q998" s="5" t="str">
        <f>_xlfn.XLOOKUP(Clean_Data[[#This Row],[Country]],country_region[Country],country_region[Region],"Not found")</f>
        <v>Sub-Saharan Africa</v>
      </c>
      <c r="R998" s="5" t="str">
        <f>_xlfn.XLOOKUP(Clean_Data[[#This Row],[Type of Event]],event_type_category[Type of Event],event_type_category[Category],"Not found")</f>
        <v>War &amp; Conflict</v>
      </c>
    </row>
    <row r="999" spans="1:18">
      <c r="A999">
        <v>1061</v>
      </c>
      <c r="B999" t="s">
        <v>4477</v>
      </c>
      <c r="C999" t="s">
        <v>298</v>
      </c>
      <c r="D999" t="s">
        <v>158</v>
      </c>
      <c r="E999" t="s">
        <v>166</v>
      </c>
      <c r="F999" t="s">
        <v>4102</v>
      </c>
      <c r="G999" t="s">
        <v>4453</v>
      </c>
      <c r="H999" t="s">
        <v>4102</v>
      </c>
      <c r="I999" t="s">
        <v>4478</v>
      </c>
      <c r="J999" t="s">
        <v>4104</v>
      </c>
      <c r="K999" t="s">
        <v>4479</v>
      </c>
      <c r="L999" t="s">
        <v>36</v>
      </c>
      <c r="M999">
        <v>2020</v>
      </c>
      <c r="N999" s="5">
        <f>ROUNDUP(Clean_Data[[#This Row],[Year_Num]]/100,0)</f>
        <v>21</v>
      </c>
      <c r="O999" s="5" t="str" cm="1">
        <f t="array" ref="O999">_xlfn.LET(_xlpm.y,Clean_Data[[#This Row],[Year_Num]],_xlfn.IFS(_xlpm.y&lt;500,"Ancient",_xlpm.y&lt;1500,"Medieval",_xlpm.y&lt;1800,"Early Modern",_xlpm.y&lt;1946,"Modern",TRUE,"Contemporary"))</f>
        <v>Contemporary</v>
      </c>
      <c r="P999" s="5" t="str">
        <f>_xlfn.XLOOKUP(Clean_Data[[#This Row],[Country]],country_region[Country],country_region[Country_Standard],"Not found")</f>
        <v>Nigeria</v>
      </c>
      <c r="Q999" s="5" t="str">
        <f>_xlfn.XLOOKUP(Clean_Data[[#This Row],[Country]],country_region[Country],country_region[Region],"Not found")</f>
        <v>Sub-Saharan Africa</v>
      </c>
      <c r="R999" s="5" t="str">
        <f>_xlfn.XLOOKUP(Clean_Data[[#This Row],[Type of Event]],event_type_category[Type of Event],event_type_category[Category],"Not found")</f>
        <v>Society &amp; Health</v>
      </c>
    </row>
    <row r="1000" spans="1:18">
      <c r="A1000">
        <v>1062</v>
      </c>
      <c r="B1000" t="s">
        <v>4480</v>
      </c>
      <c r="C1000" t="s">
        <v>65</v>
      </c>
      <c r="D1000" t="s">
        <v>158</v>
      </c>
      <c r="E1000" t="s">
        <v>166</v>
      </c>
      <c r="F1000" t="s">
        <v>4179</v>
      </c>
      <c r="G1000" t="s">
        <v>4272</v>
      </c>
      <c r="H1000" t="s">
        <v>4481</v>
      </c>
      <c r="I1000" t="s">
        <v>4482</v>
      </c>
      <c r="J1000" t="s">
        <v>4182</v>
      </c>
      <c r="K1000" t="s">
        <v>4483</v>
      </c>
      <c r="L1000" t="s">
        <v>21</v>
      </c>
      <c r="M1000">
        <v>2020</v>
      </c>
      <c r="N1000" s="5">
        <f>ROUNDUP(Clean_Data[[#This Row],[Year_Num]]/100,0)</f>
        <v>21</v>
      </c>
      <c r="O1000" s="5" t="str" cm="1">
        <f t="array" ref="O1000">_xlfn.LET(_xlpm.y,Clean_Data[[#This Row],[Year_Num]],_xlfn.IFS(_xlpm.y&lt;500,"Ancient",_xlpm.y&lt;1500,"Medieval",_xlpm.y&lt;1800,"Early Modern",_xlpm.y&lt;1946,"Modern",TRUE,"Contemporary"))</f>
        <v>Contemporary</v>
      </c>
      <c r="P1000" s="5" t="str">
        <f>_xlfn.XLOOKUP(Clean_Data[[#This Row],[Country]],country_region[Country],country_region[Country_Standard],"Not found")</f>
        <v>Sudan</v>
      </c>
      <c r="Q1000" s="5" t="str">
        <f>_xlfn.XLOOKUP(Clean_Data[[#This Row],[Country]],country_region[Country],country_region[Region],"Not found")</f>
        <v>Middle East &amp; North Africa</v>
      </c>
      <c r="R1000" s="5" t="str">
        <f>_xlfn.XLOOKUP(Clean_Data[[#This Row],[Type of Event]],event_type_category[Type of Event],event_type_category[Category],"Not found")</f>
        <v>Diplomacy &amp; International Relations</v>
      </c>
    </row>
    <row r="1001" spans="1:18">
      <c r="A1001">
        <v>1063</v>
      </c>
      <c r="B1001" t="s">
        <v>4484</v>
      </c>
      <c r="C1001" t="s">
        <v>335</v>
      </c>
      <c r="D1001" t="s">
        <v>260</v>
      </c>
      <c r="E1001" t="s">
        <v>2877</v>
      </c>
      <c r="F1001" t="s">
        <v>4158</v>
      </c>
      <c r="G1001" t="s">
        <v>1738</v>
      </c>
      <c r="H1001" t="s">
        <v>4158</v>
      </c>
      <c r="I1001" t="s">
        <v>5082</v>
      </c>
      <c r="J1001" t="s">
        <v>4160</v>
      </c>
      <c r="K1001" t="s">
        <v>4486</v>
      </c>
      <c r="L1001" t="s">
        <v>36</v>
      </c>
      <c r="M1001">
        <v>2021</v>
      </c>
      <c r="N1001" s="5">
        <f>ROUNDUP(Clean_Data[[#This Row],[Year_Num]]/100,0)</f>
        <v>21</v>
      </c>
      <c r="O1001" s="5" t="str" cm="1">
        <f t="array" ref="O1001">_xlfn.LET(_xlpm.y,Clean_Data[[#This Row],[Year_Num]],_xlfn.IFS(_xlpm.y&lt;500,"Ancient",_xlpm.y&lt;1500,"Medieval",_xlpm.y&lt;1800,"Early Modern",_xlpm.y&lt;1946,"Modern",TRUE,"Contemporary"))</f>
        <v>Contemporary</v>
      </c>
      <c r="P1001" s="5" t="str">
        <f>_xlfn.XLOOKUP(Clean_Data[[#This Row],[Country]],country_region[Country],country_region[Country_Standard],"Not found")</f>
        <v>Uganda</v>
      </c>
      <c r="Q1001" s="5" t="str">
        <f>_xlfn.XLOOKUP(Clean_Data[[#This Row],[Country]],country_region[Country],country_region[Region],"Not found")</f>
        <v>Sub-Saharan Africa</v>
      </c>
      <c r="R1001" s="5" t="str">
        <f>_xlfn.XLOOKUP(Clean_Data[[#This Row],[Type of Event]],event_type_category[Type of Event],event_type_category[Category],"Not found")</f>
        <v>Politics &amp; Law</v>
      </c>
    </row>
    <row r="1002" spans="1:18">
      <c r="A1002">
        <v>1064</v>
      </c>
      <c r="B1002" t="s">
        <v>4487</v>
      </c>
      <c r="C1002" t="s">
        <v>91</v>
      </c>
      <c r="D1002" t="s">
        <v>39</v>
      </c>
      <c r="E1002" t="s">
        <v>2877</v>
      </c>
      <c r="F1002" t="s">
        <v>4344</v>
      </c>
      <c r="G1002" t="s">
        <v>356</v>
      </c>
      <c r="H1002" t="s">
        <v>4344</v>
      </c>
      <c r="I1002" t="s">
        <v>4488</v>
      </c>
      <c r="J1002" t="s">
        <v>4346</v>
      </c>
      <c r="K1002" t="s">
        <v>4489</v>
      </c>
      <c r="L1002" t="s">
        <v>54</v>
      </c>
      <c r="M1002">
        <v>2021</v>
      </c>
      <c r="N1002" s="5">
        <f>ROUNDUP(Clean_Data[[#This Row],[Year_Num]]/100,0)</f>
        <v>21</v>
      </c>
      <c r="O1002" s="5" t="str" cm="1">
        <f t="array" ref="O1002">_xlfn.LET(_xlpm.y,Clean_Data[[#This Row],[Year_Num]],_xlfn.IFS(_xlpm.y&lt;500,"Ancient",_xlpm.y&lt;1500,"Medieval",_xlpm.y&lt;1800,"Early Modern",_xlpm.y&lt;1946,"Modern",TRUE,"Contemporary"))</f>
        <v>Contemporary</v>
      </c>
      <c r="P1002" s="5" t="str">
        <f>_xlfn.XLOOKUP(Clean_Data[[#This Row],[Country]],country_region[Country],country_region[Country_Standard],"Not found")</f>
        <v>Chad</v>
      </c>
      <c r="Q1002" s="5" t="str">
        <f>_xlfn.XLOOKUP(Clean_Data[[#This Row],[Country]],country_region[Country],country_region[Region],"Not found")</f>
        <v>Sub-Saharan Africa</v>
      </c>
      <c r="R1002" s="5" t="str">
        <f>_xlfn.XLOOKUP(Clean_Data[[#This Row],[Type of Event]],event_type_category[Type of Event],event_type_category[Category],"Not found")</f>
        <v>War &amp; Conflict</v>
      </c>
    </row>
    <row r="1003" spans="1:18">
      <c r="A1003">
        <v>1065</v>
      </c>
      <c r="B1003" t="s">
        <v>4490</v>
      </c>
      <c r="C1003" t="s">
        <v>325</v>
      </c>
      <c r="D1003" t="s">
        <v>39</v>
      </c>
      <c r="E1003" t="s">
        <v>2567</v>
      </c>
      <c r="F1003" t="s">
        <v>4491</v>
      </c>
      <c r="G1003" t="s">
        <v>3791</v>
      </c>
      <c r="H1003" t="s">
        <v>5083</v>
      </c>
      <c r="I1003" t="s">
        <v>4493</v>
      </c>
      <c r="J1003" t="s">
        <v>4494</v>
      </c>
      <c r="K1003" t="s">
        <v>4495</v>
      </c>
      <c r="L1003" t="s">
        <v>36</v>
      </c>
      <c r="M1003">
        <v>1500</v>
      </c>
      <c r="N1003" s="5">
        <f>ROUNDUP(Clean_Data[[#This Row],[Year_Num]]/100,0)</f>
        <v>15</v>
      </c>
      <c r="O1003" s="5" t="str" cm="1">
        <f t="array" ref="O1003">_xlfn.LET(_xlpm.y,Clean_Data[[#This Row],[Year_Num]],_xlfn.IFS(_xlpm.y&lt;500,"Ancient",_xlpm.y&lt;1500,"Medieval",_xlpm.y&lt;1800,"Early Modern",_xlpm.y&lt;1946,"Modern",TRUE,"Contemporary"))</f>
        <v>Early Modern</v>
      </c>
      <c r="P1003" s="5" t="str">
        <f>_xlfn.XLOOKUP(Clean_Data[[#This Row],[Country]],country_region[Country],country_region[Country_Standard],"Not found")</f>
        <v>Brazil</v>
      </c>
      <c r="Q1003" s="5" t="str">
        <f>_xlfn.XLOOKUP(Clean_Data[[#This Row],[Country]],country_region[Country],country_region[Region],"Not found")</f>
        <v>Latin America</v>
      </c>
      <c r="R1003" s="5" t="str">
        <f>_xlfn.XLOOKUP(Clean_Data[[#This Row],[Type of Event]],event_type_category[Type of Event],event_type_category[Category],"Not found")</f>
        <v>Science, Technology &amp; Exploration</v>
      </c>
    </row>
    <row r="1004" spans="1:18">
      <c r="A1004">
        <v>1066</v>
      </c>
      <c r="B1004" t="s">
        <v>4221</v>
      </c>
      <c r="C1004" t="s">
        <v>115</v>
      </c>
      <c r="D1004" t="s">
        <v>286</v>
      </c>
      <c r="E1004" t="s">
        <v>4496</v>
      </c>
      <c r="F1004" t="s">
        <v>4491</v>
      </c>
      <c r="G1004" t="s">
        <v>2588</v>
      </c>
      <c r="H1004" t="s">
        <v>4497</v>
      </c>
      <c r="I1004" t="s">
        <v>4498</v>
      </c>
      <c r="J1004" t="s">
        <v>4499</v>
      </c>
      <c r="K1004" t="s">
        <v>4500</v>
      </c>
      <c r="L1004" t="s">
        <v>21</v>
      </c>
      <c r="M1004">
        <v>1822</v>
      </c>
      <c r="N1004" s="5">
        <f>ROUNDUP(Clean_Data[[#This Row],[Year_Num]]/100,0)</f>
        <v>19</v>
      </c>
      <c r="O1004" s="5" t="str" cm="1">
        <f t="array" ref="O1004">_xlfn.LET(_xlpm.y,Clean_Data[[#This Row],[Year_Num]],_xlfn.IFS(_xlpm.y&lt;500,"Ancient",_xlpm.y&lt;1500,"Medieval",_xlpm.y&lt;1800,"Early Modern",_xlpm.y&lt;1946,"Modern",TRUE,"Contemporary"))</f>
        <v>Modern</v>
      </c>
      <c r="P1004" s="5" t="str">
        <f>_xlfn.XLOOKUP(Clean_Data[[#This Row],[Country]],country_region[Country],country_region[Country_Standard],"Not found")</f>
        <v>Brazil</v>
      </c>
      <c r="Q1004" s="5" t="str">
        <f>_xlfn.XLOOKUP(Clean_Data[[#This Row],[Country]],country_region[Country],country_region[Region],"Not found")</f>
        <v>Latin America</v>
      </c>
      <c r="R1004" s="5" t="str">
        <f>_xlfn.XLOOKUP(Clean_Data[[#This Row],[Type of Event]],event_type_category[Type of Event],event_type_category[Category],"Not found")</f>
        <v>Independence &amp; Nation-Building</v>
      </c>
    </row>
    <row r="1005" spans="1:18">
      <c r="A1005">
        <v>1067</v>
      </c>
      <c r="B1005" t="s">
        <v>4294</v>
      </c>
      <c r="C1005" t="s">
        <v>224</v>
      </c>
      <c r="D1005" t="s">
        <v>47</v>
      </c>
      <c r="E1005" t="s">
        <v>4501</v>
      </c>
      <c r="F1005" t="s">
        <v>4491</v>
      </c>
      <c r="G1005" t="s">
        <v>313</v>
      </c>
      <c r="H1005" t="s">
        <v>4491</v>
      </c>
      <c r="I1005" t="s">
        <v>4502</v>
      </c>
      <c r="J1005" t="s">
        <v>4503</v>
      </c>
      <c r="K1005" t="s">
        <v>4504</v>
      </c>
      <c r="L1005" t="s">
        <v>21</v>
      </c>
      <c r="M1005">
        <v>1888</v>
      </c>
      <c r="N1005" s="5">
        <f>ROUNDUP(Clean_Data[[#This Row],[Year_Num]]/100,0)</f>
        <v>19</v>
      </c>
      <c r="O1005" s="5" t="str" cm="1">
        <f t="array" ref="O1005">_xlfn.LET(_xlpm.y,Clean_Data[[#This Row],[Year_Num]],_xlfn.IFS(_xlpm.y&lt;500,"Ancient",_xlpm.y&lt;1500,"Medieval",_xlpm.y&lt;1800,"Early Modern",_xlpm.y&lt;1946,"Modern",TRUE,"Contemporary"))</f>
        <v>Modern</v>
      </c>
      <c r="P1005" s="5" t="str">
        <f>_xlfn.XLOOKUP(Clean_Data[[#This Row],[Country]],country_region[Country],country_region[Country_Standard],"Not found")</f>
        <v>Brazil</v>
      </c>
      <c r="Q1005" s="5" t="str">
        <f>_xlfn.XLOOKUP(Clean_Data[[#This Row],[Country]],country_region[Country],country_region[Region],"Not found")</f>
        <v>Latin America</v>
      </c>
      <c r="R1005" s="5" t="str">
        <f>_xlfn.XLOOKUP(Clean_Data[[#This Row],[Type of Event]],event_type_category[Type of Event],event_type_category[Category],"Not found")</f>
        <v>Politics &amp; Law</v>
      </c>
    </row>
    <row r="1006" spans="1:18">
      <c r="A1006">
        <v>1068</v>
      </c>
      <c r="B1006" t="s">
        <v>4505</v>
      </c>
      <c r="C1006" t="s">
        <v>56</v>
      </c>
      <c r="D1006" t="s">
        <v>83</v>
      </c>
      <c r="E1006" t="s">
        <v>4506</v>
      </c>
      <c r="F1006" t="s">
        <v>4491</v>
      </c>
      <c r="G1006" t="s">
        <v>31</v>
      </c>
      <c r="H1006" t="s">
        <v>4507</v>
      </c>
      <c r="I1006" t="s">
        <v>4508</v>
      </c>
      <c r="J1006" t="s">
        <v>4499</v>
      </c>
      <c r="K1006" t="s">
        <v>4509</v>
      </c>
      <c r="L1006" t="s">
        <v>21</v>
      </c>
      <c r="M1006">
        <v>1889</v>
      </c>
      <c r="N1006" s="5">
        <f>ROUNDUP(Clean_Data[[#This Row],[Year_Num]]/100,0)</f>
        <v>19</v>
      </c>
      <c r="O1006" s="5" t="str" cm="1">
        <f t="array" ref="O1006">_xlfn.LET(_xlpm.y,Clean_Data[[#This Row],[Year_Num]],_xlfn.IFS(_xlpm.y&lt;500,"Ancient",_xlpm.y&lt;1500,"Medieval",_xlpm.y&lt;1800,"Early Modern",_xlpm.y&lt;1946,"Modern",TRUE,"Contemporary"))</f>
        <v>Modern</v>
      </c>
      <c r="P1006" s="5" t="str">
        <f>_xlfn.XLOOKUP(Clean_Data[[#This Row],[Country]],country_region[Country],country_region[Country_Standard],"Not found")</f>
        <v>Brazil</v>
      </c>
      <c r="Q1006" s="5" t="str">
        <f>_xlfn.XLOOKUP(Clean_Data[[#This Row],[Country]],country_region[Country],country_region[Region],"Not found")</f>
        <v>Latin America</v>
      </c>
      <c r="R1006" s="5" t="str">
        <f>_xlfn.XLOOKUP(Clean_Data[[#This Row],[Type of Event]],event_type_category[Type of Event],event_type_category[Category],"Not found")</f>
        <v>Politics &amp; Law</v>
      </c>
    </row>
    <row r="1007" spans="1:18">
      <c r="A1007">
        <v>1069</v>
      </c>
      <c r="B1007" t="s">
        <v>4510</v>
      </c>
      <c r="C1007" t="s">
        <v>65</v>
      </c>
      <c r="D1007" t="s">
        <v>83</v>
      </c>
      <c r="E1007" t="s">
        <v>394</v>
      </c>
      <c r="F1007" t="s">
        <v>4491</v>
      </c>
      <c r="G1007" t="s">
        <v>31</v>
      </c>
      <c r="H1007" t="s">
        <v>4491</v>
      </c>
      <c r="I1007" t="s">
        <v>4511</v>
      </c>
      <c r="J1007" t="s">
        <v>4499</v>
      </c>
      <c r="K1007" t="s">
        <v>4512</v>
      </c>
      <c r="L1007" t="s">
        <v>36</v>
      </c>
      <c r="M1007">
        <v>1930</v>
      </c>
      <c r="N1007" s="5">
        <f>ROUNDUP(Clean_Data[[#This Row],[Year_Num]]/100,0)</f>
        <v>20</v>
      </c>
      <c r="O1007" s="5" t="str" cm="1">
        <f t="array" ref="O1007">_xlfn.LET(_xlpm.y,Clean_Data[[#This Row],[Year_Num]],_xlfn.IFS(_xlpm.y&lt;500,"Ancient",_xlpm.y&lt;1500,"Medieval",_xlpm.y&lt;1800,"Early Modern",_xlpm.y&lt;1946,"Modern",TRUE,"Contemporary"))</f>
        <v>Modern</v>
      </c>
      <c r="P1007" s="5" t="str">
        <f>_xlfn.XLOOKUP(Clean_Data[[#This Row],[Country]],country_region[Country],country_region[Country_Standard],"Not found")</f>
        <v>Brazil</v>
      </c>
      <c r="Q1007" s="5" t="str">
        <f>_xlfn.XLOOKUP(Clean_Data[[#This Row],[Country]],country_region[Country],country_region[Region],"Not found")</f>
        <v>Latin America</v>
      </c>
      <c r="R1007" s="5" t="str">
        <f>_xlfn.XLOOKUP(Clean_Data[[#This Row],[Type of Event]],event_type_category[Type of Event],event_type_category[Category],"Not found")</f>
        <v>Politics &amp; Law</v>
      </c>
    </row>
    <row r="1008" spans="1:18">
      <c r="A1008">
        <v>1070</v>
      </c>
      <c r="B1008" t="s">
        <v>1930</v>
      </c>
      <c r="C1008" t="s">
        <v>251</v>
      </c>
      <c r="D1008" t="s">
        <v>267</v>
      </c>
      <c r="E1008" t="s">
        <v>1387</v>
      </c>
      <c r="F1008" t="s">
        <v>4491</v>
      </c>
      <c r="G1008" t="s">
        <v>1930</v>
      </c>
      <c r="H1008" t="s">
        <v>4491</v>
      </c>
      <c r="I1008" t="s">
        <v>4513</v>
      </c>
      <c r="J1008" t="s">
        <v>4499</v>
      </c>
      <c r="K1008" t="s">
        <v>4514</v>
      </c>
      <c r="L1008" t="s">
        <v>54</v>
      </c>
      <c r="M1008">
        <v>1964</v>
      </c>
      <c r="N1008" s="5">
        <f>ROUNDUP(Clean_Data[[#This Row],[Year_Num]]/100,0)</f>
        <v>20</v>
      </c>
      <c r="O1008" s="5" t="str" cm="1">
        <f t="array" ref="O1008">_xlfn.LET(_xlpm.y,Clean_Data[[#This Row],[Year_Num]],_xlfn.IFS(_xlpm.y&lt;500,"Ancient",_xlpm.y&lt;1500,"Medieval",_xlpm.y&lt;1800,"Early Modern",_xlpm.y&lt;1946,"Modern",TRUE,"Contemporary"))</f>
        <v>Contemporary</v>
      </c>
      <c r="P1008" s="5" t="str">
        <f>_xlfn.XLOOKUP(Clean_Data[[#This Row],[Country]],country_region[Country],country_region[Country_Standard],"Not found")</f>
        <v>Brazil</v>
      </c>
      <c r="Q1008" s="5" t="str">
        <f>_xlfn.XLOOKUP(Clean_Data[[#This Row],[Country]],country_region[Country],country_region[Region],"Not found")</f>
        <v>Latin America</v>
      </c>
      <c r="R1008" s="5" t="str">
        <f>_xlfn.XLOOKUP(Clean_Data[[#This Row],[Type of Event]],event_type_category[Type of Event],event_type_category[Category],"Not found")</f>
        <v>War &amp; Conflict</v>
      </c>
    </row>
    <row r="1009" spans="1:18">
      <c r="A1009">
        <v>1071</v>
      </c>
      <c r="B1009" t="s">
        <v>4515</v>
      </c>
      <c r="E1009" t="s">
        <v>130</v>
      </c>
      <c r="F1009" t="s">
        <v>4491</v>
      </c>
      <c r="G1009" t="s">
        <v>500</v>
      </c>
      <c r="H1009" t="s">
        <v>4491</v>
      </c>
      <c r="I1009" t="s">
        <v>4516</v>
      </c>
      <c r="J1009" t="s">
        <v>4499</v>
      </c>
      <c r="K1009" t="s">
        <v>4517</v>
      </c>
      <c r="L1009" t="s">
        <v>21</v>
      </c>
      <c r="M1009">
        <v>1984</v>
      </c>
      <c r="N1009" s="5">
        <f>ROUNDUP(Clean_Data[[#This Row],[Year_Num]]/100,0)</f>
        <v>20</v>
      </c>
      <c r="O1009" s="5" t="str" cm="1">
        <f t="array" ref="O1009">_xlfn.LET(_xlpm.y,Clean_Data[[#This Row],[Year_Num]],_xlfn.IFS(_xlpm.y&lt;500,"Ancient",_xlpm.y&lt;1500,"Medieval",_xlpm.y&lt;1800,"Early Modern",_xlpm.y&lt;1946,"Modern",TRUE,"Contemporary"))</f>
        <v>Contemporary</v>
      </c>
      <c r="P1009" s="5" t="str">
        <f>_xlfn.XLOOKUP(Clean_Data[[#This Row],[Country]],country_region[Country],country_region[Country_Standard],"Not found")</f>
        <v>Brazil</v>
      </c>
      <c r="Q1009" s="5" t="str">
        <f>_xlfn.XLOOKUP(Clean_Data[[#This Row],[Country]],country_region[Country],country_region[Region],"Not found")</f>
        <v>Latin America</v>
      </c>
      <c r="R1009" s="5" t="str">
        <f>_xlfn.XLOOKUP(Clean_Data[[#This Row],[Type of Event]],event_type_category[Type of Event],event_type_category[Category],"Not found")</f>
        <v>Politics &amp; Law</v>
      </c>
    </row>
    <row r="1010" spans="1:18">
      <c r="A1010">
        <v>1072</v>
      </c>
      <c r="B1010" t="s">
        <v>4518</v>
      </c>
      <c r="C1010" t="s">
        <v>46</v>
      </c>
      <c r="D1010" t="s">
        <v>211</v>
      </c>
      <c r="E1010" t="s">
        <v>1917</v>
      </c>
      <c r="F1010" t="s">
        <v>4491</v>
      </c>
      <c r="G1010" t="s">
        <v>1463</v>
      </c>
      <c r="H1010" t="s">
        <v>4491</v>
      </c>
      <c r="I1010" t="s">
        <v>4519</v>
      </c>
      <c r="J1010" t="s">
        <v>4520</v>
      </c>
      <c r="K1010" t="s">
        <v>4521</v>
      </c>
      <c r="L1010" t="s">
        <v>21</v>
      </c>
      <c r="M1010">
        <v>1994</v>
      </c>
      <c r="N1010" s="5">
        <f>ROUNDUP(Clean_Data[[#This Row],[Year_Num]]/100,0)</f>
        <v>20</v>
      </c>
      <c r="O1010" s="5" t="str" cm="1">
        <f t="array" ref="O1010">_xlfn.LET(_xlpm.y,Clean_Data[[#This Row],[Year_Num]],_xlfn.IFS(_xlpm.y&lt;500,"Ancient",_xlpm.y&lt;1500,"Medieval",_xlpm.y&lt;1800,"Early Modern",_xlpm.y&lt;1946,"Modern",TRUE,"Contemporary"))</f>
        <v>Contemporary</v>
      </c>
      <c r="P1010" s="5" t="str">
        <f>_xlfn.XLOOKUP(Clean_Data[[#This Row],[Country]],country_region[Country],country_region[Country_Standard],"Not found")</f>
        <v>Brazil</v>
      </c>
      <c r="Q1010" s="5" t="str">
        <f>_xlfn.XLOOKUP(Clean_Data[[#This Row],[Country]],country_region[Country],country_region[Region],"Not found")</f>
        <v>Latin America</v>
      </c>
      <c r="R1010" s="5" t="str">
        <f>_xlfn.XLOOKUP(Clean_Data[[#This Row],[Type of Event]],event_type_category[Type of Event],event_type_category[Category],"Not found")</f>
        <v>Economy &amp; Infrastructure</v>
      </c>
    </row>
    <row r="1011" spans="1:18">
      <c r="A1011">
        <v>1073</v>
      </c>
      <c r="B1011" t="s">
        <v>4522</v>
      </c>
      <c r="C1011" t="s">
        <v>46</v>
      </c>
      <c r="D1011" t="s">
        <v>260</v>
      </c>
      <c r="E1011" t="s">
        <v>2244</v>
      </c>
      <c r="F1011" t="s">
        <v>4491</v>
      </c>
      <c r="G1011" t="s">
        <v>31</v>
      </c>
      <c r="H1011" t="s">
        <v>4491</v>
      </c>
      <c r="I1011" t="s">
        <v>5084</v>
      </c>
      <c r="J1011" t="s">
        <v>4499</v>
      </c>
      <c r="K1011" t="s">
        <v>4524</v>
      </c>
      <c r="L1011" t="s">
        <v>21</v>
      </c>
      <c r="M1011">
        <v>2003</v>
      </c>
      <c r="N1011" s="5">
        <f>ROUNDUP(Clean_Data[[#This Row],[Year_Num]]/100,0)</f>
        <v>21</v>
      </c>
      <c r="O1011" s="5" t="str" cm="1">
        <f t="array" ref="O1011">_xlfn.LET(_xlpm.y,Clean_Data[[#This Row],[Year_Num]],_xlfn.IFS(_xlpm.y&lt;500,"Ancient",_xlpm.y&lt;1500,"Medieval",_xlpm.y&lt;1800,"Early Modern",_xlpm.y&lt;1946,"Modern",TRUE,"Contemporary"))</f>
        <v>Contemporary</v>
      </c>
      <c r="P1011" s="5" t="str">
        <f>_xlfn.XLOOKUP(Clean_Data[[#This Row],[Country]],country_region[Country],country_region[Country_Standard],"Not found")</f>
        <v>Brazil</v>
      </c>
      <c r="Q1011" s="5" t="str">
        <f>_xlfn.XLOOKUP(Clean_Data[[#This Row],[Country]],country_region[Country],country_region[Region],"Not found")</f>
        <v>Latin America</v>
      </c>
      <c r="R1011" s="5" t="str">
        <f>_xlfn.XLOOKUP(Clean_Data[[#This Row],[Type of Event]],event_type_category[Type of Event],event_type_category[Category],"Not found")</f>
        <v>Politics &amp; Law</v>
      </c>
    </row>
    <row r="1012" spans="1:18">
      <c r="A1012">
        <v>1074</v>
      </c>
      <c r="B1012" t="s">
        <v>4525</v>
      </c>
      <c r="C1012" t="s">
        <v>246</v>
      </c>
      <c r="D1012" t="s">
        <v>100</v>
      </c>
      <c r="E1012" t="s">
        <v>648</v>
      </c>
      <c r="F1012" t="s">
        <v>4491</v>
      </c>
      <c r="G1012" t="s">
        <v>273</v>
      </c>
      <c r="H1012" t="s">
        <v>4526</v>
      </c>
      <c r="I1012" t="s">
        <v>4527</v>
      </c>
      <c r="J1012" t="s">
        <v>4499</v>
      </c>
      <c r="K1012" t="s">
        <v>4528</v>
      </c>
      <c r="L1012" t="s">
        <v>21</v>
      </c>
      <c r="M1012">
        <v>2002</v>
      </c>
      <c r="N1012" s="5">
        <f>ROUNDUP(Clean_Data[[#This Row],[Year_Num]]/100,0)</f>
        <v>21</v>
      </c>
      <c r="O1012" s="5" t="str" cm="1">
        <f t="array" ref="O1012">_xlfn.LET(_xlpm.y,Clean_Data[[#This Row],[Year_Num]],_xlfn.IFS(_xlpm.y&lt;500,"Ancient",_xlpm.y&lt;1500,"Medieval",_xlpm.y&lt;1800,"Early Modern",_xlpm.y&lt;1946,"Modern",TRUE,"Contemporary"))</f>
        <v>Contemporary</v>
      </c>
      <c r="P1012" s="5" t="str">
        <f>_xlfn.XLOOKUP(Clean_Data[[#This Row],[Country]],country_region[Country],country_region[Country_Standard],"Not found")</f>
        <v>Brazil</v>
      </c>
      <c r="Q1012" s="5" t="str">
        <f>_xlfn.XLOOKUP(Clean_Data[[#This Row],[Country]],country_region[Country],country_region[Region],"Not found")</f>
        <v>Latin America</v>
      </c>
      <c r="R1012" s="5" t="str">
        <f>_xlfn.XLOOKUP(Clean_Data[[#This Row],[Type of Event]],event_type_category[Type of Event],event_type_category[Category],"Not found")</f>
        <v>Culture, Religion &amp; Sport</v>
      </c>
    </row>
    <row r="1013" spans="1:18">
      <c r="A1013">
        <v>1075</v>
      </c>
      <c r="B1013" t="s">
        <v>4529</v>
      </c>
      <c r="C1013" t="s">
        <v>38</v>
      </c>
      <c r="D1013" t="s">
        <v>39</v>
      </c>
      <c r="E1013" t="s">
        <v>123</v>
      </c>
      <c r="F1013" t="s">
        <v>4491</v>
      </c>
      <c r="G1013" t="s">
        <v>4530</v>
      </c>
      <c r="H1013" t="s">
        <v>4531</v>
      </c>
      <c r="I1013" t="s">
        <v>4532</v>
      </c>
      <c r="J1013" t="s">
        <v>4499</v>
      </c>
      <c r="K1013" t="s">
        <v>4533</v>
      </c>
      <c r="L1013" t="s">
        <v>36</v>
      </c>
      <c r="M1013">
        <v>1960</v>
      </c>
      <c r="N1013" s="5">
        <f>ROUNDUP(Clean_Data[[#This Row],[Year_Num]]/100,0)</f>
        <v>20</v>
      </c>
      <c r="O1013" s="5" t="str" cm="1">
        <f t="array" ref="O1013">_xlfn.LET(_xlpm.y,Clean_Data[[#This Row],[Year_Num]],_xlfn.IFS(_xlpm.y&lt;500,"Ancient",_xlpm.y&lt;1500,"Medieval",_xlpm.y&lt;1800,"Early Modern",_xlpm.y&lt;1946,"Modern",TRUE,"Contemporary"))</f>
        <v>Contemporary</v>
      </c>
      <c r="P1013" s="5" t="str">
        <f>_xlfn.XLOOKUP(Clean_Data[[#This Row],[Country]],country_region[Country],country_region[Country_Standard],"Not found")</f>
        <v>Brazil</v>
      </c>
      <c r="Q1013" s="5" t="str">
        <f>_xlfn.XLOOKUP(Clean_Data[[#This Row],[Country]],country_region[Country],country_region[Region],"Not found")</f>
        <v>Latin America</v>
      </c>
      <c r="R1013" s="5" t="str">
        <f>_xlfn.XLOOKUP(Clean_Data[[#This Row],[Type of Event]],event_type_category[Type of Event],event_type_category[Category],"Not found")</f>
        <v>Economy &amp; Infrastructure</v>
      </c>
    </row>
    <row r="1014" spans="1:18">
      <c r="A1014">
        <v>1076</v>
      </c>
      <c r="B1014" t="s">
        <v>4534</v>
      </c>
      <c r="E1014" t="s">
        <v>737</v>
      </c>
      <c r="F1014" t="s">
        <v>4491</v>
      </c>
      <c r="G1014" t="s">
        <v>1244</v>
      </c>
      <c r="H1014" t="s">
        <v>4491</v>
      </c>
      <c r="I1014" t="s">
        <v>5085</v>
      </c>
      <c r="J1014" t="s">
        <v>4536</v>
      </c>
      <c r="K1014" t="s">
        <v>4537</v>
      </c>
      <c r="L1014" t="s">
        <v>21</v>
      </c>
      <c r="M1014">
        <v>1967</v>
      </c>
      <c r="N1014" s="5">
        <f>ROUNDUP(Clean_Data[[#This Row],[Year_Num]]/100,0)</f>
        <v>20</v>
      </c>
      <c r="O1014" s="5" t="str" cm="1">
        <f t="array" ref="O1014">_xlfn.LET(_xlpm.y,Clean_Data[[#This Row],[Year_Num]],_xlfn.IFS(_xlpm.y&lt;500,"Ancient",_xlpm.y&lt;1500,"Medieval",_xlpm.y&lt;1800,"Early Modern",_xlpm.y&lt;1946,"Modern",TRUE,"Contemporary"))</f>
        <v>Contemporary</v>
      </c>
      <c r="P1014" s="5" t="str">
        <f>_xlfn.XLOOKUP(Clean_Data[[#This Row],[Country]],country_region[Country],country_region[Country_Standard],"Not found")</f>
        <v>Brazil</v>
      </c>
      <c r="Q1014" s="5" t="str">
        <f>_xlfn.XLOOKUP(Clean_Data[[#This Row],[Country]],country_region[Country],country_region[Region],"Not found")</f>
        <v>Latin America</v>
      </c>
      <c r="R1014" s="5" t="str">
        <f>_xlfn.XLOOKUP(Clean_Data[[#This Row],[Type of Event]],event_type_category[Type of Event],event_type_category[Category],"Not found")</f>
        <v>Culture, Religion &amp; Sport</v>
      </c>
    </row>
    <row r="1015" spans="1:18">
      <c r="A1015">
        <v>1077</v>
      </c>
      <c r="B1015" t="s">
        <v>4538</v>
      </c>
      <c r="C1015" t="s">
        <v>633</v>
      </c>
      <c r="D1015" t="s">
        <v>66</v>
      </c>
      <c r="E1015" t="s">
        <v>893</v>
      </c>
      <c r="F1015" t="s">
        <v>4491</v>
      </c>
      <c r="G1015" t="s">
        <v>31</v>
      </c>
      <c r="H1015" t="s">
        <v>4491</v>
      </c>
      <c r="I1015" t="s">
        <v>4539</v>
      </c>
      <c r="J1015" t="s">
        <v>4499</v>
      </c>
      <c r="K1015" t="s">
        <v>4540</v>
      </c>
      <c r="L1015" t="s">
        <v>36</v>
      </c>
      <c r="M1015">
        <v>1992</v>
      </c>
      <c r="N1015" s="5">
        <f>ROUNDUP(Clean_Data[[#This Row],[Year_Num]]/100,0)</f>
        <v>20</v>
      </c>
      <c r="O1015" s="5" t="str" cm="1">
        <f t="array" ref="O1015">_xlfn.LET(_xlpm.y,Clean_Data[[#This Row],[Year_Num]],_xlfn.IFS(_xlpm.y&lt;500,"Ancient",_xlpm.y&lt;1500,"Medieval",_xlpm.y&lt;1800,"Early Modern",_xlpm.y&lt;1946,"Modern",TRUE,"Contemporary"))</f>
        <v>Contemporary</v>
      </c>
      <c r="P1015" s="5" t="str">
        <f>_xlfn.XLOOKUP(Clean_Data[[#This Row],[Country]],country_region[Country],country_region[Country_Standard],"Not found")</f>
        <v>Brazil</v>
      </c>
      <c r="Q1015" s="5" t="str">
        <f>_xlfn.XLOOKUP(Clean_Data[[#This Row],[Country]],country_region[Country],country_region[Region],"Not found")</f>
        <v>Latin America</v>
      </c>
      <c r="R1015" s="5" t="str">
        <f>_xlfn.XLOOKUP(Clean_Data[[#This Row],[Type of Event]],event_type_category[Type of Event],event_type_category[Category],"Not found")</f>
        <v>Politics &amp; Law</v>
      </c>
    </row>
    <row r="1016" spans="1:18">
      <c r="A1016">
        <v>1078</v>
      </c>
      <c r="B1016" t="s">
        <v>4541</v>
      </c>
      <c r="C1016" t="s">
        <v>46</v>
      </c>
      <c r="D1016" t="s">
        <v>211</v>
      </c>
      <c r="E1016" t="s">
        <v>1917</v>
      </c>
      <c r="F1016" t="s">
        <v>4491</v>
      </c>
      <c r="G1016" t="s">
        <v>1463</v>
      </c>
      <c r="H1016" t="s">
        <v>4491</v>
      </c>
      <c r="I1016" t="s">
        <v>4542</v>
      </c>
      <c r="J1016" t="s">
        <v>4520</v>
      </c>
      <c r="K1016" t="s">
        <v>4521</v>
      </c>
      <c r="L1016" t="s">
        <v>21</v>
      </c>
      <c r="M1016">
        <v>1994</v>
      </c>
      <c r="N1016" s="5">
        <f>ROUNDUP(Clean_Data[[#This Row],[Year_Num]]/100,0)</f>
        <v>20</v>
      </c>
      <c r="O1016" s="5" t="str" cm="1">
        <f t="array" ref="O1016">_xlfn.LET(_xlpm.y,Clean_Data[[#This Row],[Year_Num]],_xlfn.IFS(_xlpm.y&lt;500,"Ancient",_xlpm.y&lt;1500,"Medieval",_xlpm.y&lt;1800,"Early Modern",_xlpm.y&lt;1946,"Modern",TRUE,"Contemporary"))</f>
        <v>Contemporary</v>
      </c>
      <c r="P1016" s="5" t="str">
        <f>_xlfn.XLOOKUP(Clean_Data[[#This Row],[Country]],country_region[Country],country_region[Country_Standard],"Not found")</f>
        <v>Brazil</v>
      </c>
      <c r="Q1016" s="5" t="str">
        <f>_xlfn.XLOOKUP(Clean_Data[[#This Row],[Country]],country_region[Country],country_region[Region],"Not found")</f>
        <v>Latin America</v>
      </c>
      <c r="R1016" s="5" t="str">
        <f>_xlfn.XLOOKUP(Clean_Data[[#This Row],[Type of Event]],event_type_category[Type of Event],event_type_category[Category],"Not found")</f>
        <v>Economy &amp; Infrastructure</v>
      </c>
    </row>
    <row r="1017" spans="1:18">
      <c r="A1017">
        <v>1079</v>
      </c>
      <c r="B1017" t="s">
        <v>4543</v>
      </c>
      <c r="D1017" t="s">
        <v>100</v>
      </c>
      <c r="E1017" t="s">
        <v>893</v>
      </c>
      <c r="F1017" t="s">
        <v>4491</v>
      </c>
      <c r="G1017" t="s">
        <v>2942</v>
      </c>
      <c r="H1017" t="s">
        <v>4507</v>
      </c>
      <c r="I1017" t="s">
        <v>4544</v>
      </c>
      <c r="J1017" t="s">
        <v>753</v>
      </c>
      <c r="K1017" t="s">
        <v>4545</v>
      </c>
      <c r="L1017" t="s">
        <v>21</v>
      </c>
      <c r="M1017">
        <v>1992</v>
      </c>
      <c r="N1017" s="5">
        <f>ROUNDUP(Clean_Data[[#This Row],[Year_Num]]/100,0)</f>
        <v>20</v>
      </c>
      <c r="O1017" s="5" t="str" cm="1">
        <f t="array" ref="O1017">_xlfn.LET(_xlpm.y,Clean_Data[[#This Row],[Year_Num]],_xlfn.IFS(_xlpm.y&lt;500,"Ancient",_xlpm.y&lt;1500,"Medieval",_xlpm.y&lt;1800,"Early Modern",_xlpm.y&lt;1946,"Modern",TRUE,"Contemporary"))</f>
        <v>Contemporary</v>
      </c>
      <c r="P1017" s="5" t="str">
        <f>_xlfn.XLOOKUP(Clean_Data[[#This Row],[Country]],country_region[Country],country_region[Country_Standard],"Not found")</f>
        <v>Brazil</v>
      </c>
      <c r="Q1017" s="5" t="str">
        <f>_xlfn.XLOOKUP(Clean_Data[[#This Row],[Country]],country_region[Country],country_region[Region],"Not found")</f>
        <v>Latin America</v>
      </c>
      <c r="R1017" s="5" t="str">
        <f>_xlfn.XLOOKUP(Clean_Data[[#This Row],[Type of Event]],event_type_category[Type of Event],event_type_category[Category],"Not found")</f>
        <v>Society &amp; Health</v>
      </c>
    </row>
    <row r="1018" spans="1:18">
      <c r="A1018">
        <v>1080</v>
      </c>
      <c r="B1018" t="s">
        <v>4546</v>
      </c>
      <c r="C1018" t="s">
        <v>46</v>
      </c>
      <c r="D1018" t="s">
        <v>260</v>
      </c>
      <c r="E1018" t="s">
        <v>1409</v>
      </c>
      <c r="F1018" t="s">
        <v>4491</v>
      </c>
      <c r="G1018" t="s">
        <v>31</v>
      </c>
      <c r="H1018" t="s">
        <v>4491</v>
      </c>
      <c r="I1018" t="s">
        <v>4547</v>
      </c>
      <c r="J1018" t="s">
        <v>4499</v>
      </c>
      <c r="K1018" t="s">
        <v>4548</v>
      </c>
      <c r="L1018" t="s">
        <v>21</v>
      </c>
      <c r="M1018">
        <v>1995</v>
      </c>
      <c r="N1018" s="5">
        <f>ROUNDUP(Clean_Data[[#This Row],[Year_Num]]/100,0)</f>
        <v>20</v>
      </c>
      <c r="O1018" s="5" t="str" cm="1">
        <f t="array" ref="O1018">_xlfn.LET(_xlpm.y,Clean_Data[[#This Row],[Year_Num]],_xlfn.IFS(_xlpm.y&lt;500,"Ancient",_xlpm.y&lt;1500,"Medieval",_xlpm.y&lt;1800,"Early Modern",_xlpm.y&lt;1946,"Modern",TRUE,"Contemporary"))</f>
        <v>Contemporary</v>
      </c>
      <c r="P1018" s="5" t="str">
        <f>_xlfn.XLOOKUP(Clean_Data[[#This Row],[Country]],country_region[Country],country_region[Country_Standard],"Not found")</f>
        <v>Brazil</v>
      </c>
      <c r="Q1018" s="5" t="str">
        <f>_xlfn.XLOOKUP(Clean_Data[[#This Row],[Country]],country_region[Country],country_region[Region],"Not found")</f>
        <v>Latin America</v>
      </c>
      <c r="R1018" s="5" t="str">
        <f>_xlfn.XLOOKUP(Clean_Data[[#This Row],[Type of Event]],event_type_category[Type of Event],event_type_category[Category],"Not found")</f>
        <v>Politics &amp; Law</v>
      </c>
    </row>
    <row r="1019" spans="1:18">
      <c r="A1019">
        <v>1081</v>
      </c>
      <c r="B1019" t="s">
        <v>4549</v>
      </c>
      <c r="E1019" t="s">
        <v>144</v>
      </c>
      <c r="F1019" t="s">
        <v>4491</v>
      </c>
      <c r="G1019" t="s">
        <v>2892</v>
      </c>
      <c r="H1019" t="s">
        <v>4491</v>
      </c>
      <c r="I1019" t="s">
        <v>4550</v>
      </c>
      <c r="J1019" t="s">
        <v>4499</v>
      </c>
      <c r="K1019" t="s">
        <v>4551</v>
      </c>
      <c r="L1019" t="s">
        <v>54</v>
      </c>
      <c r="M1019">
        <v>2005</v>
      </c>
      <c r="N1019" s="5">
        <f>ROUNDUP(Clean_Data[[#This Row],[Year_Num]]/100,0)</f>
        <v>21</v>
      </c>
      <c r="O1019" s="5" t="str" cm="1">
        <f t="array" ref="O1019">_xlfn.LET(_xlpm.y,Clean_Data[[#This Row],[Year_Num]],_xlfn.IFS(_xlpm.y&lt;500,"Ancient",_xlpm.y&lt;1500,"Medieval",_xlpm.y&lt;1800,"Early Modern",_xlpm.y&lt;1946,"Modern",TRUE,"Contemporary"))</f>
        <v>Contemporary</v>
      </c>
      <c r="P1019" s="5" t="str">
        <f>_xlfn.XLOOKUP(Clean_Data[[#This Row],[Country]],country_region[Country],country_region[Country_Standard],"Not found")</f>
        <v>Brazil</v>
      </c>
      <c r="Q1019" s="5" t="str">
        <f>_xlfn.XLOOKUP(Clean_Data[[#This Row],[Country]],country_region[Country],country_region[Region],"Not found")</f>
        <v>Latin America</v>
      </c>
      <c r="R1019" s="5" t="str">
        <f>_xlfn.XLOOKUP(Clean_Data[[#This Row],[Type of Event]],event_type_category[Type of Event],event_type_category[Category],"Not found")</f>
        <v>Politics &amp; Law</v>
      </c>
    </row>
    <row r="1020" spans="1:18">
      <c r="A1020">
        <v>1082</v>
      </c>
      <c r="B1020" t="s">
        <v>4552</v>
      </c>
      <c r="C1020" t="s">
        <v>251</v>
      </c>
      <c r="D1020" t="s">
        <v>57</v>
      </c>
      <c r="E1020" t="s">
        <v>299</v>
      </c>
      <c r="F1020" t="s">
        <v>4491</v>
      </c>
      <c r="G1020" t="s">
        <v>31</v>
      </c>
      <c r="H1020" t="s">
        <v>4491</v>
      </c>
      <c r="I1020" t="s">
        <v>4553</v>
      </c>
      <c r="J1020" t="s">
        <v>4499</v>
      </c>
      <c r="L1020" t="s">
        <v>36</v>
      </c>
      <c r="M1020">
        <v>2016</v>
      </c>
      <c r="N1020" s="5">
        <f>ROUNDUP(Clean_Data[[#This Row],[Year_Num]]/100,0)</f>
        <v>21</v>
      </c>
      <c r="O1020" s="5" t="str" cm="1">
        <f t="array" ref="O1020">_xlfn.LET(_xlpm.y,Clean_Data[[#This Row],[Year_Num]],_xlfn.IFS(_xlpm.y&lt;500,"Ancient",_xlpm.y&lt;1500,"Medieval",_xlpm.y&lt;1800,"Early Modern",_xlpm.y&lt;1946,"Modern",TRUE,"Contemporary"))</f>
        <v>Contemporary</v>
      </c>
      <c r="P1020" s="5" t="str">
        <f>_xlfn.XLOOKUP(Clean_Data[[#This Row],[Country]],country_region[Country],country_region[Country_Standard],"Not found")</f>
        <v>Brazil</v>
      </c>
      <c r="Q1020" s="5" t="str">
        <f>_xlfn.XLOOKUP(Clean_Data[[#This Row],[Country]],country_region[Country],country_region[Region],"Not found")</f>
        <v>Latin America</v>
      </c>
      <c r="R1020" s="5" t="str">
        <f>_xlfn.XLOOKUP(Clean_Data[[#This Row],[Type of Event]],event_type_category[Type of Event],event_type_category[Category],"Not found")</f>
        <v>Politics &amp; Law</v>
      </c>
    </row>
    <row r="1021" spans="1:18">
      <c r="A1021">
        <v>1083</v>
      </c>
      <c r="B1021" t="s">
        <v>4554</v>
      </c>
      <c r="E1021" t="s">
        <v>341</v>
      </c>
      <c r="F1021" t="s">
        <v>4491</v>
      </c>
      <c r="G1021" t="s">
        <v>3443</v>
      </c>
      <c r="H1021" t="s">
        <v>4491</v>
      </c>
      <c r="I1021" t="s">
        <v>4555</v>
      </c>
      <c r="J1021" t="s">
        <v>4499</v>
      </c>
      <c r="L1021" t="s">
        <v>54</v>
      </c>
      <c r="M1021">
        <v>2015</v>
      </c>
      <c r="N1021" s="5">
        <f>ROUNDUP(Clean_Data[[#This Row],[Year_Num]]/100,0)</f>
        <v>21</v>
      </c>
      <c r="O1021" s="5" t="str" cm="1">
        <f t="array" ref="O1021">_xlfn.LET(_xlpm.y,Clean_Data[[#This Row],[Year_Num]],_xlfn.IFS(_xlpm.y&lt;500,"Ancient",_xlpm.y&lt;1500,"Medieval",_xlpm.y&lt;1800,"Early Modern",_xlpm.y&lt;1946,"Modern",TRUE,"Contemporary"))</f>
        <v>Contemporary</v>
      </c>
      <c r="P1021" s="5" t="str">
        <f>_xlfn.XLOOKUP(Clean_Data[[#This Row],[Country]],country_region[Country],country_region[Country_Standard],"Not found")</f>
        <v>Brazil</v>
      </c>
      <c r="Q1021" s="5" t="str">
        <f>_xlfn.XLOOKUP(Clean_Data[[#This Row],[Country]],country_region[Country],country_region[Region],"Not found")</f>
        <v>Latin America</v>
      </c>
      <c r="R1021" s="5" t="str">
        <f>_xlfn.XLOOKUP(Clean_Data[[#This Row],[Type of Event]],event_type_category[Type of Event],event_type_category[Category],"Not found")</f>
        <v>Society &amp; Health</v>
      </c>
    </row>
    <row r="1022" spans="1:18">
      <c r="A1022">
        <v>1084</v>
      </c>
      <c r="B1022" t="s">
        <v>4556</v>
      </c>
      <c r="E1022" t="s">
        <v>287</v>
      </c>
      <c r="F1022" t="s">
        <v>4491</v>
      </c>
      <c r="G1022" t="s">
        <v>3763</v>
      </c>
      <c r="H1022" t="s">
        <v>4491</v>
      </c>
      <c r="I1022" t="s">
        <v>4557</v>
      </c>
      <c r="J1022" t="s">
        <v>4499</v>
      </c>
      <c r="K1022" t="s">
        <v>4558</v>
      </c>
      <c r="L1022" t="s">
        <v>36</v>
      </c>
      <c r="M1022">
        <v>2014</v>
      </c>
      <c r="N1022" s="5">
        <f>ROUNDUP(Clean_Data[[#This Row],[Year_Num]]/100,0)</f>
        <v>21</v>
      </c>
      <c r="O1022" s="5" t="str" cm="1">
        <f t="array" ref="O1022">_xlfn.LET(_xlpm.y,Clean_Data[[#This Row],[Year_Num]],_xlfn.IFS(_xlpm.y&lt;500,"Ancient",_xlpm.y&lt;1500,"Medieval",_xlpm.y&lt;1800,"Early Modern",_xlpm.y&lt;1946,"Modern",TRUE,"Contemporary"))</f>
        <v>Contemporary</v>
      </c>
      <c r="P1022" s="5" t="str">
        <f>_xlfn.XLOOKUP(Clean_Data[[#This Row],[Country]],country_region[Country],country_region[Country_Standard],"Not found")</f>
        <v>Brazil</v>
      </c>
      <c r="Q1022" s="5" t="str">
        <f>_xlfn.XLOOKUP(Clean_Data[[#This Row],[Country]],country_region[Country],country_region[Region],"Not found")</f>
        <v>Latin America</v>
      </c>
      <c r="R1022" s="5" t="str">
        <f>_xlfn.XLOOKUP(Clean_Data[[#This Row],[Type of Event]],event_type_category[Type of Event],event_type_category[Category],"Not found")</f>
        <v>Politics &amp; Law</v>
      </c>
    </row>
    <row r="1023" spans="1:18">
      <c r="A1023">
        <v>1085</v>
      </c>
      <c r="B1023" t="s">
        <v>4559</v>
      </c>
      <c r="D1023" t="s">
        <v>57</v>
      </c>
      <c r="E1023" t="s">
        <v>235</v>
      </c>
      <c r="F1023" t="s">
        <v>4491</v>
      </c>
      <c r="G1023" t="s">
        <v>2942</v>
      </c>
      <c r="H1023" t="s">
        <v>4560</v>
      </c>
      <c r="I1023" t="s">
        <v>4561</v>
      </c>
      <c r="J1023" t="s">
        <v>4562</v>
      </c>
      <c r="K1023" t="s">
        <v>4563</v>
      </c>
      <c r="L1023" t="s">
        <v>54</v>
      </c>
      <c r="M1023">
        <v>2019</v>
      </c>
      <c r="N1023" s="5">
        <f>ROUNDUP(Clean_Data[[#This Row],[Year_Num]]/100,0)</f>
        <v>21</v>
      </c>
      <c r="O1023" s="5" t="str" cm="1">
        <f t="array" ref="O1023">_xlfn.LET(_xlpm.y,Clean_Data[[#This Row],[Year_Num]],_xlfn.IFS(_xlpm.y&lt;500,"Ancient",_xlpm.y&lt;1500,"Medieval",_xlpm.y&lt;1800,"Early Modern",_xlpm.y&lt;1946,"Modern",TRUE,"Contemporary"))</f>
        <v>Contemporary</v>
      </c>
      <c r="P1023" s="5" t="str">
        <f>_xlfn.XLOOKUP(Clean_Data[[#This Row],[Country]],country_region[Country],country_region[Country_Standard],"Not found")</f>
        <v>Brazil</v>
      </c>
      <c r="Q1023" s="5" t="str">
        <f>_xlfn.XLOOKUP(Clean_Data[[#This Row],[Country]],country_region[Country],country_region[Region],"Not found")</f>
        <v>Latin America</v>
      </c>
      <c r="R1023" s="5" t="str">
        <f>_xlfn.XLOOKUP(Clean_Data[[#This Row],[Type of Event]],event_type_category[Type of Event],event_type_category[Category],"Not found")</f>
        <v>Society &amp; Health</v>
      </c>
    </row>
    <row r="1024" spans="1:18">
      <c r="A1024">
        <v>1086</v>
      </c>
      <c r="B1024" t="s">
        <v>4564</v>
      </c>
      <c r="C1024" t="s">
        <v>46</v>
      </c>
      <c r="D1024" t="s">
        <v>260</v>
      </c>
      <c r="E1024" t="s">
        <v>235</v>
      </c>
      <c r="F1024" t="s">
        <v>4491</v>
      </c>
      <c r="G1024" t="s">
        <v>31</v>
      </c>
      <c r="H1024" t="s">
        <v>4491</v>
      </c>
      <c r="I1024" t="s">
        <v>4565</v>
      </c>
      <c r="J1024" t="s">
        <v>4499</v>
      </c>
      <c r="K1024" t="s">
        <v>4566</v>
      </c>
      <c r="L1024" t="s">
        <v>36</v>
      </c>
      <c r="M1024">
        <v>2019</v>
      </c>
      <c r="N1024" s="5">
        <f>ROUNDUP(Clean_Data[[#This Row],[Year_Num]]/100,0)</f>
        <v>21</v>
      </c>
      <c r="O1024" s="5" t="str" cm="1">
        <f t="array" ref="O1024">_xlfn.LET(_xlpm.y,Clean_Data[[#This Row],[Year_Num]],_xlfn.IFS(_xlpm.y&lt;500,"Ancient",_xlpm.y&lt;1500,"Medieval",_xlpm.y&lt;1800,"Early Modern",_xlpm.y&lt;1946,"Modern",TRUE,"Contemporary"))</f>
        <v>Contemporary</v>
      </c>
      <c r="P1024" s="5" t="str">
        <f>_xlfn.XLOOKUP(Clean_Data[[#This Row],[Country]],country_region[Country],country_region[Country_Standard],"Not found")</f>
        <v>Brazil</v>
      </c>
      <c r="Q1024" s="5" t="str">
        <f>_xlfn.XLOOKUP(Clean_Data[[#This Row],[Country]],country_region[Country],country_region[Region],"Not found")</f>
        <v>Latin America</v>
      </c>
      <c r="R1024" s="5" t="str">
        <f>_xlfn.XLOOKUP(Clean_Data[[#This Row],[Type of Event]],event_type_category[Type of Event],event_type_category[Category],"Not found")</f>
        <v>Politics &amp; Law</v>
      </c>
    </row>
    <row r="1025" spans="1:18">
      <c r="A1025">
        <v>1087</v>
      </c>
      <c r="B1025" t="s">
        <v>4567</v>
      </c>
      <c r="E1025" t="s">
        <v>4568</v>
      </c>
      <c r="F1025" t="s">
        <v>4569</v>
      </c>
      <c r="G1025" t="s">
        <v>31</v>
      </c>
      <c r="H1025" t="s">
        <v>4569</v>
      </c>
      <c r="I1025" t="s">
        <v>3568</v>
      </c>
      <c r="J1025" t="s">
        <v>4570</v>
      </c>
      <c r="K1025" t="s">
        <v>4571</v>
      </c>
      <c r="L1025" t="s">
        <v>21</v>
      </c>
      <c r="M1025">
        <v>962</v>
      </c>
      <c r="N1025" s="5">
        <f>ROUNDUP(Clean_Data[[#This Row],[Year_Num]]/100,0)</f>
        <v>10</v>
      </c>
      <c r="O1025" s="5" t="str" cm="1">
        <f t="array" ref="O1025">_xlfn.LET(_xlpm.y,Clean_Data[[#This Row],[Year_Num]],_xlfn.IFS(_xlpm.y&lt;500,"Ancient",_xlpm.y&lt;1500,"Medieval",_xlpm.y&lt;1800,"Early Modern",_xlpm.y&lt;1946,"Modern",TRUE,"Contemporary"))</f>
        <v>Medieval</v>
      </c>
      <c r="P1025" s="5" t="str">
        <f>_xlfn.XLOOKUP(Clean_Data[[#This Row],[Country]],country_region[Country],country_region[Country_Standard],"Not found")</f>
        <v>Germany</v>
      </c>
      <c r="Q1025" s="5" t="str">
        <f>_xlfn.XLOOKUP(Clean_Data[[#This Row],[Country]],country_region[Country],country_region[Region],"Not found")</f>
        <v>Europe</v>
      </c>
      <c r="R1025" s="5" t="str">
        <f>_xlfn.XLOOKUP(Clean_Data[[#This Row],[Type of Event]],event_type_category[Type of Event],event_type_category[Category],"Not found")</f>
        <v>Politics &amp; Law</v>
      </c>
    </row>
    <row r="1026" spans="1:18">
      <c r="A1026">
        <v>1088</v>
      </c>
      <c r="B1026" t="s">
        <v>4572</v>
      </c>
      <c r="E1026" t="s">
        <v>4573</v>
      </c>
      <c r="F1026" t="s">
        <v>4569</v>
      </c>
      <c r="G1026" t="s">
        <v>3855</v>
      </c>
      <c r="H1026" t="s">
        <v>4569</v>
      </c>
      <c r="I1026" t="s">
        <v>4574</v>
      </c>
      <c r="J1026" t="s">
        <v>3555</v>
      </c>
      <c r="K1026" t="s">
        <v>3600</v>
      </c>
      <c r="L1026" t="s">
        <v>36</v>
      </c>
      <c r="M1026">
        <v>1075</v>
      </c>
      <c r="N1026" s="5">
        <f>ROUNDUP(Clean_Data[[#This Row],[Year_Num]]/100,0)</f>
        <v>11</v>
      </c>
      <c r="O1026" s="5" t="str" cm="1">
        <f t="array" ref="O1026">_xlfn.LET(_xlpm.y,Clean_Data[[#This Row],[Year_Num]],_xlfn.IFS(_xlpm.y&lt;500,"Ancient",_xlpm.y&lt;1500,"Medieval",_xlpm.y&lt;1800,"Early Modern",_xlpm.y&lt;1946,"Modern",TRUE,"Contemporary"))</f>
        <v>Medieval</v>
      </c>
      <c r="P1026" s="5" t="str">
        <f>_xlfn.XLOOKUP(Clean_Data[[#This Row],[Country]],country_region[Country],country_region[Country_Standard],"Not found")</f>
        <v>Germany</v>
      </c>
      <c r="Q1026" s="5" t="str">
        <f>_xlfn.XLOOKUP(Clean_Data[[#This Row],[Country]],country_region[Country],country_region[Region],"Not found")</f>
        <v>Europe</v>
      </c>
      <c r="R1026" s="5" t="str">
        <f>_xlfn.XLOOKUP(Clean_Data[[#This Row],[Type of Event]],event_type_category[Type of Event],event_type_category[Category],"Not found")</f>
        <v>Culture, Religion &amp; Sport</v>
      </c>
    </row>
    <row r="1027" spans="1:18">
      <c r="A1027">
        <v>1089</v>
      </c>
      <c r="B1027" t="s">
        <v>4575</v>
      </c>
      <c r="E1027" t="s">
        <v>4576</v>
      </c>
      <c r="F1027" t="s">
        <v>4569</v>
      </c>
      <c r="G1027" t="s">
        <v>4031</v>
      </c>
      <c r="H1027" t="s">
        <v>3072</v>
      </c>
      <c r="I1027" t="s">
        <v>4577</v>
      </c>
      <c r="J1027" t="s">
        <v>3649</v>
      </c>
      <c r="L1027" t="s">
        <v>54</v>
      </c>
      <c r="M1027">
        <v>1347</v>
      </c>
      <c r="N1027" s="5">
        <f>ROUNDUP(Clean_Data[[#This Row],[Year_Num]]/100,0)</f>
        <v>14</v>
      </c>
      <c r="O1027" s="5" t="str" cm="1">
        <f t="array" ref="O1027">_xlfn.LET(_xlpm.y,Clean_Data[[#This Row],[Year_Num]],_xlfn.IFS(_xlpm.y&lt;500,"Ancient",_xlpm.y&lt;1500,"Medieval",_xlpm.y&lt;1800,"Early Modern",_xlpm.y&lt;1946,"Modern",TRUE,"Contemporary"))</f>
        <v>Medieval</v>
      </c>
      <c r="P1027" s="5" t="str">
        <f>_xlfn.XLOOKUP(Clean_Data[[#This Row],[Country]],country_region[Country],country_region[Country_Standard],"Not found")</f>
        <v>Germany</v>
      </c>
      <c r="Q1027" s="5" t="str">
        <f>_xlfn.XLOOKUP(Clean_Data[[#This Row],[Country]],country_region[Country],country_region[Region],"Not found")</f>
        <v>Europe</v>
      </c>
      <c r="R1027" s="5" t="str">
        <f>_xlfn.XLOOKUP(Clean_Data[[#This Row],[Type of Event]],event_type_category[Type of Event],event_type_category[Category],"Not found")</f>
        <v>Society &amp; Health</v>
      </c>
    </row>
    <row r="1028" spans="1:18">
      <c r="A1028">
        <v>1090</v>
      </c>
      <c r="B1028" t="s">
        <v>4578</v>
      </c>
      <c r="C1028" t="s">
        <v>251</v>
      </c>
      <c r="D1028" t="s">
        <v>158</v>
      </c>
      <c r="E1028" t="s">
        <v>4579</v>
      </c>
      <c r="F1028" t="s">
        <v>4569</v>
      </c>
      <c r="G1028" t="s">
        <v>4010</v>
      </c>
      <c r="H1028" t="s">
        <v>4580</v>
      </c>
      <c r="I1028" t="s">
        <v>4581</v>
      </c>
      <c r="J1028" t="s">
        <v>4582</v>
      </c>
      <c r="K1028" t="s">
        <v>4583</v>
      </c>
      <c r="L1028" t="s">
        <v>36</v>
      </c>
      <c r="M1028">
        <v>1517</v>
      </c>
      <c r="N1028" s="5">
        <f>ROUNDUP(Clean_Data[[#This Row],[Year_Num]]/100,0)</f>
        <v>16</v>
      </c>
      <c r="O1028" s="5" t="str" cm="1">
        <f t="array" ref="O1028">_xlfn.LET(_xlpm.y,Clean_Data[[#This Row],[Year_Num]],_xlfn.IFS(_xlpm.y&lt;500,"Ancient",_xlpm.y&lt;1500,"Medieval",_xlpm.y&lt;1800,"Early Modern",_xlpm.y&lt;1946,"Modern",TRUE,"Contemporary"))</f>
        <v>Early Modern</v>
      </c>
      <c r="P1028" s="5" t="str">
        <f>_xlfn.XLOOKUP(Clean_Data[[#This Row],[Country]],country_region[Country],country_region[Country_Standard],"Not found")</f>
        <v>Germany</v>
      </c>
      <c r="Q1028" s="5" t="str">
        <f>_xlfn.XLOOKUP(Clean_Data[[#This Row],[Country]],country_region[Country],country_region[Region],"Not found")</f>
        <v>Europe</v>
      </c>
      <c r="R1028" s="5" t="str">
        <f>_xlfn.XLOOKUP(Clean_Data[[#This Row],[Type of Event]],event_type_category[Type of Event],event_type_category[Category],"Not found")</f>
        <v>Culture, Religion &amp; Sport</v>
      </c>
    </row>
    <row r="1029" spans="1:18">
      <c r="A1029">
        <v>1091</v>
      </c>
      <c r="B1029" t="s">
        <v>4584</v>
      </c>
      <c r="C1029" t="s">
        <v>200</v>
      </c>
      <c r="D1029" t="s">
        <v>286</v>
      </c>
      <c r="E1029" t="s">
        <v>4585</v>
      </c>
      <c r="F1029" t="s">
        <v>4569</v>
      </c>
      <c r="G1029" t="s">
        <v>31</v>
      </c>
      <c r="H1029" t="s">
        <v>4586</v>
      </c>
      <c r="I1029" t="s">
        <v>4587</v>
      </c>
      <c r="J1029" t="s">
        <v>4588</v>
      </c>
      <c r="L1029" t="s">
        <v>21</v>
      </c>
      <c r="M1029">
        <v>1555</v>
      </c>
      <c r="N1029" s="5">
        <f>ROUNDUP(Clean_Data[[#This Row],[Year_Num]]/100,0)</f>
        <v>16</v>
      </c>
      <c r="O1029" s="5" t="str" cm="1">
        <f t="array" ref="O1029">_xlfn.LET(_xlpm.y,Clean_Data[[#This Row],[Year_Num]],_xlfn.IFS(_xlpm.y&lt;500,"Ancient",_xlpm.y&lt;1500,"Medieval",_xlpm.y&lt;1800,"Early Modern",_xlpm.y&lt;1946,"Modern",TRUE,"Contemporary"))</f>
        <v>Early Modern</v>
      </c>
      <c r="P1029" s="5" t="str">
        <f>_xlfn.XLOOKUP(Clean_Data[[#This Row],[Country]],country_region[Country],country_region[Country_Standard],"Not found")</f>
        <v>Germany</v>
      </c>
      <c r="Q1029" s="5" t="str">
        <f>_xlfn.XLOOKUP(Clean_Data[[#This Row],[Country]],country_region[Country],country_region[Region],"Not found")</f>
        <v>Europe</v>
      </c>
      <c r="R1029" s="5" t="str">
        <f>_xlfn.XLOOKUP(Clean_Data[[#This Row],[Type of Event]],event_type_category[Type of Event],event_type_category[Category],"Not found")</f>
        <v>Politics &amp; Law</v>
      </c>
    </row>
    <row r="1030" spans="1:18">
      <c r="A1030">
        <v>1092</v>
      </c>
      <c r="B1030" t="s">
        <v>4589</v>
      </c>
      <c r="D1030" t="s">
        <v>47</v>
      </c>
      <c r="E1030" t="s">
        <v>4590</v>
      </c>
      <c r="F1030" t="s">
        <v>4569</v>
      </c>
      <c r="G1030" t="s">
        <v>31</v>
      </c>
      <c r="H1030" t="s">
        <v>4591</v>
      </c>
      <c r="I1030" t="s">
        <v>4592</v>
      </c>
      <c r="J1030" t="s">
        <v>4593</v>
      </c>
      <c r="K1030" t="s">
        <v>4594</v>
      </c>
      <c r="L1030" t="s">
        <v>54</v>
      </c>
      <c r="M1030">
        <v>1618</v>
      </c>
      <c r="N1030" s="5">
        <f>ROUNDUP(Clean_Data[[#This Row],[Year_Num]]/100,0)</f>
        <v>17</v>
      </c>
      <c r="O1030" s="5" t="str" cm="1">
        <f t="array" ref="O1030">_xlfn.LET(_xlpm.y,Clean_Data[[#This Row],[Year_Num]],_xlfn.IFS(_xlpm.y&lt;500,"Ancient",_xlpm.y&lt;1500,"Medieval",_xlpm.y&lt;1800,"Early Modern",_xlpm.y&lt;1946,"Modern",TRUE,"Contemporary"))</f>
        <v>Early Modern</v>
      </c>
      <c r="P1030" s="5" t="str">
        <f>_xlfn.XLOOKUP(Clean_Data[[#This Row],[Country]],country_region[Country],country_region[Country_Standard],"Not found")</f>
        <v>Germany</v>
      </c>
      <c r="Q1030" s="5" t="str">
        <f>_xlfn.XLOOKUP(Clean_Data[[#This Row],[Country]],country_region[Country],country_region[Region],"Not found")</f>
        <v>Europe</v>
      </c>
      <c r="R1030" s="5" t="str">
        <f>_xlfn.XLOOKUP(Clean_Data[[#This Row],[Type of Event]],event_type_category[Type of Event],event_type_category[Category],"Not found")</f>
        <v>Politics &amp; Law</v>
      </c>
    </row>
    <row r="1031" spans="1:18">
      <c r="A1031">
        <v>1093</v>
      </c>
      <c r="B1031" t="s">
        <v>4595</v>
      </c>
      <c r="D1031" t="s">
        <v>158</v>
      </c>
      <c r="E1031" t="s">
        <v>4596</v>
      </c>
      <c r="F1031" t="s">
        <v>4569</v>
      </c>
      <c r="G1031" t="s">
        <v>31</v>
      </c>
      <c r="H1031" t="s">
        <v>4597</v>
      </c>
      <c r="I1031" t="s">
        <v>4598</v>
      </c>
      <c r="J1031" t="s">
        <v>3649</v>
      </c>
      <c r="K1031" t="s">
        <v>4599</v>
      </c>
      <c r="L1031" t="s">
        <v>21</v>
      </c>
      <c r="M1031">
        <v>1648</v>
      </c>
      <c r="N1031" s="5">
        <f>ROUNDUP(Clean_Data[[#This Row],[Year_Num]]/100,0)</f>
        <v>17</v>
      </c>
      <c r="O1031" s="5" t="str" cm="1">
        <f t="array" ref="O1031">_xlfn.LET(_xlpm.y,Clean_Data[[#This Row],[Year_Num]],_xlfn.IFS(_xlpm.y&lt;500,"Ancient",_xlpm.y&lt;1500,"Medieval",_xlpm.y&lt;1800,"Early Modern",_xlpm.y&lt;1946,"Modern",TRUE,"Contemporary"))</f>
        <v>Early Modern</v>
      </c>
      <c r="P1031" s="5" t="str">
        <f>_xlfn.XLOOKUP(Clean_Data[[#This Row],[Country]],country_region[Country],country_region[Country_Standard],"Not found")</f>
        <v>Germany</v>
      </c>
      <c r="Q1031" s="5" t="str">
        <f>_xlfn.XLOOKUP(Clean_Data[[#This Row],[Country]],country_region[Country],country_region[Region],"Not found")</f>
        <v>Europe</v>
      </c>
      <c r="R1031" s="5" t="str">
        <f>_xlfn.XLOOKUP(Clean_Data[[#This Row],[Type of Event]],event_type_category[Type of Event],event_type_category[Category],"Not found")</f>
        <v>Politics &amp; Law</v>
      </c>
    </row>
    <row r="1032" spans="1:18">
      <c r="A1032">
        <v>1094</v>
      </c>
      <c r="B1032" t="s">
        <v>4600</v>
      </c>
      <c r="D1032" t="s">
        <v>260</v>
      </c>
      <c r="E1032" t="s">
        <v>3815</v>
      </c>
      <c r="F1032" t="s">
        <v>4569</v>
      </c>
      <c r="G1032" t="s">
        <v>31</v>
      </c>
      <c r="H1032" t="s">
        <v>4601</v>
      </c>
      <c r="I1032" t="s">
        <v>4602</v>
      </c>
      <c r="J1032" t="s">
        <v>3649</v>
      </c>
      <c r="K1032" t="s">
        <v>4603</v>
      </c>
      <c r="L1032" t="s">
        <v>21</v>
      </c>
      <c r="M1032">
        <v>1701</v>
      </c>
      <c r="N1032" s="5">
        <f>ROUNDUP(Clean_Data[[#This Row],[Year_Num]]/100,0)</f>
        <v>18</v>
      </c>
      <c r="O1032" s="5" t="str" cm="1">
        <f t="array" ref="O1032">_xlfn.LET(_xlpm.y,Clean_Data[[#This Row],[Year_Num]],_xlfn.IFS(_xlpm.y&lt;500,"Ancient",_xlpm.y&lt;1500,"Medieval",_xlpm.y&lt;1800,"Early Modern",_xlpm.y&lt;1946,"Modern",TRUE,"Contemporary"))</f>
        <v>Early Modern</v>
      </c>
      <c r="P1032" s="5" t="str">
        <f>_xlfn.XLOOKUP(Clean_Data[[#This Row],[Country]],country_region[Country],country_region[Country_Standard],"Not found")</f>
        <v>Germany</v>
      </c>
      <c r="Q1032" s="5" t="str">
        <f>_xlfn.XLOOKUP(Clean_Data[[#This Row],[Country]],country_region[Country],country_region[Region],"Not found")</f>
        <v>Europe</v>
      </c>
      <c r="R1032" s="5" t="str">
        <f>_xlfn.XLOOKUP(Clean_Data[[#This Row],[Type of Event]],event_type_category[Type of Event],event_type_category[Category],"Not found")</f>
        <v>Politics &amp; Law</v>
      </c>
    </row>
    <row r="1033" spans="1:18">
      <c r="A1033">
        <v>1095</v>
      </c>
      <c r="B1033" t="s">
        <v>4604</v>
      </c>
      <c r="E1033" t="s">
        <v>4605</v>
      </c>
      <c r="F1033" t="s">
        <v>4569</v>
      </c>
      <c r="G1033" t="s">
        <v>356</v>
      </c>
      <c r="H1033" t="s">
        <v>3072</v>
      </c>
      <c r="I1033" t="s">
        <v>4606</v>
      </c>
      <c r="J1033" t="s">
        <v>4607</v>
      </c>
      <c r="K1033" t="s">
        <v>4608</v>
      </c>
      <c r="L1033" t="s">
        <v>54</v>
      </c>
      <c r="M1033">
        <v>1756</v>
      </c>
      <c r="N1033" s="5">
        <f>ROUNDUP(Clean_Data[[#This Row],[Year_Num]]/100,0)</f>
        <v>18</v>
      </c>
      <c r="O1033" s="5" t="str" cm="1">
        <f t="array" ref="O1033">_xlfn.LET(_xlpm.y,Clean_Data[[#This Row],[Year_Num]],_xlfn.IFS(_xlpm.y&lt;500,"Ancient",_xlpm.y&lt;1500,"Medieval",_xlpm.y&lt;1800,"Early Modern",_xlpm.y&lt;1946,"Modern",TRUE,"Contemporary"))</f>
        <v>Early Modern</v>
      </c>
      <c r="P1033" s="5" t="str">
        <f>_xlfn.XLOOKUP(Clean_Data[[#This Row],[Country]],country_region[Country],country_region[Country_Standard],"Not found")</f>
        <v>Germany</v>
      </c>
      <c r="Q1033" s="5" t="str">
        <f>_xlfn.XLOOKUP(Clean_Data[[#This Row],[Country]],country_region[Country],country_region[Region],"Not found")</f>
        <v>Europe</v>
      </c>
      <c r="R1033" s="5" t="str">
        <f>_xlfn.XLOOKUP(Clean_Data[[#This Row],[Type of Event]],event_type_category[Type of Event],event_type_category[Category],"Not found")</f>
        <v>War &amp; Conflict</v>
      </c>
    </row>
    <row r="1034" spans="1:18">
      <c r="A1034">
        <v>1096</v>
      </c>
      <c r="B1034" t="s">
        <v>4609</v>
      </c>
      <c r="E1034" t="s">
        <v>4610</v>
      </c>
      <c r="F1034" t="s">
        <v>4569</v>
      </c>
      <c r="G1034" t="s">
        <v>31</v>
      </c>
      <c r="H1034" t="s">
        <v>4611</v>
      </c>
      <c r="I1034" t="s">
        <v>4612</v>
      </c>
      <c r="J1034" t="s">
        <v>4613</v>
      </c>
      <c r="K1034" t="s">
        <v>4614</v>
      </c>
      <c r="L1034" t="s">
        <v>54</v>
      </c>
      <c r="M1034">
        <v>1772</v>
      </c>
      <c r="N1034" s="5">
        <f>ROUNDUP(Clean_Data[[#This Row],[Year_Num]]/100,0)</f>
        <v>18</v>
      </c>
      <c r="O1034" s="5" t="str" cm="1">
        <f t="array" ref="O1034">_xlfn.LET(_xlpm.y,Clean_Data[[#This Row],[Year_Num]],_xlfn.IFS(_xlpm.y&lt;500,"Ancient",_xlpm.y&lt;1500,"Medieval",_xlpm.y&lt;1800,"Early Modern",_xlpm.y&lt;1946,"Modern",TRUE,"Contemporary"))</f>
        <v>Early Modern</v>
      </c>
      <c r="P1034" s="5" t="str">
        <f>_xlfn.XLOOKUP(Clean_Data[[#This Row],[Country]],country_region[Country],country_region[Country_Standard],"Not found")</f>
        <v>Germany</v>
      </c>
      <c r="Q1034" s="5" t="str">
        <f>_xlfn.XLOOKUP(Clean_Data[[#This Row],[Country]],country_region[Country],country_region[Region],"Not found")</f>
        <v>Europe</v>
      </c>
      <c r="R1034" s="5" t="str">
        <f>_xlfn.XLOOKUP(Clean_Data[[#This Row],[Type of Event]],event_type_category[Type of Event],event_type_category[Category],"Not found")</f>
        <v>Politics &amp; Law</v>
      </c>
    </row>
    <row r="1035" spans="1:18">
      <c r="A1035">
        <v>1097</v>
      </c>
      <c r="B1035" t="s">
        <v>4615</v>
      </c>
      <c r="D1035" t="s">
        <v>158</v>
      </c>
      <c r="E1035" t="s">
        <v>4616</v>
      </c>
      <c r="F1035" t="s">
        <v>4569</v>
      </c>
      <c r="G1035" t="s">
        <v>356</v>
      </c>
      <c r="H1035" t="s">
        <v>4617</v>
      </c>
      <c r="I1035" t="s">
        <v>4618</v>
      </c>
      <c r="J1035" t="s">
        <v>4588</v>
      </c>
      <c r="K1035" t="s">
        <v>4619</v>
      </c>
      <c r="L1035" t="s">
        <v>54</v>
      </c>
      <c r="M1035">
        <v>1813</v>
      </c>
      <c r="N1035" s="5">
        <f>ROUNDUP(Clean_Data[[#This Row],[Year_Num]]/100,0)</f>
        <v>19</v>
      </c>
      <c r="O1035" s="5" t="str" cm="1">
        <f t="array" ref="O1035">_xlfn.LET(_xlpm.y,Clean_Data[[#This Row],[Year_Num]],_xlfn.IFS(_xlpm.y&lt;500,"Ancient",_xlpm.y&lt;1500,"Medieval",_xlpm.y&lt;1800,"Early Modern",_xlpm.y&lt;1946,"Modern",TRUE,"Contemporary"))</f>
        <v>Modern</v>
      </c>
      <c r="P1035" s="5" t="str">
        <f>_xlfn.XLOOKUP(Clean_Data[[#This Row],[Country]],country_region[Country],country_region[Country_Standard],"Not found")</f>
        <v>Germany</v>
      </c>
      <c r="Q1035" s="5" t="str">
        <f>_xlfn.XLOOKUP(Clean_Data[[#This Row],[Country]],country_region[Country],country_region[Region],"Not found")</f>
        <v>Europe</v>
      </c>
      <c r="R1035" s="5" t="str">
        <f>_xlfn.XLOOKUP(Clean_Data[[#This Row],[Type of Event]],event_type_category[Type of Event],event_type_category[Category],"Not found")</f>
        <v>War &amp; Conflict</v>
      </c>
    </row>
    <row r="1036" spans="1:18">
      <c r="A1036">
        <v>1098</v>
      </c>
      <c r="B1036" t="s">
        <v>4620</v>
      </c>
      <c r="D1036" t="s">
        <v>286</v>
      </c>
      <c r="E1036" t="s">
        <v>4046</v>
      </c>
      <c r="F1036" t="s">
        <v>4569</v>
      </c>
      <c r="G1036" t="s">
        <v>31</v>
      </c>
      <c r="H1036" t="s">
        <v>4621</v>
      </c>
      <c r="I1036" t="s">
        <v>4622</v>
      </c>
      <c r="J1036" t="s">
        <v>4623</v>
      </c>
      <c r="K1036" t="s">
        <v>3728</v>
      </c>
      <c r="L1036" t="s">
        <v>36</v>
      </c>
      <c r="M1036">
        <v>1814</v>
      </c>
      <c r="N1036" s="5">
        <f>ROUNDUP(Clean_Data[[#This Row],[Year_Num]]/100,0)</f>
        <v>19</v>
      </c>
      <c r="O1036" s="5" t="str" cm="1">
        <f t="array" ref="O1036">_xlfn.LET(_xlpm.y,Clean_Data[[#This Row],[Year_Num]],_xlfn.IFS(_xlpm.y&lt;500,"Ancient",_xlpm.y&lt;1500,"Medieval",_xlpm.y&lt;1800,"Early Modern",_xlpm.y&lt;1946,"Modern",TRUE,"Contemporary"))</f>
        <v>Modern</v>
      </c>
      <c r="P1036" s="5" t="str">
        <f>_xlfn.XLOOKUP(Clean_Data[[#This Row],[Country]],country_region[Country],country_region[Country_Standard],"Not found")</f>
        <v>Germany</v>
      </c>
      <c r="Q1036" s="5" t="str">
        <f>_xlfn.XLOOKUP(Clean_Data[[#This Row],[Country]],country_region[Country],country_region[Region],"Not found")</f>
        <v>Europe</v>
      </c>
      <c r="R1036" s="5" t="str">
        <f>_xlfn.XLOOKUP(Clean_Data[[#This Row],[Type of Event]],event_type_category[Type of Event],event_type_category[Category],"Not found")</f>
        <v>Politics &amp; Law</v>
      </c>
    </row>
    <row r="1037" spans="1:18">
      <c r="A1037">
        <v>1099</v>
      </c>
      <c r="B1037" t="s">
        <v>4624</v>
      </c>
      <c r="E1037" t="s">
        <v>3020</v>
      </c>
      <c r="F1037" t="s">
        <v>4569</v>
      </c>
      <c r="G1037" t="s">
        <v>4625</v>
      </c>
      <c r="H1037" t="s">
        <v>4588</v>
      </c>
      <c r="I1037" t="s">
        <v>4626</v>
      </c>
      <c r="J1037" t="s">
        <v>4607</v>
      </c>
      <c r="K1037" t="s">
        <v>4627</v>
      </c>
      <c r="L1037" t="s">
        <v>36</v>
      </c>
      <c r="M1037">
        <v>1848</v>
      </c>
      <c r="N1037" s="5">
        <f>ROUNDUP(Clean_Data[[#This Row],[Year_Num]]/100,0)</f>
        <v>19</v>
      </c>
      <c r="O1037" s="5" t="str" cm="1">
        <f t="array" ref="O1037">_xlfn.LET(_xlpm.y,Clean_Data[[#This Row],[Year_Num]],_xlfn.IFS(_xlpm.y&lt;500,"Ancient",_xlpm.y&lt;1500,"Medieval",_xlpm.y&lt;1800,"Early Modern",_xlpm.y&lt;1946,"Modern",TRUE,"Contemporary"))</f>
        <v>Modern</v>
      </c>
      <c r="P1037" s="5" t="str">
        <f>_xlfn.XLOOKUP(Clean_Data[[#This Row],[Country]],country_region[Country],country_region[Country_Standard],"Not found")</f>
        <v>Germany</v>
      </c>
      <c r="Q1037" s="5" t="str">
        <f>_xlfn.XLOOKUP(Clean_Data[[#This Row],[Country]],country_region[Country],country_region[Region],"Not found")</f>
        <v>Europe</v>
      </c>
      <c r="R1037" s="5" t="str">
        <f>_xlfn.XLOOKUP(Clean_Data[[#This Row],[Type of Event]],event_type_category[Type of Event],event_type_category[Category],"Not found")</f>
        <v>Politics &amp; Law</v>
      </c>
    </row>
    <row r="1038" spans="1:18">
      <c r="A1038">
        <v>1100</v>
      </c>
      <c r="B1038" t="s">
        <v>4628</v>
      </c>
      <c r="D1038" t="s">
        <v>260</v>
      </c>
      <c r="E1038" t="s">
        <v>1340</v>
      </c>
      <c r="F1038" t="s">
        <v>4569</v>
      </c>
      <c r="G1038" t="s">
        <v>31</v>
      </c>
      <c r="H1038" t="s">
        <v>4629</v>
      </c>
      <c r="I1038" t="s">
        <v>4630</v>
      </c>
      <c r="J1038" t="s">
        <v>4588</v>
      </c>
      <c r="K1038" t="s">
        <v>4631</v>
      </c>
      <c r="L1038" t="s">
        <v>21</v>
      </c>
      <c r="M1038">
        <v>1871</v>
      </c>
      <c r="N1038" s="5">
        <f>ROUNDUP(Clean_Data[[#This Row],[Year_Num]]/100,0)</f>
        <v>19</v>
      </c>
      <c r="O1038" s="5" t="str" cm="1">
        <f t="array" ref="O1038">_xlfn.LET(_xlpm.y,Clean_Data[[#This Row],[Year_Num]],_xlfn.IFS(_xlpm.y&lt;500,"Ancient",_xlpm.y&lt;1500,"Medieval",_xlpm.y&lt;1800,"Early Modern",_xlpm.y&lt;1946,"Modern",TRUE,"Contemporary"))</f>
        <v>Modern</v>
      </c>
      <c r="P1038" s="5" t="str">
        <f>_xlfn.XLOOKUP(Clean_Data[[#This Row],[Country]],country_region[Country],country_region[Country_Standard],"Not found")</f>
        <v>Germany</v>
      </c>
      <c r="Q1038" s="5" t="str">
        <f>_xlfn.XLOOKUP(Clean_Data[[#This Row],[Country]],country_region[Country],country_region[Region],"Not found")</f>
        <v>Europe</v>
      </c>
      <c r="R1038" s="5" t="str">
        <f>_xlfn.XLOOKUP(Clean_Data[[#This Row],[Type of Event]],event_type_category[Type of Event],event_type_category[Category],"Not found")</f>
        <v>Politics &amp; Law</v>
      </c>
    </row>
    <row r="1039" spans="1:18">
      <c r="A1039">
        <v>1101</v>
      </c>
      <c r="B1039" t="s">
        <v>5047</v>
      </c>
      <c r="D1039" t="s">
        <v>211</v>
      </c>
      <c r="E1039" t="s">
        <v>3167</v>
      </c>
      <c r="F1039" t="s">
        <v>4569</v>
      </c>
      <c r="G1039" t="s">
        <v>356</v>
      </c>
      <c r="H1039" t="s">
        <v>4632</v>
      </c>
      <c r="I1039" t="s">
        <v>4633</v>
      </c>
      <c r="J1039" t="s">
        <v>4634</v>
      </c>
      <c r="K1039" t="s">
        <v>2096</v>
      </c>
      <c r="L1039" t="s">
        <v>54</v>
      </c>
      <c r="M1039">
        <v>1870</v>
      </c>
      <c r="N1039" s="5">
        <f>ROUNDUP(Clean_Data[[#This Row],[Year_Num]]/100,0)</f>
        <v>19</v>
      </c>
      <c r="O1039" s="5" t="str" cm="1">
        <f t="array" ref="O1039">_xlfn.LET(_xlpm.y,Clean_Data[[#This Row],[Year_Num]],_xlfn.IFS(_xlpm.y&lt;500,"Ancient",_xlpm.y&lt;1500,"Medieval",_xlpm.y&lt;1800,"Early Modern",_xlpm.y&lt;1946,"Modern",TRUE,"Contemporary"))</f>
        <v>Modern</v>
      </c>
      <c r="P1039" s="5" t="str">
        <f>_xlfn.XLOOKUP(Clean_Data[[#This Row],[Country]],country_region[Country],country_region[Country_Standard],"Not found")</f>
        <v>Germany</v>
      </c>
      <c r="Q1039" s="5" t="str">
        <f>_xlfn.XLOOKUP(Clean_Data[[#This Row],[Country]],country_region[Country],country_region[Region],"Not found")</f>
        <v>Europe</v>
      </c>
      <c r="R1039" s="5" t="str">
        <f>_xlfn.XLOOKUP(Clean_Data[[#This Row],[Type of Event]],event_type_category[Type of Event],event_type_category[Category],"Not found")</f>
        <v>War &amp; Conflict</v>
      </c>
    </row>
    <row r="1040" spans="1:18">
      <c r="A1040">
        <v>1102</v>
      </c>
      <c r="B1040" t="s">
        <v>4635</v>
      </c>
      <c r="D1040" t="s">
        <v>211</v>
      </c>
      <c r="E1040" t="s">
        <v>4046</v>
      </c>
      <c r="F1040" t="s">
        <v>4569</v>
      </c>
      <c r="G1040" t="s">
        <v>356</v>
      </c>
      <c r="H1040" t="s">
        <v>3072</v>
      </c>
      <c r="I1040" t="s">
        <v>4636</v>
      </c>
      <c r="J1040" t="s">
        <v>3728</v>
      </c>
      <c r="K1040" t="s">
        <v>1868</v>
      </c>
      <c r="L1040" t="s">
        <v>54</v>
      </c>
      <c r="M1040">
        <v>1814</v>
      </c>
      <c r="N1040" s="5">
        <f>ROUNDUP(Clean_Data[[#This Row],[Year_Num]]/100,0)</f>
        <v>19</v>
      </c>
      <c r="O1040" s="5" t="str" cm="1">
        <f t="array" ref="O1040">_xlfn.LET(_xlpm.y,Clean_Data[[#This Row],[Year_Num]],_xlfn.IFS(_xlpm.y&lt;500,"Ancient",_xlpm.y&lt;1500,"Medieval",_xlpm.y&lt;1800,"Early Modern",_xlpm.y&lt;1946,"Modern",TRUE,"Contemporary"))</f>
        <v>Modern</v>
      </c>
      <c r="P1040" s="5" t="str">
        <f>_xlfn.XLOOKUP(Clean_Data[[#This Row],[Country]],country_region[Country],country_region[Country_Standard],"Not found")</f>
        <v>Germany</v>
      </c>
      <c r="Q1040" s="5" t="str">
        <f>_xlfn.XLOOKUP(Clean_Data[[#This Row],[Country]],country_region[Country],country_region[Region],"Not found")</f>
        <v>Europe</v>
      </c>
      <c r="R1040" s="5" t="str">
        <f>_xlfn.XLOOKUP(Clean_Data[[#This Row],[Type of Event]],event_type_category[Type of Event],event_type_category[Category],"Not found")</f>
        <v>War &amp; Conflict</v>
      </c>
    </row>
    <row r="1041" spans="1:18">
      <c r="A1041">
        <v>1103</v>
      </c>
      <c r="B1041" t="s">
        <v>4637</v>
      </c>
      <c r="D1041" t="s">
        <v>83</v>
      </c>
      <c r="E1041" t="s">
        <v>1093</v>
      </c>
      <c r="F1041" t="s">
        <v>4569</v>
      </c>
      <c r="G1041" t="s">
        <v>31</v>
      </c>
      <c r="H1041" t="s">
        <v>4569</v>
      </c>
      <c r="I1041" t="s">
        <v>4638</v>
      </c>
      <c r="J1041" t="s">
        <v>4607</v>
      </c>
      <c r="K1041" t="s">
        <v>4639</v>
      </c>
      <c r="L1041" t="s">
        <v>36</v>
      </c>
      <c r="M1041">
        <v>1918</v>
      </c>
      <c r="N1041" s="5">
        <f>ROUNDUP(Clean_Data[[#This Row],[Year_Num]]/100,0)</f>
        <v>20</v>
      </c>
      <c r="O1041" s="5" t="str" cm="1">
        <f t="array" ref="O1041">_xlfn.LET(_xlpm.y,Clean_Data[[#This Row],[Year_Num]],_xlfn.IFS(_xlpm.y&lt;500,"Ancient",_xlpm.y&lt;1500,"Medieval",_xlpm.y&lt;1800,"Early Modern",_xlpm.y&lt;1946,"Modern",TRUE,"Contemporary"))</f>
        <v>Modern</v>
      </c>
      <c r="P1041" s="5" t="str">
        <f>_xlfn.XLOOKUP(Clean_Data[[#This Row],[Country]],country_region[Country],country_region[Country_Standard],"Not found")</f>
        <v>Germany</v>
      </c>
      <c r="Q1041" s="5" t="str">
        <f>_xlfn.XLOOKUP(Clean_Data[[#This Row],[Country]],country_region[Country],country_region[Region],"Not found")</f>
        <v>Europe</v>
      </c>
      <c r="R1041" s="5" t="str">
        <f>_xlfn.XLOOKUP(Clean_Data[[#This Row],[Type of Event]],event_type_category[Type of Event],event_type_category[Category],"Not found")</f>
        <v>Politics &amp; Law</v>
      </c>
    </row>
    <row r="1042" spans="1:18">
      <c r="A1042">
        <v>1104</v>
      </c>
      <c r="B1042" t="s">
        <v>4640</v>
      </c>
      <c r="E1042" t="s">
        <v>4641</v>
      </c>
      <c r="F1042" t="s">
        <v>4569</v>
      </c>
      <c r="G1042" t="s">
        <v>1463</v>
      </c>
      <c r="H1042" t="s">
        <v>4569</v>
      </c>
      <c r="I1042" t="s">
        <v>4642</v>
      </c>
      <c r="J1042" t="s">
        <v>4607</v>
      </c>
      <c r="K1042" t="s">
        <v>4643</v>
      </c>
      <c r="L1042" t="s">
        <v>36</v>
      </c>
      <c r="M1042">
        <v>1923</v>
      </c>
      <c r="N1042" s="5">
        <f>ROUNDUP(Clean_Data[[#This Row],[Year_Num]]/100,0)</f>
        <v>20</v>
      </c>
      <c r="O1042" s="5" t="str" cm="1">
        <f t="array" ref="O1042">_xlfn.LET(_xlpm.y,Clean_Data[[#This Row],[Year_Num]],_xlfn.IFS(_xlpm.y&lt;500,"Ancient",_xlpm.y&lt;1500,"Medieval",_xlpm.y&lt;1800,"Early Modern",_xlpm.y&lt;1946,"Modern",TRUE,"Contemporary"))</f>
        <v>Modern</v>
      </c>
      <c r="P1042" s="5" t="str">
        <f>_xlfn.XLOOKUP(Clean_Data[[#This Row],[Country]],country_region[Country],country_region[Country_Standard],"Not found")</f>
        <v>Germany</v>
      </c>
      <c r="Q1042" s="5" t="str">
        <f>_xlfn.XLOOKUP(Clean_Data[[#This Row],[Country]],country_region[Country],country_region[Region],"Not found")</f>
        <v>Europe</v>
      </c>
      <c r="R1042" s="5" t="str">
        <f>_xlfn.XLOOKUP(Clean_Data[[#This Row],[Type of Event]],event_type_category[Type of Event],event_type_category[Category],"Not found")</f>
        <v>Economy &amp; Infrastructure</v>
      </c>
    </row>
    <row r="1043" spans="1:18">
      <c r="A1043">
        <v>1105</v>
      </c>
      <c r="B1043" t="s">
        <v>4644</v>
      </c>
      <c r="D1043" t="s">
        <v>260</v>
      </c>
      <c r="E1043" t="s">
        <v>2172</v>
      </c>
      <c r="F1043" t="s">
        <v>4569</v>
      </c>
      <c r="G1043" t="s">
        <v>31</v>
      </c>
      <c r="H1043" t="s">
        <v>4569</v>
      </c>
      <c r="I1043" t="s">
        <v>4645</v>
      </c>
      <c r="J1043" t="s">
        <v>4607</v>
      </c>
      <c r="K1043" t="s">
        <v>1087</v>
      </c>
      <c r="L1043" t="s">
        <v>54</v>
      </c>
      <c r="M1043">
        <v>1933</v>
      </c>
      <c r="N1043" s="5">
        <f>ROUNDUP(Clean_Data[[#This Row],[Year_Num]]/100,0)</f>
        <v>20</v>
      </c>
      <c r="O1043" s="5" t="str" cm="1">
        <f t="array" ref="O1043">_xlfn.LET(_xlpm.y,Clean_Data[[#This Row],[Year_Num]],_xlfn.IFS(_xlpm.y&lt;500,"Ancient",_xlpm.y&lt;1500,"Medieval",_xlpm.y&lt;1800,"Early Modern",_xlpm.y&lt;1946,"Modern",TRUE,"Contemporary"))</f>
        <v>Modern</v>
      </c>
      <c r="P1043" s="5" t="str">
        <f>_xlfn.XLOOKUP(Clean_Data[[#This Row],[Country]],country_region[Country],country_region[Country_Standard],"Not found")</f>
        <v>Germany</v>
      </c>
      <c r="Q1043" s="5" t="str">
        <f>_xlfn.XLOOKUP(Clean_Data[[#This Row],[Country]],country_region[Country],country_region[Region],"Not found")</f>
        <v>Europe</v>
      </c>
      <c r="R1043" s="5" t="str">
        <f>_xlfn.XLOOKUP(Clean_Data[[#This Row],[Type of Event]],event_type_category[Type of Event],event_type_category[Category],"Not found")</f>
        <v>Politics &amp; Law</v>
      </c>
    </row>
    <row r="1044" spans="1:18">
      <c r="A1044">
        <v>1106</v>
      </c>
      <c r="B1044" t="s">
        <v>4646</v>
      </c>
      <c r="D1044" t="s">
        <v>83</v>
      </c>
      <c r="E1044" t="s">
        <v>1077</v>
      </c>
      <c r="F1044" t="s">
        <v>4569</v>
      </c>
      <c r="G1044" t="s">
        <v>4647</v>
      </c>
      <c r="H1044" t="s">
        <v>4569</v>
      </c>
      <c r="I1044" t="s">
        <v>4648</v>
      </c>
      <c r="J1044" t="s">
        <v>4649</v>
      </c>
      <c r="K1044" t="s">
        <v>4650</v>
      </c>
      <c r="L1044" t="s">
        <v>54</v>
      </c>
      <c r="M1044">
        <v>1938</v>
      </c>
      <c r="N1044" s="5">
        <f>ROUNDUP(Clean_Data[[#This Row],[Year_Num]]/100,0)</f>
        <v>20</v>
      </c>
      <c r="O1044" s="5" t="str" cm="1">
        <f t="array" ref="O1044">_xlfn.LET(_xlpm.y,Clean_Data[[#This Row],[Year_Num]],_xlfn.IFS(_xlpm.y&lt;500,"Ancient",_xlpm.y&lt;1500,"Medieval",_xlpm.y&lt;1800,"Early Modern",_xlpm.y&lt;1946,"Modern",TRUE,"Contemporary"))</f>
        <v>Modern</v>
      </c>
      <c r="P1044" s="5" t="str">
        <f>_xlfn.XLOOKUP(Clean_Data[[#This Row],[Country]],country_region[Country],country_region[Country_Standard],"Not found")</f>
        <v>Germany</v>
      </c>
      <c r="Q1044" s="5" t="str">
        <f>_xlfn.XLOOKUP(Clean_Data[[#This Row],[Country]],country_region[Country],country_region[Region],"Not found")</f>
        <v>Europe</v>
      </c>
      <c r="R1044" s="5" t="str">
        <f>_xlfn.XLOOKUP(Clean_Data[[#This Row],[Type of Event]],event_type_category[Type of Event],event_type_category[Category],"Not found")</f>
        <v>War &amp; Conflict</v>
      </c>
    </row>
    <row r="1045" spans="1:18">
      <c r="A1045">
        <v>1107</v>
      </c>
      <c r="B1045" t="s">
        <v>4651</v>
      </c>
      <c r="D1045" t="s">
        <v>286</v>
      </c>
      <c r="E1045" t="s">
        <v>1117</v>
      </c>
      <c r="F1045" t="s">
        <v>4569</v>
      </c>
      <c r="G1045" t="s">
        <v>356</v>
      </c>
      <c r="H1045" t="s">
        <v>4652</v>
      </c>
      <c r="I1045" t="s">
        <v>4653</v>
      </c>
      <c r="J1045" t="s">
        <v>753</v>
      </c>
      <c r="K1045" t="s">
        <v>1087</v>
      </c>
      <c r="L1045" t="s">
        <v>54</v>
      </c>
      <c r="M1045">
        <v>1939</v>
      </c>
      <c r="N1045" s="5">
        <f>ROUNDUP(Clean_Data[[#This Row],[Year_Num]]/100,0)</f>
        <v>20</v>
      </c>
      <c r="O1045" s="5" t="str" cm="1">
        <f t="array" ref="O1045">_xlfn.LET(_xlpm.y,Clean_Data[[#This Row],[Year_Num]],_xlfn.IFS(_xlpm.y&lt;500,"Ancient",_xlpm.y&lt;1500,"Medieval",_xlpm.y&lt;1800,"Early Modern",_xlpm.y&lt;1946,"Modern",TRUE,"Contemporary"))</f>
        <v>Modern</v>
      </c>
      <c r="P1045" s="5" t="str">
        <f>_xlfn.XLOOKUP(Clean_Data[[#This Row],[Country]],country_region[Country],country_region[Country_Standard],"Not found")</f>
        <v>Germany</v>
      </c>
      <c r="Q1045" s="5" t="str">
        <f>_xlfn.XLOOKUP(Clean_Data[[#This Row],[Country]],country_region[Country],country_region[Region],"Not found")</f>
        <v>Europe</v>
      </c>
      <c r="R1045" s="5" t="str">
        <f>_xlfn.XLOOKUP(Clean_Data[[#This Row],[Type of Event]],event_type_category[Type of Event],event_type_category[Category],"Not found")</f>
        <v>War &amp; Conflict</v>
      </c>
    </row>
    <row r="1046" spans="1:18">
      <c r="A1046">
        <v>1108</v>
      </c>
      <c r="B1046" t="s">
        <v>4654</v>
      </c>
      <c r="E1046" t="s">
        <v>1084</v>
      </c>
      <c r="F1046" t="s">
        <v>4569</v>
      </c>
      <c r="G1046" t="s">
        <v>4153</v>
      </c>
      <c r="H1046" t="s">
        <v>3072</v>
      </c>
      <c r="I1046" t="s">
        <v>4655</v>
      </c>
      <c r="J1046" t="s">
        <v>4656</v>
      </c>
      <c r="K1046" t="s">
        <v>4650</v>
      </c>
      <c r="L1046" t="s">
        <v>54</v>
      </c>
      <c r="M1046">
        <v>1941</v>
      </c>
      <c r="N1046" s="5">
        <f>ROUNDUP(Clean_Data[[#This Row],[Year_Num]]/100,0)</f>
        <v>20</v>
      </c>
      <c r="O1046" s="5" t="str" cm="1">
        <f t="array" ref="O1046">_xlfn.LET(_xlpm.y,Clean_Data[[#This Row],[Year_Num]],_xlfn.IFS(_xlpm.y&lt;500,"Ancient",_xlpm.y&lt;1500,"Medieval",_xlpm.y&lt;1800,"Early Modern",_xlpm.y&lt;1946,"Modern",TRUE,"Contemporary"))</f>
        <v>Modern</v>
      </c>
      <c r="P1046" s="5" t="str">
        <f>_xlfn.XLOOKUP(Clean_Data[[#This Row],[Country]],country_region[Country],country_region[Country_Standard],"Not found")</f>
        <v>Germany</v>
      </c>
      <c r="Q1046" s="5" t="str">
        <f>_xlfn.XLOOKUP(Clean_Data[[#This Row],[Country]],country_region[Country],country_region[Region],"Not found")</f>
        <v>Europe</v>
      </c>
      <c r="R1046" s="5" t="str">
        <f>_xlfn.XLOOKUP(Clean_Data[[#This Row],[Type of Event]],event_type_category[Type of Event],event_type_category[Category],"Not found")</f>
        <v>War &amp; Conflict</v>
      </c>
    </row>
    <row r="1047" spans="1:18">
      <c r="A1047">
        <v>1109</v>
      </c>
      <c r="B1047" t="s">
        <v>1128</v>
      </c>
      <c r="D1047" t="s">
        <v>211</v>
      </c>
      <c r="E1047" t="s">
        <v>411</v>
      </c>
      <c r="F1047" t="s">
        <v>4569</v>
      </c>
      <c r="G1047" t="s">
        <v>356</v>
      </c>
      <c r="H1047" t="s">
        <v>4658</v>
      </c>
      <c r="I1047" t="s">
        <v>4659</v>
      </c>
      <c r="J1047" t="s">
        <v>4607</v>
      </c>
      <c r="K1047" t="s">
        <v>1079</v>
      </c>
      <c r="L1047" t="s">
        <v>54</v>
      </c>
      <c r="M1047">
        <v>1942</v>
      </c>
      <c r="N1047" s="5">
        <f>ROUNDUP(Clean_Data[[#This Row],[Year_Num]]/100,0)</f>
        <v>20</v>
      </c>
      <c r="O1047" s="5" t="str" cm="1">
        <f t="array" ref="O1047">_xlfn.LET(_xlpm.y,Clean_Data[[#This Row],[Year_Num]],_xlfn.IFS(_xlpm.y&lt;500,"Ancient",_xlpm.y&lt;1500,"Medieval",_xlpm.y&lt;1800,"Early Modern",_xlpm.y&lt;1946,"Modern",TRUE,"Contemporary"))</f>
        <v>Modern</v>
      </c>
      <c r="P1047" s="5" t="str">
        <f>_xlfn.XLOOKUP(Clean_Data[[#This Row],[Country]],country_region[Country],country_region[Country_Standard],"Not found")</f>
        <v>Germany</v>
      </c>
      <c r="Q1047" s="5" t="str">
        <f>_xlfn.XLOOKUP(Clean_Data[[#This Row],[Country]],country_region[Country],country_region[Region],"Not found")</f>
        <v>Europe</v>
      </c>
      <c r="R1047" s="5" t="str">
        <f>_xlfn.XLOOKUP(Clean_Data[[#This Row],[Type of Event]],event_type_category[Type of Event],event_type_category[Category],"Not found")</f>
        <v>War &amp; Conflict</v>
      </c>
    </row>
    <row r="1048" spans="1:18">
      <c r="A1048">
        <v>1110</v>
      </c>
      <c r="B1048" t="s">
        <v>5086</v>
      </c>
      <c r="D1048" t="s">
        <v>100</v>
      </c>
      <c r="E1048" t="s">
        <v>3286</v>
      </c>
      <c r="F1048" t="s">
        <v>4569</v>
      </c>
      <c r="G1048" t="s">
        <v>356</v>
      </c>
      <c r="H1048" t="s">
        <v>4662</v>
      </c>
      <c r="I1048" t="s">
        <v>5087</v>
      </c>
      <c r="J1048" t="s">
        <v>4664</v>
      </c>
      <c r="L1048" t="s">
        <v>21</v>
      </c>
      <c r="M1048">
        <v>1944</v>
      </c>
      <c r="N1048" s="5">
        <f>ROUNDUP(Clean_Data[[#This Row],[Year_Num]]/100,0)</f>
        <v>20</v>
      </c>
      <c r="O1048" s="5" t="str" cm="1">
        <f t="array" ref="O1048">_xlfn.LET(_xlpm.y,Clean_Data[[#This Row],[Year_Num]],_xlfn.IFS(_xlpm.y&lt;500,"Ancient",_xlpm.y&lt;1500,"Medieval",_xlpm.y&lt;1800,"Early Modern",_xlpm.y&lt;1946,"Modern",TRUE,"Contemporary"))</f>
        <v>Modern</v>
      </c>
      <c r="P1048" s="5" t="str">
        <f>_xlfn.XLOOKUP(Clean_Data[[#This Row],[Country]],country_region[Country],country_region[Country_Standard],"Not found")</f>
        <v>Germany</v>
      </c>
      <c r="Q1048" s="5" t="str">
        <f>_xlfn.XLOOKUP(Clean_Data[[#This Row],[Country]],country_region[Country],country_region[Region],"Not found")</f>
        <v>Europe</v>
      </c>
      <c r="R1048" s="5" t="str">
        <f>_xlfn.XLOOKUP(Clean_Data[[#This Row],[Type of Event]],event_type_category[Type of Event],event_type_category[Category],"Not found")</f>
        <v>War &amp; Conflict</v>
      </c>
    </row>
    <row r="1049" spans="1:18">
      <c r="A1049">
        <v>1111</v>
      </c>
      <c r="B1049" t="s">
        <v>4665</v>
      </c>
      <c r="D1049" t="s">
        <v>47</v>
      </c>
      <c r="E1049" t="s">
        <v>682</v>
      </c>
      <c r="F1049" t="s">
        <v>4569</v>
      </c>
      <c r="G1049" t="s">
        <v>356</v>
      </c>
      <c r="H1049" t="s">
        <v>4666</v>
      </c>
      <c r="I1049" t="s">
        <v>4667</v>
      </c>
      <c r="J1049" t="s">
        <v>753</v>
      </c>
      <c r="K1049" t="s">
        <v>1868</v>
      </c>
      <c r="L1049" t="s">
        <v>21</v>
      </c>
      <c r="M1049">
        <v>1945</v>
      </c>
      <c r="N1049" s="5">
        <f>ROUNDUP(Clean_Data[[#This Row],[Year_Num]]/100,0)</f>
        <v>20</v>
      </c>
      <c r="O1049" s="5" t="str" cm="1">
        <f t="array" ref="O1049">_xlfn.LET(_xlpm.y,Clean_Data[[#This Row],[Year_Num]],_xlfn.IFS(_xlpm.y&lt;500,"Ancient",_xlpm.y&lt;1500,"Medieval",_xlpm.y&lt;1800,"Early Modern",_xlpm.y&lt;1946,"Modern",TRUE,"Contemporary"))</f>
        <v>Modern</v>
      </c>
      <c r="P1049" s="5" t="str">
        <f>_xlfn.XLOOKUP(Clean_Data[[#This Row],[Country]],country_region[Country],country_region[Country_Standard],"Not found")</f>
        <v>Germany</v>
      </c>
      <c r="Q1049" s="5" t="str">
        <f>_xlfn.XLOOKUP(Clean_Data[[#This Row],[Country]],country_region[Country],country_region[Region],"Not found")</f>
        <v>Europe</v>
      </c>
      <c r="R1049" s="5" t="str">
        <f>_xlfn.XLOOKUP(Clean_Data[[#This Row],[Type of Event]],event_type_category[Type of Event],event_type_category[Category],"Not found")</f>
        <v>War &amp; Conflict</v>
      </c>
    </row>
    <row r="1050" spans="1:18">
      <c r="A1050">
        <v>1112</v>
      </c>
      <c r="B1050" t="s">
        <v>4668</v>
      </c>
      <c r="E1050" t="s">
        <v>656</v>
      </c>
      <c r="F1050" t="s">
        <v>4569</v>
      </c>
      <c r="G1050" t="s">
        <v>1463</v>
      </c>
      <c r="H1050" t="s">
        <v>4669</v>
      </c>
      <c r="I1050" t="s">
        <v>5088</v>
      </c>
      <c r="J1050" t="s">
        <v>4607</v>
      </c>
      <c r="K1050" t="s">
        <v>1330</v>
      </c>
      <c r="L1050" t="s">
        <v>21</v>
      </c>
      <c r="M1050">
        <v>1948</v>
      </c>
      <c r="N1050" s="5">
        <f>ROUNDUP(Clean_Data[[#This Row],[Year_Num]]/100,0)</f>
        <v>20</v>
      </c>
      <c r="O1050" s="5" t="str" cm="1">
        <f t="array" ref="O1050">_xlfn.LET(_xlpm.y,Clean_Data[[#This Row],[Year_Num]],_xlfn.IFS(_xlpm.y&lt;500,"Ancient",_xlpm.y&lt;1500,"Medieval",_xlpm.y&lt;1800,"Early Modern",_xlpm.y&lt;1946,"Modern",TRUE,"Contemporary"))</f>
        <v>Contemporary</v>
      </c>
      <c r="P1050" s="5" t="str">
        <f>_xlfn.XLOOKUP(Clean_Data[[#This Row],[Country]],country_region[Country],country_region[Country_Standard],"Not found")</f>
        <v>Germany</v>
      </c>
      <c r="Q1050" s="5" t="str">
        <f>_xlfn.XLOOKUP(Clean_Data[[#This Row],[Country]],country_region[Country],country_region[Region],"Not found")</f>
        <v>Europe</v>
      </c>
      <c r="R1050" s="5" t="str">
        <f>_xlfn.XLOOKUP(Clean_Data[[#This Row],[Type of Event]],event_type_category[Type of Event],event_type_category[Category],"Not found")</f>
        <v>Economy &amp; Infrastructure</v>
      </c>
    </row>
    <row r="1051" spans="1:18">
      <c r="A1051">
        <v>1113</v>
      </c>
      <c r="B1051" t="s">
        <v>4671</v>
      </c>
      <c r="D1051" t="s">
        <v>47</v>
      </c>
      <c r="E1051" t="s">
        <v>947</v>
      </c>
      <c r="F1051" t="s">
        <v>4569</v>
      </c>
      <c r="G1051" t="s">
        <v>31</v>
      </c>
      <c r="H1051" t="s">
        <v>4569</v>
      </c>
      <c r="I1051" t="s">
        <v>4672</v>
      </c>
      <c r="J1051" t="s">
        <v>4079</v>
      </c>
      <c r="K1051" t="s">
        <v>1868</v>
      </c>
      <c r="L1051" t="s">
        <v>36</v>
      </c>
      <c r="M1051">
        <v>1949</v>
      </c>
      <c r="N1051" s="5">
        <f>ROUNDUP(Clean_Data[[#This Row],[Year_Num]]/100,0)</f>
        <v>20</v>
      </c>
      <c r="O1051" s="5" t="str" cm="1">
        <f t="array" ref="O1051">_xlfn.LET(_xlpm.y,Clean_Data[[#This Row],[Year_Num]],_xlfn.IFS(_xlpm.y&lt;500,"Ancient",_xlpm.y&lt;1500,"Medieval",_xlpm.y&lt;1800,"Early Modern",_xlpm.y&lt;1946,"Modern",TRUE,"Contemporary"))</f>
        <v>Contemporary</v>
      </c>
      <c r="P1051" s="5" t="str">
        <f>_xlfn.XLOOKUP(Clean_Data[[#This Row],[Country]],country_region[Country],country_region[Country_Standard],"Not found")</f>
        <v>Germany</v>
      </c>
      <c r="Q1051" s="5" t="str">
        <f>_xlfn.XLOOKUP(Clean_Data[[#This Row],[Country]],country_region[Country],country_region[Region],"Not found")</f>
        <v>Europe</v>
      </c>
      <c r="R1051" s="5" t="str">
        <f>_xlfn.XLOOKUP(Clean_Data[[#This Row],[Type of Event]],event_type_category[Type of Event],event_type_category[Category],"Not found")</f>
        <v>Politics &amp; Law</v>
      </c>
    </row>
    <row r="1052" spans="1:18">
      <c r="A1052">
        <v>1114</v>
      </c>
      <c r="B1052" t="s">
        <v>4673</v>
      </c>
      <c r="D1052" t="s">
        <v>57</v>
      </c>
      <c r="E1052" t="s">
        <v>1929</v>
      </c>
      <c r="F1052" t="s">
        <v>4569</v>
      </c>
      <c r="G1052" t="s">
        <v>31</v>
      </c>
      <c r="H1052" t="s">
        <v>4674</v>
      </c>
      <c r="I1052" t="s">
        <v>4675</v>
      </c>
      <c r="J1052" t="s">
        <v>4676</v>
      </c>
      <c r="K1052" t="s">
        <v>4677</v>
      </c>
      <c r="L1052" t="s">
        <v>54</v>
      </c>
      <c r="M1052">
        <v>1961</v>
      </c>
      <c r="N1052" s="5">
        <f>ROUNDUP(Clean_Data[[#This Row],[Year_Num]]/100,0)</f>
        <v>20</v>
      </c>
      <c r="O1052" s="5" t="str" cm="1">
        <f t="array" ref="O1052">_xlfn.LET(_xlpm.y,Clean_Data[[#This Row],[Year_Num]],_xlfn.IFS(_xlpm.y&lt;500,"Ancient",_xlpm.y&lt;1500,"Medieval",_xlpm.y&lt;1800,"Early Modern",_xlpm.y&lt;1946,"Modern",TRUE,"Contemporary"))</f>
        <v>Contemporary</v>
      </c>
      <c r="P1052" s="5" t="str">
        <f>_xlfn.XLOOKUP(Clean_Data[[#This Row],[Country]],country_region[Country],country_region[Country_Standard],"Not found")</f>
        <v>Germany</v>
      </c>
      <c r="Q1052" s="5" t="str">
        <f>_xlfn.XLOOKUP(Clean_Data[[#This Row],[Country]],country_region[Country],country_region[Region],"Not found")</f>
        <v>Europe</v>
      </c>
      <c r="R1052" s="5" t="str">
        <f>_xlfn.XLOOKUP(Clean_Data[[#This Row],[Type of Event]],event_type_category[Type of Event],event_type_category[Category],"Not found")</f>
        <v>Politics &amp; Law</v>
      </c>
    </row>
    <row r="1053" spans="1:18">
      <c r="A1053">
        <v>1115</v>
      </c>
      <c r="B1053" t="s">
        <v>4678</v>
      </c>
      <c r="D1053" t="s">
        <v>83</v>
      </c>
      <c r="E1053" t="s">
        <v>966</v>
      </c>
      <c r="F1053" t="s">
        <v>4569</v>
      </c>
      <c r="G1053" t="s">
        <v>31</v>
      </c>
      <c r="H1053" t="s">
        <v>4674</v>
      </c>
      <c r="I1053" t="s">
        <v>4679</v>
      </c>
      <c r="J1053" t="s">
        <v>1185</v>
      </c>
      <c r="K1053" t="s">
        <v>4677</v>
      </c>
      <c r="L1053" t="s">
        <v>21</v>
      </c>
      <c r="M1053">
        <v>1989</v>
      </c>
      <c r="N1053" s="5">
        <f>ROUNDUP(Clean_Data[[#This Row],[Year_Num]]/100,0)</f>
        <v>20</v>
      </c>
      <c r="O1053" s="5" t="str" cm="1">
        <f t="array" ref="O1053">_xlfn.LET(_xlpm.y,Clean_Data[[#This Row],[Year_Num]],_xlfn.IFS(_xlpm.y&lt;500,"Ancient",_xlpm.y&lt;1500,"Medieval",_xlpm.y&lt;1800,"Early Modern",_xlpm.y&lt;1946,"Modern",TRUE,"Contemporary"))</f>
        <v>Contemporary</v>
      </c>
      <c r="P1053" s="5" t="str">
        <f>_xlfn.XLOOKUP(Clean_Data[[#This Row],[Country]],country_region[Country],country_region[Country_Standard],"Not found")</f>
        <v>Germany</v>
      </c>
      <c r="Q1053" s="5" t="str">
        <f>_xlfn.XLOOKUP(Clean_Data[[#This Row],[Country]],country_region[Country],country_region[Region],"Not found")</f>
        <v>Europe</v>
      </c>
      <c r="R1053" s="5" t="str">
        <f>_xlfn.XLOOKUP(Clean_Data[[#This Row],[Type of Event]],event_type_category[Type of Event],event_type_category[Category],"Not found")</f>
        <v>Politics &amp; Law</v>
      </c>
    </row>
    <row r="1054" spans="1:18">
      <c r="A1054">
        <v>1116</v>
      </c>
      <c r="B1054" t="s">
        <v>4680</v>
      </c>
      <c r="D1054" t="s">
        <v>158</v>
      </c>
      <c r="E1054" t="s">
        <v>627</v>
      </c>
      <c r="F1054" t="s">
        <v>4569</v>
      </c>
      <c r="G1054" t="s">
        <v>31</v>
      </c>
      <c r="H1054" t="s">
        <v>4569</v>
      </c>
      <c r="I1054" t="s">
        <v>4681</v>
      </c>
      <c r="J1054" t="s">
        <v>4682</v>
      </c>
      <c r="K1054" t="s">
        <v>1177</v>
      </c>
      <c r="L1054" t="s">
        <v>21</v>
      </c>
      <c r="M1054">
        <v>1990</v>
      </c>
      <c r="N1054" s="5">
        <f>ROUNDUP(Clean_Data[[#This Row],[Year_Num]]/100,0)</f>
        <v>20</v>
      </c>
      <c r="O1054" s="5" t="str" cm="1">
        <f t="array" ref="O1054">_xlfn.LET(_xlpm.y,Clean_Data[[#This Row],[Year_Num]],_xlfn.IFS(_xlpm.y&lt;500,"Ancient",_xlpm.y&lt;1500,"Medieval",_xlpm.y&lt;1800,"Early Modern",_xlpm.y&lt;1946,"Modern",TRUE,"Contemporary"))</f>
        <v>Contemporary</v>
      </c>
      <c r="P1054" s="5" t="str">
        <f>_xlfn.XLOOKUP(Clean_Data[[#This Row],[Country]],country_region[Country],country_region[Country_Standard],"Not found")</f>
        <v>Germany</v>
      </c>
      <c r="Q1054" s="5" t="str">
        <f>_xlfn.XLOOKUP(Clean_Data[[#This Row],[Country]],country_region[Country],country_region[Region],"Not found")</f>
        <v>Europe</v>
      </c>
      <c r="R1054" s="5" t="str">
        <f>_xlfn.XLOOKUP(Clean_Data[[#This Row],[Type of Event]],event_type_category[Type of Event],event_type_category[Category],"Not found")</f>
        <v>Politics &amp; Law</v>
      </c>
    </row>
    <row r="1055" spans="1:18">
      <c r="A1055">
        <v>1117</v>
      </c>
      <c r="B1055" t="s">
        <v>4683</v>
      </c>
      <c r="D1055" t="s">
        <v>286</v>
      </c>
      <c r="E1055" t="s">
        <v>627</v>
      </c>
      <c r="F1055" t="s">
        <v>4569</v>
      </c>
      <c r="G1055" t="s">
        <v>31</v>
      </c>
      <c r="H1055" t="s">
        <v>1043</v>
      </c>
      <c r="I1055" t="s">
        <v>4684</v>
      </c>
      <c r="J1055" t="s">
        <v>4079</v>
      </c>
      <c r="K1055" t="s">
        <v>4685</v>
      </c>
      <c r="L1055" t="s">
        <v>21</v>
      </c>
      <c r="M1055">
        <v>1990</v>
      </c>
      <c r="N1055" s="5">
        <f>ROUNDUP(Clean_Data[[#This Row],[Year_Num]]/100,0)</f>
        <v>20</v>
      </c>
      <c r="O1055" s="5" t="str" cm="1">
        <f t="array" ref="O1055">_xlfn.LET(_xlpm.y,Clean_Data[[#This Row],[Year_Num]],_xlfn.IFS(_xlpm.y&lt;500,"Ancient",_xlpm.y&lt;1500,"Medieval",_xlpm.y&lt;1800,"Early Modern",_xlpm.y&lt;1946,"Modern",TRUE,"Contemporary"))</f>
        <v>Contemporary</v>
      </c>
      <c r="P1055" s="5" t="str">
        <f>_xlfn.XLOOKUP(Clean_Data[[#This Row],[Country]],country_region[Country],country_region[Country_Standard],"Not found")</f>
        <v>Germany</v>
      </c>
      <c r="Q1055" s="5" t="str">
        <f>_xlfn.XLOOKUP(Clean_Data[[#This Row],[Country]],country_region[Country],country_region[Region],"Not found")</f>
        <v>Europe</v>
      </c>
      <c r="R1055" s="5" t="str">
        <f>_xlfn.XLOOKUP(Clean_Data[[#This Row],[Type of Event]],event_type_category[Type of Event],event_type_category[Category],"Not found")</f>
        <v>Politics &amp; Law</v>
      </c>
    </row>
    <row r="1056" spans="1:18">
      <c r="A1056">
        <v>1118</v>
      </c>
      <c r="B1056" t="s">
        <v>4686</v>
      </c>
      <c r="D1056" t="s">
        <v>173</v>
      </c>
      <c r="E1056" t="s">
        <v>893</v>
      </c>
      <c r="F1056" t="s">
        <v>4569</v>
      </c>
      <c r="G1056" t="s">
        <v>31</v>
      </c>
      <c r="H1056" t="s">
        <v>4687</v>
      </c>
      <c r="I1056" t="s">
        <v>4688</v>
      </c>
      <c r="J1056" t="s">
        <v>4623</v>
      </c>
      <c r="K1056" t="s">
        <v>4689</v>
      </c>
      <c r="L1056" t="s">
        <v>21</v>
      </c>
      <c r="M1056">
        <v>1992</v>
      </c>
      <c r="N1056" s="5">
        <f>ROUNDUP(Clean_Data[[#This Row],[Year_Num]]/100,0)</f>
        <v>20</v>
      </c>
      <c r="O1056" s="5" t="str" cm="1">
        <f t="array" ref="O1056">_xlfn.LET(_xlpm.y,Clean_Data[[#This Row],[Year_Num]],_xlfn.IFS(_xlpm.y&lt;500,"Ancient",_xlpm.y&lt;1500,"Medieval",_xlpm.y&lt;1800,"Early Modern",_xlpm.y&lt;1946,"Modern",TRUE,"Contemporary"))</f>
        <v>Contemporary</v>
      </c>
      <c r="P1056" s="5" t="str">
        <f>_xlfn.XLOOKUP(Clean_Data[[#This Row],[Country]],country_region[Country],country_region[Country_Standard],"Not found")</f>
        <v>Germany</v>
      </c>
      <c r="Q1056" s="5" t="str">
        <f>_xlfn.XLOOKUP(Clean_Data[[#This Row],[Country]],country_region[Country],country_region[Region],"Not found")</f>
        <v>Europe</v>
      </c>
      <c r="R1056" s="5" t="str">
        <f>_xlfn.XLOOKUP(Clean_Data[[#This Row],[Type of Event]],event_type_category[Type of Event],event_type_category[Category],"Not found")</f>
        <v>Politics &amp; Law</v>
      </c>
    </row>
    <row r="1057" spans="1:18">
      <c r="A1057">
        <v>1119</v>
      </c>
      <c r="B1057" t="s">
        <v>4690</v>
      </c>
      <c r="D1057" t="s">
        <v>260</v>
      </c>
      <c r="E1057" t="s">
        <v>648</v>
      </c>
      <c r="F1057" t="s">
        <v>4569</v>
      </c>
      <c r="G1057" t="s">
        <v>1463</v>
      </c>
      <c r="H1057" t="s">
        <v>4569</v>
      </c>
      <c r="I1057" t="s">
        <v>4691</v>
      </c>
      <c r="J1057" t="s">
        <v>4079</v>
      </c>
      <c r="K1057" t="s">
        <v>4692</v>
      </c>
      <c r="L1057" t="s">
        <v>21</v>
      </c>
      <c r="M1057">
        <v>2002</v>
      </c>
      <c r="N1057" s="5">
        <f>ROUNDUP(Clean_Data[[#This Row],[Year_Num]]/100,0)</f>
        <v>21</v>
      </c>
      <c r="O1057" s="5" t="str" cm="1">
        <f t="array" ref="O1057">_xlfn.LET(_xlpm.y,Clean_Data[[#This Row],[Year_Num]],_xlfn.IFS(_xlpm.y&lt;500,"Ancient",_xlpm.y&lt;1500,"Medieval",_xlpm.y&lt;1800,"Early Modern",_xlpm.y&lt;1946,"Modern",TRUE,"Contemporary"))</f>
        <v>Contemporary</v>
      </c>
      <c r="P1057" s="5" t="str">
        <f>_xlfn.XLOOKUP(Clean_Data[[#This Row],[Country]],country_region[Country],country_region[Country_Standard],"Not found")</f>
        <v>Germany</v>
      </c>
      <c r="Q1057" s="5" t="str">
        <f>_xlfn.XLOOKUP(Clean_Data[[#This Row],[Country]],country_region[Country],country_region[Region],"Not found")</f>
        <v>Europe</v>
      </c>
      <c r="R1057" s="5" t="str">
        <f>_xlfn.XLOOKUP(Clean_Data[[#This Row],[Type of Event]],event_type_category[Type of Event],event_type_category[Category],"Not found")</f>
        <v>Economy &amp; Infrastructure</v>
      </c>
    </row>
    <row r="1058" spans="1:18">
      <c r="A1058">
        <v>1120</v>
      </c>
      <c r="B1058" t="s">
        <v>4693</v>
      </c>
      <c r="D1058" t="s">
        <v>211</v>
      </c>
      <c r="E1058" t="s">
        <v>603</v>
      </c>
      <c r="F1058" t="s">
        <v>4569</v>
      </c>
      <c r="G1058" t="s">
        <v>273</v>
      </c>
      <c r="H1058" t="s">
        <v>4569</v>
      </c>
      <c r="I1058" t="s">
        <v>4694</v>
      </c>
      <c r="J1058" t="s">
        <v>1941</v>
      </c>
      <c r="K1058" t="s">
        <v>4695</v>
      </c>
      <c r="L1058" t="s">
        <v>21</v>
      </c>
      <c r="M1058">
        <v>2006</v>
      </c>
      <c r="N1058" s="5">
        <f>ROUNDUP(Clean_Data[[#This Row],[Year_Num]]/100,0)</f>
        <v>21</v>
      </c>
      <c r="O1058" s="5" t="str" cm="1">
        <f t="array" ref="O1058">_xlfn.LET(_xlpm.y,Clean_Data[[#This Row],[Year_Num]],_xlfn.IFS(_xlpm.y&lt;500,"Ancient",_xlpm.y&lt;1500,"Medieval",_xlpm.y&lt;1800,"Early Modern",_xlpm.y&lt;1946,"Modern",TRUE,"Contemporary"))</f>
        <v>Contemporary</v>
      </c>
      <c r="P1058" s="5" t="str">
        <f>_xlfn.XLOOKUP(Clean_Data[[#This Row],[Country]],country_region[Country],country_region[Country_Standard],"Not found")</f>
        <v>Germany</v>
      </c>
      <c r="Q1058" s="5" t="str">
        <f>_xlfn.XLOOKUP(Clean_Data[[#This Row],[Country]],country_region[Country],country_region[Region],"Not found")</f>
        <v>Europe</v>
      </c>
      <c r="R1058" s="5" t="str">
        <f>_xlfn.XLOOKUP(Clean_Data[[#This Row],[Type of Event]],event_type_category[Type of Event],event_type_category[Category],"Not found")</f>
        <v>Culture, Religion &amp; Sport</v>
      </c>
    </row>
    <row r="1059" spans="1:18">
      <c r="A1059">
        <v>1121</v>
      </c>
      <c r="B1059" t="s">
        <v>4696</v>
      </c>
      <c r="E1059" t="s">
        <v>341</v>
      </c>
      <c r="F1059" t="s">
        <v>4569</v>
      </c>
      <c r="G1059" t="s">
        <v>4697</v>
      </c>
      <c r="H1059" t="s">
        <v>4569</v>
      </c>
      <c r="I1059" t="s">
        <v>4698</v>
      </c>
      <c r="J1059" t="s">
        <v>4699</v>
      </c>
      <c r="K1059" t="s">
        <v>4607</v>
      </c>
      <c r="L1059" t="s">
        <v>36</v>
      </c>
      <c r="M1059">
        <v>2015</v>
      </c>
      <c r="N1059" s="5">
        <f>ROUNDUP(Clean_Data[[#This Row],[Year_Num]]/100,0)</f>
        <v>21</v>
      </c>
      <c r="O1059" s="5" t="str" cm="1">
        <f t="array" ref="O1059">_xlfn.LET(_xlpm.y,Clean_Data[[#This Row],[Year_Num]],_xlfn.IFS(_xlpm.y&lt;500,"Ancient",_xlpm.y&lt;1500,"Medieval",_xlpm.y&lt;1800,"Early Modern",_xlpm.y&lt;1946,"Modern",TRUE,"Contemporary"))</f>
        <v>Contemporary</v>
      </c>
      <c r="P1059" s="5" t="str">
        <f>_xlfn.XLOOKUP(Clean_Data[[#This Row],[Country]],country_region[Country],country_region[Country_Standard],"Not found")</f>
        <v>Germany</v>
      </c>
      <c r="Q1059" s="5" t="str">
        <f>_xlfn.XLOOKUP(Clean_Data[[#This Row],[Country]],country_region[Country],country_region[Region],"Not found")</f>
        <v>Europe</v>
      </c>
      <c r="R1059" s="5" t="str">
        <f>_xlfn.XLOOKUP(Clean_Data[[#This Row],[Type of Event]],event_type_category[Type of Event],event_type_category[Category],"Not found")</f>
        <v>Society &amp; Health</v>
      </c>
    </row>
    <row r="1060" spans="1:18">
      <c r="A1060">
        <v>1122</v>
      </c>
      <c r="B1060" t="s">
        <v>4700</v>
      </c>
      <c r="C1060" t="s">
        <v>200</v>
      </c>
      <c r="D1060" t="s">
        <v>47</v>
      </c>
      <c r="E1060" t="s">
        <v>4701</v>
      </c>
      <c r="F1060" t="s">
        <v>4702</v>
      </c>
      <c r="G1060" t="s">
        <v>31</v>
      </c>
      <c r="H1060" t="s">
        <v>4703</v>
      </c>
      <c r="I1060" t="s">
        <v>4704</v>
      </c>
      <c r="J1060" t="s">
        <v>4705</v>
      </c>
      <c r="K1060" t="s">
        <v>4706</v>
      </c>
      <c r="L1060" t="s">
        <v>21</v>
      </c>
      <c r="M1060">
        <v>1810</v>
      </c>
      <c r="N1060" s="5">
        <f>ROUNDUP(Clean_Data[[#This Row],[Year_Num]]/100,0)</f>
        <v>19</v>
      </c>
      <c r="O1060" s="5" t="str" cm="1">
        <f t="array" ref="O1060">_xlfn.LET(_xlpm.y,Clean_Data[[#This Row],[Year_Num]],_xlfn.IFS(_xlpm.y&lt;500,"Ancient",_xlpm.y&lt;1500,"Medieval",_xlpm.y&lt;1800,"Early Modern",_xlpm.y&lt;1946,"Modern",TRUE,"Contemporary"))</f>
        <v>Modern</v>
      </c>
      <c r="P1060" s="5" t="str">
        <f>_xlfn.XLOOKUP(Clean_Data[[#This Row],[Country]],country_region[Country],country_region[Country_Standard],"Not found")</f>
        <v>Argentina</v>
      </c>
      <c r="Q1060" s="5" t="str">
        <f>_xlfn.XLOOKUP(Clean_Data[[#This Row],[Country]],country_region[Country],country_region[Region],"Not found")</f>
        <v>Latin America</v>
      </c>
      <c r="R1060" s="5" t="str">
        <f>_xlfn.XLOOKUP(Clean_Data[[#This Row],[Type of Event]],event_type_category[Type of Event],event_type_category[Category],"Not found")</f>
        <v>Politics &amp; Law</v>
      </c>
    </row>
    <row r="1061" spans="1:18">
      <c r="A1061">
        <v>1123</v>
      </c>
      <c r="B1061" t="s">
        <v>2122</v>
      </c>
      <c r="C1061" t="s">
        <v>240</v>
      </c>
      <c r="D1061" t="s">
        <v>211</v>
      </c>
      <c r="E1061" t="s">
        <v>4707</v>
      </c>
      <c r="F1061" t="s">
        <v>4702</v>
      </c>
      <c r="G1061" t="s">
        <v>2588</v>
      </c>
      <c r="H1061" t="s">
        <v>4708</v>
      </c>
      <c r="I1061" t="s">
        <v>4709</v>
      </c>
      <c r="J1061" t="s">
        <v>4705</v>
      </c>
      <c r="K1061" t="s">
        <v>4710</v>
      </c>
      <c r="L1061" t="s">
        <v>21</v>
      </c>
      <c r="M1061">
        <v>1816</v>
      </c>
      <c r="N1061" s="5">
        <f>ROUNDUP(Clean_Data[[#This Row],[Year_Num]]/100,0)</f>
        <v>19</v>
      </c>
      <c r="O1061" s="5" t="str" cm="1">
        <f t="array" ref="O1061">_xlfn.LET(_xlpm.y,Clean_Data[[#This Row],[Year_Num]],_xlfn.IFS(_xlpm.y&lt;500,"Ancient",_xlpm.y&lt;1500,"Medieval",_xlpm.y&lt;1800,"Early Modern",_xlpm.y&lt;1946,"Modern",TRUE,"Contemporary"))</f>
        <v>Modern</v>
      </c>
      <c r="P1061" s="5" t="str">
        <f>_xlfn.XLOOKUP(Clean_Data[[#This Row],[Country]],country_region[Country],country_region[Country_Standard],"Not found")</f>
        <v>Argentina</v>
      </c>
      <c r="Q1061" s="5" t="str">
        <f>_xlfn.XLOOKUP(Clean_Data[[#This Row],[Country]],country_region[Country],country_region[Region],"Not found")</f>
        <v>Latin America</v>
      </c>
      <c r="R1061" s="5" t="str">
        <f>_xlfn.XLOOKUP(Clean_Data[[#This Row],[Type of Event]],event_type_category[Type of Event],event_type_category[Category],"Not found")</f>
        <v>Independence &amp; Nation-Building</v>
      </c>
    </row>
    <row r="1062" spans="1:18">
      <c r="A1062">
        <v>1124</v>
      </c>
      <c r="B1062" t="s">
        <v>4711</v>
      </c>
      <c r="E1062" t="s">
        <v>3167</v>
      </c>
      <c r="F1062" t="s">
        <v>4702</v>
      </c>
      <c r="G1062" t="s">
        <v>356</v>
      </c>
      <c r="H1062" t="s">
        <v>4712</v>
      </c>
      <c r="I1062" t="s">
        <v>4713</v>
      </c>
      <c r="J1062" t="s">
        <v>4494</v>
      </c>
      <c r="K1062" t="s">
        <v>4714</v>
      </c>
      <c r="L1062" t="s">
        <v>36</v>
      </c>
      <c r="M1062">
        <v>1870</v>
      </c>
      <c r="N1062" s="5">
        <f>ROUNDUP(Clean_Data[[#This Row],[Year_Num]]/100,0)</f>
        <v>19</v>
      </c>
      <c r="O1062" s="5" t="str" cm="1">
        <f t="array" ref="O1062">_xlfn.LET(_xlpm.y,Clean_Data[[#This Row],[Year_Num]],_xlfn.IFS(_xlpm.y&lt;500,"Ancient",_xlpm.y&lt;1500,"Medieval",_xlpm.y&lt;1800,"Early Modern",_xlpm.y&lt;1946,"Modern",TRUE,"Contemporary"))</f>
        <v>Modern</v>
      </c>
      <c r="P1062" s="5" t="str">
        <f>_xlfn.XLOOKUP(Clean_Data[[#This Row],[Country]],country_region[Country],country_region[Country_Standard],"Not found")</f>
        <v>Argentina</v>
      </c>
      <c r="Q1062" s="5" t="str">
        <f>_xlfn.XLOOKUP(Clean_Data[[#This Row],[Country]],country_region[Country],country_region[Region],"Not found")</f>
        <v>Latin America</v>
      </c>
      <c r="R1062" s="5" t="str">
        <f>_xlfn.XLOOKUP(Clean_Data[[#This Row],[Type of Event]],event_type_category[Type of Event],event_type_category[Category],"Not found")</f>
        <v>War &amp; Conflict</v>
      </c>
    </row>
    <row r="1063" spans="1:18">
      <c r="A1063">
        <v>1125</v>
      </c>
      <c r="B1063" t="s">
        <v>4715</v>
      </c>
      <c r="E1063" t="s">
        <v>394</v>
      </c>
      <c r="F1063" t="s">
        <v>4702</v>
      </c>
      <c r="G1063" t="s">
        <v>4716</v>
      </c>
      <c r="H1063" t="s">
        <v>4702</v>
      </c>
      <c r="I1063" t="s">
        <v>4717</v>
      </c>
      <c r="J1063" t="s">
        <v>4718</v>
      </c>
      <c r="K1063" t="s">
        <v>4719</v>
      </c>
      <c r="L1063" t="s">
        <v>36</v>
      </c>
      <c r="M1063">
        <v>1930</v>
      </c>
      <c r="N1063" s="5">
        <f>ROUNDUP(Clean_Data[[#This Row],[Year_Num]]/100,0)</f>
        <v>20</v>
      </c>
      <c r="O1063" s="5" t="str" cm="1">
        <f t="array" ref="O1063">_xlfn.LET(_xlpm.y,Clean_Data[[#This Row],[Year_Num]],_xlfn.IFS(_xlpm.y&lt;500,"Ancient",_xlpm.y&lt;1500,"Medieval",_xlpm.y&lt;1800,"Early Modern",_xlpm.y&lt;1946,"Modern",TRUE,"Contemporary"))</f>
        <v>Modern</v>
      </c>
      <c r="P1063" s="5" t="str">
        <f>_xlfn.XLOOKUP(Clean_Data[[#This Row],[Country]],country_region[Country],country_region[Country_Standard],"Not found")</f>
        <v>Argentina</v>
      </c>
      <c r="Q1063" s="5" t="str">
        <f>_xlfn.XLOOKUP(Clean_Data[[#This Row],[Country]],country_region[Country],country_region[Region],"Not found")</f>
        <v>Latin America</v>
      </c>
      <c r="R1063" s="5" t="str">
        <f>_xlfn.XLOOKUP(Clean_Data[[#This Row],[Type of Event]],event_type_category[Type of Event],event_type_category[Category],"Not found")</f>
        <v>Society &amp; Health</v>
      </c>
    </row>
    <row r="1064" spans="1:18">
      <c r="A1064">
        <v>1126</v>
      </c>
      <c r="B1064" t="s">
        <v>4720</v>
      </c>
      <c r="C1064" t="s">
        <v>230</v>
      </c>
      <c r="D1064" t="s">
        <v>100</v>
      </c>
      <c r="E1064" t="s">
        <v>2126</v>
      </c>
      <c r="F1064" t="s">
        <v>4702</v>
      </c>
      <c r="G1064" t="s">
        <v>31</v>
      </c>
      <c r="H1064" t="s">
        <v>4702</v>
      </c>
      <c r="I1064" t="s">
        <v>4721</v>
      </c>
      <c r="J1064" t="s">
        <v>4705</v>
      </c>
      <c r="K1064" t="s">
        <v>4722</v>
      </c>
      <c r="L1064" t="s">
        <v>36</v>
      </c>
      <c r="M1064">
        <v>1946</v>
      </c>
      <c r="N1064" s="5">
        <f>ROUNDUP(Clean_Data[[#This Row],[Year_Num]]/100,0)</f>
        <v>20</v>
      </c>
      <c r="O1064" s="5" t="str" cm="1">
        <f t="array" ref="O1064">_xlfn.LET(_xlpm.y,Clean_Data[[#This Row],[Year_Num]],_xlfn.IFS(_xlpm.y&lt;500,"Ancient",_xlpm.y&lt;1500,"Medieval",_xlpm.y&lt;1800,"Early Modern",_xlpm.y&lt;1946,"Modern",TRUE,"Contemporary"))</f>
        <v>Contemporary</v>
      </c>
      <c r="P1064" s="5" t="str">
        <f>_xlfn.XLOOKUP(Clean_Data[[#This Row],[Country]],country_region[Country],country_region[Country_Standard],"Not found")</f>
        <v>Argentina</v>
      </c>
      <c r="Q1064" s="5" t="str">
        <f>_xlfn.XLOOKUP(Clean_Data[[#This Row],[Country]],country_region[Country],country_region[Region],"Not found")</f>
        <v>Latin America</v>
      </c>
      <c r="R1064" s="5" t="str">
        <f>_xlfn.XLOOKUP(Clean_Data[[#This Row],[Type of Event]],event_type_category[Type of Event],event_type_category[Category],"Not found")</f>
        <v>Politics &amp; Law</v>
      </c>
    </row>
    <row r="1065" spans="1:18">
      <c r="A1065">
        <v>1127</v>
      </c>
      <c r="B1065" t="s">
        <v>4723</v>
      </c>
      <c r="C1065" t="s">
        <v>218</v>
      </c>
      <c r="D1065" t="s">
        <v>267</v>
      </c>
      <c r="E1065" t="s">
        <v>1609</v>
      </c>
      <c r="F1065" t="s">
        <v>4702</v>
      </c>
      <c r="G1065" t="s">
        <v>1078</v>
      </c>
      <c r="H1065" t="s">
        <v>4702</v>
      </c>
      <c r="I1065" t="s">
        <v>4724</v>
      </c>
      <c r="J1065" t="s">
        <v>4705</v>
      </c>
      <c r="K1065" t="s">
        <v>4725</v>
      </c>
      <c r="L1065" t="s">
        <v>54</v>
      </c>
      <c r="M1065">
        <v>1976</v>
      </c>
      <c r="N1065" s="5">
        <f>ROUNDUP(Clean_Data[[#This Row],[Year_Num]]/100,0)</f>
        <v>20</v>
      </c>
      <c r="O1065" s="5" t="str" cm="1">
        <f t="array" ref="O1065">_xlfn.LET(_xlpm.y,Clean_Data[[#This Row],[Year_Num]],_xlfn.IFS(_xlpm.y&lt;500,"Ancient",_xlpm.y&lt;1500,"Medieval",_xlpm.y&lt;1800,"Early Modern",_xlpm.y&lt;1946,"Modern",TRUE,"Contemporary"))</f>
        <v>Contemporary</v>
      </c>
      <c r="P1065" s="5" t="str">
        <f>_xlfn.XLOOKUP(Clean_Data[[#This Row],[Country]],country_region[Country],country_region[Country_Standard],"Not found")</f>
        <v>Argentina</v>
      </c>
      <c r="Q1065" s="5" t="str">
        <f>_xlfn.XLOOKUP(Clean_Data[[#This Row],[Country]],country_region[Country],country_region[Region],"Not found")</f>
        <v>Latin America</v>
      </c>
      <c r="R1065" s="5" t="str">
        <f>_xlfn.XLOOKUP(Clean_Data[[#This Row],[Type of Event]],event_type_category[Type of Event],event_type_category[Category],"Not found")</f>
        <v>Politics &amp; Law</v>
      </c>
    </row>
    <row r="1066" spans="1:18">
      <c r="A1066">
        <v>1128</v>
      </c>
      <c r="B1066" t="s">
        <v>3382</v>
      </c>
      <c r="C1066" t="s">
        <v>331</v>
      </c>
      <c r="D1066" t="s">
        <v>39</v>
      </c>
      <c r="E1066" t="s">
        <v>741</v>
      </c>
      <c r="F1066" t="s">
        <v>4702</v>
      </c>
      <c r="G1066" t="s">
        <v>356</v>
      </c>
      <c r="H1066" t="s">
        <v>3383</v>
      </c>
      <c r="I1066" t="s">
        <v>4726</v>
      </c>
      <c r="J1066" t="s">
        <v>4705</v>
      </c>
      <c r="K1066" t="s">
        <v>4727</v>
      </c>
      <c r="L1066" t="s">
        <v>54</v>
      </c>
      <c r="M1066">
        <v>1982</v>
      </c>
      <c r="N1066" s="5">
        <f>ROUNDUP(Clean_Data[[#This Row],[Year_Num]]/100,0)</f>
        <v>20</v>
      </c>
      <c r="O1066" s="5" t="str" cm="1">
        <f t="array" ref="O1066">_xlfn.LET(_xlpm.y,Clean_Data[[#This Row],[Year_Num]],_xlfn.IFS(_xlpm.y&lt;500,"Ancient",_xlpm.y&lt;1500,"Medieval",_xlpm.y&lt;1800,"Early Modern",_xlpm.y&lt;1946,"Modern",TRUE,"Contemporary"))</f>
        <v>Contemporary</v>
      </c>
      <c r="P1066" s="5" t="str">
        <f>_xlfn.XLOOKUP(Clean_Data[[#This Row],[Country]],country_region[Country],country_region[Country_Standard],"Not found")</f>
        <v>Argentina</v>
      </c>
      <c r="Q1066" s="5" t="str">
        <f>_xlfn.XLOOKUP(Clean_Data[[#This Row],[Country]],country_region[Country],country_region[Region],"Not found")</f>
        <v>Latin America</v>
      </c>
      <c r="R1066" s="5" t="str">
        <f>_xlfn.XLOOKUP(Clean_Data[[#This Row],[Type of Event]],event_type_category[Type of Event],event_type_category[Category],"Not found")</f>
        <v>War &amp; Conflict</v>
      </c>
    </row>
    <row r="1067" spans="1:18">
      <c r="A1067">
        <v>1129</v>
      </c>
      <c r="B1067" t="s">
        <v>4728</v>
      </c>
      <c r="C1067" t="s">
        <v>107</v>
      </c>
      <c r="D1067" t="s">
        <v>66</v>
      </c>
      <c r="E1067" t="s">
        <v>272</v>
      </c>
      <c r="F1067" t="s">
        <v>4702</v>
      </c>
      <c r="G1067" t="s">
        <v>31</v>
      </c>
      <c r="H1067" t="s">
        <v>4702</v>
      </c>
      <c r="I1067" t="s">
        <v>4729</v>
      </c>
      <c r="J1067" t="s">
        <v>4705</v>
      </c>
      <c r="K1067" t="s">
        <v>4730</v>
      </c>
      <c r="L1067" t="s">
        <v>21</v>
      </c>
      <c r="M1067">
        <v>1983</v>
      </c>
      <c r="N1067" s="5">
        <f>ROUNDUP(Clean_Data[[#This Row],[Year_Num]]/100,0)</f>
        <v>20</v>
      </c>
      <c r="O1067" s="5" t="str" cm="1">
        <f t="array" ref="O1067">_xlfn.LET(_xlpm.y,Clean_Data[[#This Row],[Year_Num]],_xlfn.IFS(_xlpm.y&lt;500,"Ancient",_xlpm.y&lt;1500,"Medieval",_xlpm.y&lt;1800,"Early Modern",_xlpm.y&lt;1946,"Modern",TRUE,"Contemporary"))</f>
        <v>Contemporary</v>
      </c>
      <c r="P1067" s="5" t="str">
        <f>_xlfn.XLOOKUP(Clean_Data[[#This Row],[Country]],country_region[Country],country_region[Country_Standard],"Not found")</f>
        <v>Argentina</v>
      </c>
      <c r="Q1067" s="5" t="str">
        <f>_xlfn.XLOOKUP(Clean_Data[[#This Row],[Country]],country_region[Country],country_region[Region],"Not found")</f>
        <v>Latin America</v>
      </c>
      <c r="R1067" s="5" t="str">
        <f>_xlfn.XLOOKUP(Clean_Data[[#This Row],[Type of Event]],event_type_category[Type of Event],event_type_category[Category],"Not found")</f>
        <v>Politics &amp; Law</v>
      </c>
    </row>
    <row r="1068" spans="1:18">
      <c r="A1068">
        <v>1130</v>
      </c>
      <c r="B1068" t="s">
        <v>4731</v>
      </c>
      <c r="C1068" t="s">
        <v>46</v>
      </c>
      <c r="D1068" t="s">
        <v>66</v>
      </c>
      <c r="E1068" t="s">
        <v>225</v>
      </c>
      <c r="F1068" t="s">
        <v>4702</v>
      </c>
      <c r="G1068" t="s">
        <v>1463</v>
      </c>
      <c r="H1068" t="s">
        <v>4702</v>
      </c>
      <c r="I1068" t="s">
        <v>4732</v>
      </c>
      <c r="J1068" t="s">
        <v>4705</v>
      </c>
      <c r="K1068" t="s">
        <v>4733</v>
      </c>
      <c r="L1068" t="s">
        <v>54</v>
      </c>
      <c r="M1068">
        <v>2001</v>
      </c>
      <c r="N1068" s="5">
        <f>ROUNDUP(Clean_Data[[#This Row],[Year_Num]]/100,0)</f>
        <v>21</v>
      </c>
      <c r="O1068" s="5" t="str" cm="1">
        <f t="array" ref="O1068">_xlfn.LET(_xlpm.y,Clean_Data[[#This Row],[Year_Num]],_xlfn.IFS(_xlpm.y&lt;500,"Ancient",_xlpm.y&lt;1500,"Medieval",_xlpm.y&lt;1800,"Early Modern",_xlpm.y&lt;1946,"Modern",TRUE,"Contemporary"))</f>
        <v>Contemporary</v>
      </c>
      <c r="P1068" s="5" t="str">
        <f>_xlfn.XLOOKUP(Clean_Data[[#This Row],[Country]],country_region[Country],country_region[Country_Standard],"Not found")</f>
        <v>Argentina</v>
      </c>
      <c r="Q1068" s="5" t="str">
        <f>_xlfn.XLOOKUP(Clean_Data[[#This Row],[Country]],country_region[Country],country_region[Region],"Not found")</f>
        <v>Latin America</v>
      </c>
      <c r="R1068" s="5" t="str">
        <f>_xlfn.XLOOKUP(Clean_Data[[#This Row],[Type of Event]],event_type_category[Type of Event],event_type_category[Category],"Not found")</f>
        <v>Economy &amp; Infrastructure</v>
      </c>
    </row>
    <row r="1069" spans="1:18">
      <c r="A1069">
        <v>1131</v>
      </c>
      <c r="B1069" t="s">
        <v>5089</v>
      </c>
      <c r="C1069" t="s">
        <v>56</v>
      </c>
      <c r="D1069" t="s">
        <v>211</v>
      </c>
      <c r="E1069" t="s">
        <v>623</v>
      </c>
      <c r="F1069" t="s">
        <v>4702</v>
      </c>
      <c r="G1069" t="s">
        <v>313</v>
      </c>
      <c r="H1069" t="s">
        <v>4702</v>
      </c>
      <c r="I1069" t="s">
        <v>5090</v>
      </c>
      <c r="J1069" t="s">
        <v>4705</v>
      </c>
      <c r="K1069" t="s">
        <v>4736</v>
      </c>
      <c r="L1069" t="s">
        <v>21</v>
      </c>
      <c r="M1069">
        <v>2010</v>
      </c>
      <c r="N1069" s="5">
        <f>ROUNDUP(Clean_Data[[#This Row],[Year_Num]]/100,0)</f>
        <v>21</v>
      </c>
      <c r="O1069" s="5" t="str" cm="1">
        <f t="array" ref="O1069">_xlfn.LET(_xlpm.y,Clean_Data[[#This Row],[Year_Num]],_xlfn.IFS(_xlpm.y&lt;500,"Ancient",_xlpm.y&lt;1500,"Medieval",_xlpm.y&lt;1800,"Early Modern",_xlpm.y&lt;1946,"Modern",TRUE,"Contemporary"))</f>
        <v>Contemporary</v>
      </c>
      <c r="P1069" s="5" t="str">
        <f>_xlfn.XLOOKUP(Clean_Data[[#This Row],[Country]],country_region[Country],country_region[Country_Standard],"Not found")</f>
        <v>Argentina</v>
      </c>
      <c r="Q1069" s="5" t="str">
        <f>_xlfn.XLOOKUP(Clean_Data[[#This Row],[Country]],country_region[Country],country_region[Region],"Not found")</f>
        <v>Latin America</v>
      </c>
      <c r="R1069" s="5" t="str">
        <f>_xlfn.XLOOKUP(Clean_Data[[#This Row],[Type of Event]],event_type_category[Type of Event],event_type_category[Category],"Not found")</f>
        <v>Politics &amp; Law</v>
      </c>
    </row>
    <row r="1070" spans="1:18">
      <c r="A1070">
        <v>1132</v>
      </c>
      <c r="B1070" t="s">
        <v>4737</v>
      </c>
      <c r="C1070" t="s">
        <v>150</v>
      </c>
      <c r="D1070" t="s">
        <v>39</v>
      </c>
      <c r="E1070" t="s">
        <v>151</v>
      </c>
      <c r="F1070" t="s">
        <v>4702</v>
      </c>
      <c r="G1070" t="s">
        <v>1463</v>
      </c>
      <c r="H1070" t="s">
        <v>4702</v>
      </c>
      <c r="I1070" t="s">
        <v>4738</v>
      </c>
      <c r="J1070" t="s">
        <v>4705</v>
      </c>
      <c r="K1070" t="s">
        <v>4739</v>
      </c>
      <c r="L1070" t="s">
        <v>36</v>
      </c>
      <c r="M1070">
        <v>2012</v>
      </c>
      <c r="N1070" s="5">
        <f>ROUNDUP(Clean_Data[[#This Row],[Year_Num]]/100,0)</f>
        <v>21</v>
      </c>
      <c r="O1070" s="5" t="str" cm="1">
        <f t="array" ref="O1070">_xlfn.LET(_xlpm.y,Clean_Data[[#This Row],[Year_Num]],_xlfn.IFS(_xlpm.y&lt;500,"Ancient",_xlpm.y&lt;1500,"Medieval",_xlpm.y&lt;1800,"Early Modern",_xlpm.y&lt;1946,"Modern",TRUE,"Contemporary"))</f>
        <v>Contemporary</v>
      </c>
      <c r="P1070" s="5" t="str">
        <f>_xlfn.XLOOKUP(Clean_Data[[#This Row],[Country]],country_region[Country],country_region[Country_Standard],"Not found")</f>
        <v>Argentina</v>
      </c>
      <c r="Q1070" s="5" t="str">
        <f>_xlfn.XLOOKUP(Clean_Data[[#This Row],[Country]],country_region[Country],country_region[Region],"Not found")</f>
        <v>Latin America</v>
      </c>
      <c r="R1070" s="5" t="str">
        <f>_xlfn.XLOOKUP(Clean_Data[[#This Row],[Type of Event]],event_type_category[Type of Event],event_type_category[Category],"Not found")</f>
        <v>Economy &amp; Infrastructure</v>
      </c>
    </row>
    <row r="1071" spans="1:18">
      <c r="A1071">
        <v>1133</v>
      </c>
      <c r="B1071" t="s">
        <v>4740</v>
      </c>
      <c r="C1071" t="s">
        <v>200</v>
      </c>
      <c r="D1071" t="s">
        <v>100</v>
      </c>
      <c r="E1071" t="s">
        <v>713</v>
      </c>
      <c r="F1071" t="s">
        <v>4702</v>
      </c>
      <c r="G1071" t="s">
        <v>273</v>
      </c>
      <c r="H1071" t="s">
        <v>4703</v>
      </c>
      <c r="I1071" t="s">
        <v>4741</v>
      </c>
      <c r="J1071" t="s">
        <v>4705</v>
      </c>
      <c r="K1071" t="s">
        <v>4742</v>
      </c>
      <c r="L1071" t="s">
        <v>21</v>
      </c>
      <c r="M1071">
        <v>1978</v>
      </c>
      <c r="N1071" s="5">
        <f>ROUNDUP(Clean_Data[[#This Row],[Year_Num]]/100,0)</f>
        <v>20</v>
      </c>
      <c r="O1071" s="5" t="str" cm="1">
        <f t="array" ref="O1071">_xlfn.LET(_xlpm.y,Clean_Data[[#This Row],[Year_Num]],_xlfn.IFS(_xlpm.y&lt;500,"Ancient",_xlpm.y&lt;1500,"Medieval",_xlpm.y&lt;1800,"Early Modern",_xlpm.y&lt;1946,"Modern",TRUE,"Contemporary"))</f>
        <v>Contemporary</v>
      </c>
      <c r="P1071" s="5" t="str">
        <f>_xlfn.XLOOKUP(Clean_Data[[#This Row],[Country]],country_region[Country],country_region[Country_Standard],"Not found")</f>
        <v>Argentina</v>
      </c>
      <c r="Q1071" s="5" t="str">
        <f>_xlfn.XLOOKUP(Clean_Data[[#This Row],[Country]],country_region[Country],country_region[Region],"Not found")</f>
        <v>Latin America</v>
      </c>
      <c r="R1071" s="5" t="str">
        <f>_xlfn.XLOOKUP(Clean_Data[[#This Row],[Type of Event]],event_type_category[Type of Event],event_type_category[Category],"Not found")</f>
        <v>Culture, Religion &amp; Sport</v>
      </c>
    </row>
    <row r="1072" spans="1:18">
      <c r="A1072">
        <v>1134</v>
      </c>
      <c r="B1072" t="s">
        <v>4743</v>
      </c>
      <c r="E1072" t="s">
        <v>174</v>
      </c>
      <c r="F1072" t="s">
        <v>4702</v>
      </c>
      <c r="G1072" t="s">
        <v>1463</v>
      </c>
      <c r="H1072" t="s">
        <v>4702</v>
      </c>
      <c r="I1072" t="s">
        <v>4744</v>
      </c>
      <c r="J1072" t="s">
        <v>4705</v>
      </c>
      <c r="K1072" t="s">
        <v>4745</v>
      </c>
      <c r="L1072" t="s">
        <v>54</v>
      </c>
      <c r="M1072">
        <v>2018</v>
      </c>
      <c r="N1072" s="5">
        <f>ROUNDUP(Clean_Data[[#This Row],[Year_Num]]/100,0)</f>
        <v>21</v>
      </c>
      <c r="O1072" s="5" t="str" cm="1">
        <f t="array" ref="O1072">_xlfn.LET(_xlpm.y,Clean_Data[[#This Row],[Year_Num]],_xlfn.IFS(_xlpm.y&lt;500,"Ancient",_xlpm.y&lt;1500,"Medieval",_xlpm.y&lt;1800,"Early Modern",_xlpm.y&lt;1946,"Modern",TRUE,"Contemporary"))</f>
        <v>Contemporary</v>
      </c>
      <c r="P1072" s="5" t="str">
        <f>_xlfn.XLOOKUP(Clean_Data[[#This Row],[Country]],country_region[Country],country_region[Country_Standard],"Not found")</f>
        <v>Argentina</v>
      </c>
      <c r="Q1072" s="5" t="str">
        <f>_xlfn.XLOOKUP(Clean_Data[[#This Row],[Country]],country_region[Country],country_region[Region],"Not found")</f>
        <v>Latin America</v>
      </c>
      <c r="R1072" s="5" t="str">
        <f>_xlfn.XLOOKUP(Clean_Data[[#This Row],[Type of Event]],event_type_category[Type of Event],event_type_category[Category],"Not found")</f>
        <v>Economy &amp; Infrastructure</v>
      </c>
    </row>
    <row r="1073" spans="1:18">
      <c r="A1073">
        <v>1135</v>
      </c>
      <c r="B1073" t="s">
        <v>4746</v>
      </c>
      <c r="C1073" t="s">
        <v>224</v>
      </c>
      <c r="D1073" t="s">
        <v>267</v>
      </c>
      <c r="E1073" t="s">
        <v>279</v>
      </c>
      <c r="F1073" t="s">
        <v>4702</v>
      </c>
      <c r="G1073" t="s">
        <v>4010</v>
      </c>
      <c r="H1073" t="s">
        <v>4747</v>
      </c>
      <c r="I1073" t="s">
        <v>4748</v>
      </c>
      <c r="J1073" t="s">
        <v>4749</v>
      </c>
      <c r="K1073" t="s">
        <v>4750</v>
      </c>
      <c r="L1073" t="s">
        <v>21</v>
      </c>
      <c r="M1073">
        <v>2013</v>
      </c>
      <c r="N1073" s="5">
        <f>ROUNDUP(Clean_Data[[#This Row],[Year_Num]]/100,0)</f>
        <v>21</v>
      </c>
      <c r="O1073" s="5" t="str" cm="1">
        <f t="array" ref="O1073">_xlfn.LET(_xlpm.y,Clean_Data[[#This Row],[Year_Num]],_xlfn.IFS(_xlpm.y&lt;500,"Ancient",_xlpm.y&lt;1500,"Medieval",_xlpm.y&lt;1800,"Early Modern",_xlpm.y&lt;1946,"Modern",TRUE,"Contemporary"))</f>
        <v>Contemporary</v>
      </c>
      <c r="P1073" s="5" t="str">
        <f>_xlfn.XLOOKUP(Clean_Data[[#This Row],[Country]],country_region[Country],country_region[Country_Standard],"Not found")</f>
        <v>Argentina</v>
      </c>
      <c r="Q1073" s="5" t="str">
        <f>_xlfn.XLOOKUP(Clean_Data[[#This Row],[Country]],country_region[Country],country_region[Region],"Not found")</f>
        <v>Latin America</v>
      </c>
      <c r="R1073" s="5" t="str">
        <f>_xlfn.XLOOKUP(Clean_Data[[#This Row],[Type of Event]],event_type_category[Type of Event],event_type_category[Category],"Not found")</f>
        <v>Culture, Religion &amp; Sport</v>
      </c>
    </row>
    <row r="1074" spans="1:18">
      <c r="A1074">
        <v>1136</v>
      </c>
      <c r="B1074" t="s">
        <v>4751</v>
      </c>
      <c r="D1074" t="s">
        <v>66</v>
      </c>
      <c r="E1074" t="s">
        <v>225</v>
      </c>
      <c r="F1074" t="s">
        <v>4702</v>
      </c>
      <c r="G1074" t="s">
        <v>2914</v>
      </c>
      <c r="H1074" t="s">
        <v>4702</v>
      </c>
      <c r="I1074" t="s">
        <v>4752</v>
      </c>
      <c r="J1074" t="s">
        <v>4705</v>
      </c>
      <c r="L1074" t="s">
        <v>21</v>
      </c>
      <c r="M1074">
        <v>2001</v>
      </c>
      <c r="N1074" s="5">
        <f>ROUNDUP(Clean_Data[[#This Row],[Year_Num]]/100,0)</f>
        <v>21</v>
      </c>
      <c r="O1074" s="5" t="str" cm="1">
        <f t="array" ref="O1074">_xlfn.LET(_xlpm.y,Clean_Data[[#This Row],[Year_Num]],_xlfn.IFS(_xlpm.y&lt;500,"Ancient",_xlpm.y&lt;1500,"Medieval",_xlpm.y&lt;1800,"Early Modern",_xlpm.y&lt;1946,"Modern",TRUE,"Contemporary"))</f>
        <v>Contemporary</v>
      </c>
      <c r="P1074" s="5" t="str">
        <f>_xlfn.XLOOKUP(Clean_Data[[#This Row],[Country]],country_region[Country],country_region[Country_Standard],"Not found")</f>
        <v>Argentina</v>
      </c>
      <c r="Q1074" s="5" t="str">
        <f>_xlfn.XLOOKUP(Clean_Data[[#This Row],[Country]],country_region[Country],country_region[Region],"Not found")</f>
        <v>Latin America</v>
      </c>
      <c r="R1074" s="5" t="str">
        <f>_xlfn.XLOOKUP(Clean_Data[[#This Row],[Type of Event]],event_type_category[Type of Event],event_type_category[Category],"Not found")</f>
        <v>Society &amp; Health</v>
      </c>
    </row>
    <row r="1075" spans="1:18">
      <c r="A1075">
        <v>1137</v>
      </c>
      <c r="B1075" t="s">
        <v>4753</v>
      </c>
      <c r="D1075" t="s">
        <v>66</v>
      </c>
      <c r="E1075" t="s">
        <v>166</v>
      </c>
      <c r="F1075" t="s">
        <v>4702</v>
      </c>
      <c r="G1075" t="s">
        <v>313</v>
      </c>
      <c r="H1075" t="s">
        <v>4702</v>
      </c>
      <c r="I1075" t="s">
        <v>4754</v>
      </c>
      <c r="J1075" t="s">
        <v>4705</v>
      </c>
      <c r="K1075" t="s">
        <v>4736</v>
      </c>
      <c r="L1075" t="s">
        <v>21</v>
      </c>
      <c r="M1075">
        <v>2020</v>
      </c>
      <c r="N1075" s="5">
        <f>ROUNDUP(Clean_Data[[#This Row],[Year_Num]]/100,0)</f>
        <v>21</v>
      </c>
      <c r="O1075" s="5" t="str" cm="1">
        <f t="array" ref="O1075">_xlfn.LET(_xlpm.y,Clean_Data[[#This Row],[Year_Num]],_xlfn.IFS(_xlpm.y&lt;500,"Ancient",_xlpm.y&lt;1500,"Medieval",_xlpm.y&lt;1800,"Early Modern",_xlpm.y&lt;1946,"Modern",TRUE,"Contemporary"))</f>
        <v>Contemporary</v>
      </c>
      <c r="P1075" s="5" t="str">
        <f>_xlfn.XLOOKUP(Clean_Data[[#This Row],[Country]],country_region[Country],country_region[Country_Standard],"Not found")</f>
        <v>Argentina</v>
      </c>
      <c r="Q1075" s="5" t="str">
        <f>_xlfn.XLOOKUP(Clean_Data[[#This Row],[Country]],country_region[Country],country_region[Region],"Not found")</f>
        <v>Latin America</v>
      </c>
      <c r="R1075" s="5" t="str">
        <f>_xlfn.XLOOKUP(Clean_Data[[#This Row],[Type of Event]],event_type_category[Type of Event],event_type_category[Category],"Not found")</f>
        <v>Politics &amp; Law</v>
      </c>
    </row>
    <row r="1076" spans="1:18">
      <c r="A1076">
        <v>1138</v>
      </c>
      <c r="B1076" t="s">
        <v>4755</v>
      </c>
      <c r="E1076" t="s">
        <v>23</v>
      </c>
      <c r="F1076" t="s">
        <v>4756</v>
      </c>
      <c r="G1076" t="s">
        <v>1244</v>
      </c>
      <c r="H1076" t="s">
        <v>2910</v>
      </c>
      <c r="I1076" t="s">
        <v>4757</v>
      </c>
      <c r="J1076" t="s">
        <v>4758</v>
      </c>
      <c r="L1076" t="s">
        <v>21</v>
      </c>
      <c r="M1076">
        <v>-1400</v>
      </c>
      <c r="N1076" s="5">
        <f>ROUNDUP(Clean_Data[[#This Row],[Year_Num]]/100,0)</f>
        <v>-14</v>
      </c>
      <c r="O1076" s="5" t="str" cm="1">
        <f t="array" ref="O1076">_xlfn.LET(_xlpm.y,Clean_Data[[#This Row],[Year_Num]],_xlfn.IFS(_xlpm.y&lt;500,"Ancient",_xlpm.y&lt;1500,"Medieval",_xlpm.y&lt;1800,"Early Modern",_xlpm.y&lt;1946,"Modern",TRUE,"Contemporary"))</f>
        <v>Ancient</v>
      </c>
      <c r="P1076" s="5" t="str">
        <f>_xlfn.XLOOKUP(Clean_Data[[#This Row],[Country]],country_region[Country],country_region[Country_Standard],"Not found")</f>
        <v>Mexico</v>
      </c>
      <c r="Q1076" s="5" t="str">
        <f>_xlfn.XLOOKUP(Clean_Data[[#This Row],[Country]],country_region[Country],country_region[Region],"Not found")</f>
        <v>Latin America</v>
      </c>
      <c r="R1076" s="5" t="str">
        <f>_xlfn.XLOOKUP(Clean_Data[[#This Row],[Type of Event]],event_type_category[Type of Event],event_type_category[Category],"Not found")</f>
        <v>Culture, Religion &amp; Sport</v>
      </c>
    </row>
    <row r="1077" spans="1:18">
      <c r="A1077">
        <v>1139</v>
      </c>
      <c r="B1077" t="s">
        <v>4759</v>
      </c>
      <c r="E1077" t="s">
        <v>756</v>
      </c>
      <c r="F1077" t="s">
        <v>4756</v>
      </c>
      <c r="G1077" t="s">
        <v>4530</v>
      </c>
      <c r="H1077" t="s">
        <v>4760</v>
      </c>
      <c r="I1077" t="s">
        <v>5091</v>
      </c>
      <c r="J1077" t="s">
        <v>4758</v>
      </c>
      <c r="L1077" t="s">
        <v>21</v>
      </c>
      <c r="M1077">
        <v>-100</v>
      </c>
      <c r="N1077" s="5">
        <f>ROUNDUP(Clean_Data[[#This Row],[Year_Num]]/100,0)</f>
        <v>-1</v>
      </c>
      <c r="O1077" s="5" t="str" cm="1">
        <f t="array" ref="O1077">_xlfn.LET(_xlpm.y,Clean_Data[[#This Row],[Year_Num]],_xlfn.IFS(_xlpm.y&lt;500,"Ancient",_xlpm.y&lt;1500,"Medieval",_xlpm.y&lt;1800,"Early Modern",_xlpm.y&lt;1946,"Modern",TRUE,"Contemporary"))</f>
        <v>Ancient</v>
      </c>
      <c r="P1077" s="5" t="str">
        <f>_xlfn.XLOOKUP(Clean_Data[[#This Row],[Country]],country_region[Country],country_region[Country_Standard],"Not found")</f>
        <v>Mexico</v>
      </c>
      <c r="Q1077" s="5" t="str">
        <f>_xlfn.XLOOKUP(Clean_Data[[#This Row],[Country]],country_region[Country],country_region[Region],"Not found")</f>
        <v>Latin America</v>
      </c>
      <c r="R1077" s="5" t="str">
        <f>_xlfn.XLOOKUP(Clean_Data[[#This Row],[Type of Event]],event_type_category[Type of Event],event_type_category[Category],"Not found")</f>
        <v>Economy &amp; Infrastructure</v>
      </c>
    </row>
    <row r="1078" spans="1:18">
      <c r="A1078">
        <v>1140</v>
      </c>
      <c r="B1078" t="s">
        <v>4762</v>
      </c>
      <c r="E1078" t="s">
        <v>4763</v>
      </c>
      <c r="F1078" t="s">
        <v>4756</v>
      </c>
      <c r="G1078" t="s">
        <v>1244</v>
      </c>
      <c r="H1078" t="s">
        <v>4764</v>
      </c>
      <c r="I1078" t="s">
        <v>4765</v>
      </c>
      <c r="J1078" t="s">
        <v>4766</v>
      </c>
      <c r="L1078" t="s">
        <v>21</v>
      </c>
      <c r="M1078">
        <v>250</v>
      </c>
      <c r="N1078" s="5">
        <f>ROUNDUP(Clean_Data[[#This Row],[Year_Num]]/100,0)</f>
        <v>3</v>
      </c>
      <c r="O1078" s="5" t="str" cm="1">
        <f t="array" ref="O1078">_xlfn.LET(_xlpm.y,Clean_Data[[#This Row],[Year_Num]],_xlfn.IFS(_xlpm.y&lt;500,"Ancient",_xlpm.y&lt;1500,"Medieval",_xlpm.y&lt;1800,"Early Modern",_xlpm.y&lt;1946,"Modern",TRUE,"Contemporary"))</f>
        <v>Ancient</v>
      </c>
      <c r="P1078" s="5" t="str">
        <f>_xlfn.XLOOKUP(Clean_Data[[#This Row],[Country]],country_region[Country],country_region[Country_Standard],"Not found")</f>
        <v>Mexico</v>
      </c>
      <c r="Q1078" s="5" t="str">
        <f>_xlfn.XLOOKUP(Clean_Data[[#This Row],[Country]],country_region[Country],country_region[Region],"Not found")</f>
        <v>Latin America</v>
      </c>
      <c r="R1078" s="5" t="str">
        <f>_xlfn.XLOOKUP(Clean_Data[[#This Row],[Type of Event]],event_type_category[Type of Event],event_type_category[Category],"Not found")</f>
        <v>Culture, Religion &amp; Sport</v>
      </c>
    </row>
    <row r="1079" spans="1:18">
      <c r="A1079">
        <v>1141</v>
      </c>
      <c r="B1079" t="s">
        <v>4767</v>
      </c>
      <c r="E1079" t="s">
        <v>4768</v>
      </c>
      <c r="F1079" t="s">
        <v>4756</v>
      </c>
      <c r="G1079" t="s">
        <v>4769</v>
      </c>
      <c r="H1079" t="s">
        <v>4770</v>
      </c>
      <c r="I1079" t="s">
        <v>4771</v>
      </c>
      <c r="J1079" t="s">
        <v>4758</v>
      </c>
      <c r="L1079" t="s">
        <v>54</v>
      </c>
      <c r="M1079">
        <v>750</v>
      </c>
      <c r="N1079" s="5">
        <f>ROUNDUP(Clean_Data[[#This Row],[Year_Num]]/100,0)</f>
        <v>8</v>
      </c>
      <c r="O1079" s="5" t="str" cm="1">
        <f t="array" ref="O1079">_xlfn.LET(_xlpm.y,Clean_Data[[#This Row],[Year_Num]],_xlfn.IFS(_xlpm.y&lt;500,"Ancient",_xlpm.y&lt;1500,"Medieval",_xlpm.y&lt;1800,"Early Modern",_xlpm.y&lt;1946,"Modern",TRUE,"Contemporary"))</f>
        <v>Medieval</v>
      </c>
      <c r="P1079" s="5" t="str">
        <f>_xlfn.XLOOKUP(Clean_Data[[#This Row],[Country]],country_region[Country],country_region[Country_Standard],"Not found")</f>
        <v>Mexico</v>
      </c>
      <c r="Q1079" s="5" t="str">
        <f>_xlfn.XLOOKUP(Clean_Data[[#This Row],[Country]],country_region[Country],country_region[Region],"Not found")</f>
        <v>Latin America</v>
      </c>
      <c r="R1079" s="5" t="str">
        <f>_xlfn.XLOOKUP(Clean_Data[[#This Row],[Type of Event]],event_type_category[Type of Event],event_type_category[Category],"Not found")</f>
        <v>Economy &amp; Infrastructure</v>
      </c>
    </row>
    <row r="1080" spans="1:18">
      <c r="A1080">
        <v>1142</v>
      </c>
      <c r="B1080" t="s">
        <v>4772</v>
      </c>
      <c r="C1080" t="s">
        <v>195</v>
      </c>
      <c r="D1080" t="s">
        <v>211</v>
      </c>
      <c r="E1080" t="s">
        <v>4773</v>
      </c>
      <c r="F1080" t="s">
        <v>4756</v>
      </c>
      <c r="G1080" t="s">
        <v>4530</v>
      </c>
      <c r="H1080" t="s">
        <v>4774</v>
      </c>
      <c r="I1080" t="s">
        <v>4775</v>
      </c>
      <c r="J1080" t="s">
        <v>4776</v>
      </c>
      <c r="L1080" t="s">
        <v>21</v>
      </c>
      <c r="M1080">
        <v>1325</v>
      </c>
      <c r="N1080" s="5">
        <f>ROUNDUP(Clean_Data[[#This Row],[Year_Num]]/100,0)</f>
        <v>14</v>
      </c>
      <c r="O1080" s="5" t="str" cm="1">
        <f t="array" ref="O1080">_xlfn.LET(_xlpm.y,Clean_Data[[#This Row],[Year_Num]],_xlfn.IFS(_xlpm.y&lt;500,"Ancient",_xlpm.y&lt;1500,"Medieval",_xlpm.y&lt;1800,"Early Modern",_xlpm.y&lt;1946,"Modern",TRUE,"Contemporary"))</f>
        <v>Medieval</v>
      </c>
      <c r="P1080" s="5" t="str">
        <f>_xlfn.XLOOKUP(Clean_Data[[#This Row],[Country]],country_region[Country],country_region[Country_Standard],"Not found")</f>
        <v>Mexico</v>
      </c>
      <c r="Q1080" s="5" t="str">
        <f>_xlfn.XLOOKUP(Clean_Data[[#This Row],[Country]],country_region[Country],country_region[Region],"Not found")</f>
        <v>Latin America</v>
      </c>
      <c r="R1080" s="5" t="str">
        <f>_xlfn.XLOOKUP(Clean_Data[[#This Row],[Type of Event]],event_type_category[Type of Event],event_type_category[Category],"Not found")</f>
        <v>Economy &amp; Infrastructure</v>
      </c>
    </row>
    <row r="1081" spans="1:18">
      <c r="A1081">
        <v>1143</v>
      </c>
      <c r="B1081" t="s">
        <v>4777</v>
      </c>
      <c r="C1081" t="s">
        <v>224</v>
      </c>
      <c r="D1081" t="s">
        <v>57</v>
      </c>
      <c r="E1081" t="s">
        <v>4778</v>
      </c>
      <c r="F1081" t="s">
        <v>4756</v>
      </c>
      <c r="G1081" t="s">
        <v>3703</v>
      </c>
      <c r="H1081" t="s">
        <v>4779</v>
      </c>
      <c r="I1081" t="s">
        <v>4780</v>
      </c>
      <c r="J1081" t="s">
        <v>4776</v>
      </c>
      <c r="K1081" t="s">
        <v>4781</v>
      </c>
      <c r="L1081" t="s">
        <v>54</v>
      </c>
      <c r="M1081">
        <v>1521</v>
      </c>
      <c r="N1081" s="5">
        <f>ROUNDUP(Clean_Data[[#This Row],[Year_Num]]/100,0)</f>
        <v>16</v>
      </c>
      <c r="O1081" s="5" t="str" cm="1">
        <f t="array" ref="O1081">_xlfn.LET(_xlpm.y,Clean_Data[[#This Row],[Year_Num]],_xlfn.IFS(_xlpm.y&lt;500,"Ancient",_xlpm.y&lt;1500,"Medieval",_xlpm.y&lt;1800,"Early Modern",_xlpm.y&lt;1946,"Modern",TRUE,"Contemporary"))</f>
        <v>Early Modern</v>
      </c>
      <c r="P1081" s="5" t="str">
        <f>_xlfn.XLOOKUP(Clean_Data[[#This Row],[Country]],country_region[Country],country_region[Country_Standard],"Not found")</f>
        <v>Mexico</v>
      </c>
      <c r="Q1081" s="5" t="str">
        <f>_xlfn.XLOOKUP(Clean_Data[[#This Row],[Country]],country_region[Country],country_region[Region],"Not found")</f>
        <v>Latin America</v>
      </c>
      <c r="R1081" s="5" t="str">
        <f>_xlfn.XLOOKUP(Clean_Data[[#This Row],[Type of Event]],event_type_category[Type of Event],event_type_category[Category],"Not found")</f>
        <v>War &amp; Conflict</v>
      </c>
    </row>
    <row r="1082" spans="1:18">
      <c r="A1082">
        <v>1144</v>
      </c>
      <c r="B1082" t="s">
        <v>4782</v>
      </c>
      <c r="C1082" t="s">
        <v>46</v>
      </c>
      <c r="E1082" t="s">
        <v>4778</v>
      </c>
      <c r="F1082" t="s">
        <v>4756</v>
      </c>
      <c r="G1082" t="s">
        <v>49</v>
      </c>
      <c r="H1082" t="s">
        <v>4756</v>
      </c>
      <c r="I1082" t="s">
        <v>4783</v>
      </c>
      <c r="J1082" t="s">
        <v>4784</v>
      </c>
      <c r="L1082" t="s">
        <v>54</v>
      </c>
      <c r="M1082">
        <v>1521</v>
      </c>
      <c r="N1082" s="5">
        <f>ROUNDUP(Clean_Data[[#This Row],[Year_Num]]/100,0)</f>
        <v>16</v>
      </c>
      <c r="O1082" s="5" t="str" cm="1">
        <f t="array" ref="O1082">_xlfn.LET(_xlpm.y,Clean_Data[[#This Row],[Year_Num]],_xlfn.IFS(_xlpm.y&lt;500,"Ancient",_xlpm.y&lt;1500,"Medieval",_xlpm.y&lt;1800,"Early Modern",_xlpm.y&lt;1946,"Modern",TRUE,"Contemporary"))</f>
        <v>Early Modern</v>
      </c>
      <c r="P1082" s="5" t="str">
        <f>_xlfn.XLOOKUP(Clean_Data[[#This Row],[Country]],country_region[Country],country_region[Country_Standard],"Not found")</f>
        <v>Mexico</v>
      </c>
      <c r="Q1082" s="5" t="str">
        <f>_xlfn.XLOOKUP(Clean_Data[[#This Row],[Country]],country_region[Country],country_region[Region],"Not found")</f>
        <v>Latin America</v>
      </c>
      <c r="R1082" s="5" t="str">
        <f>_xlfn.XLOOKUP(Clean_Data[[#This Row],[Type of Event]],event_type_category[Type of Event],event_type_category[Category],"Not found")</f>
        <v>Independence &amp; Nation-Building</v>
      </c>
    </row>
    <row r="1083" spans="1:18">
      <c r="A1083">
        <v>1145</v>
      </c>
      <c r="B1083" t="s">
        <v>4785</v>
      </c>
      <c r="C1083" t="s">
        <v>150</v>
      </c>
      <c r="D1083" t="s">
        <v>286</v>
      </c>
      <c r="E1083" t="s">
        <v>4701</v>
      </c>
      <c r="F1083" t="s">
        <v>4756</v>
      </c>
      <c r="G1083" t="s">
        <v>2588</v>
      </c>
      <c r="H1083" t="s">
        <v>4786</v>
      </c>
      <c r="I1083" t="s">
        <v>4787</v>
      </c>
      <c r="J1083" t="s">
        <v>4788</v>
      </c>
      <c r="K1083" t="s">
        <v>4789</v>
      </c>
      <c r="L1083" t="s">
        <v>21</v>
      </c>
      <c r="M1083">
        <v>1810</v>
      </c>
      <c r="N1083" s="5">
        <f>ROUNDUP(Clean_Data[[#This Row],[Year_Num]]/100,0)</f>
        <v>19</v>
      </c>
      <c r="O1083" s="5" t="str" cm="1">
        <f t="array" ref="O1083">_xlfn.LET(_xlpm.y,Clean_Data[[#This Row],[Year_Num]],_xlfn.IFS(_xlpm.y&lt;500,"Ancient",_xlpm.y&lt;1500,"Medieval",_xlpm.y&lt;1800,"Early Modern",_xlpm.y&lt;1946,"Modern",TRUE,"Contemporary"))</f>
        <v>Modern</v>
      </c>
      <c r="P1083" s="5" t="str">
        <f>_xlfn.XLOOKUP(Clean_Data[[#This Row],[Country]],country_region[Country],country_region[Country_Standard],"Not found")</f>
        <v>Mexico</v>
      </c>
      <c r="Q1083" s="5" t="str">
        <f>_xlfn.XLOOKUP(Clean_Data[[#This Row],[Country]],country_region[Country],country_region[Region],"Not found")</f>
        <v>Latin America</v>
      </c>
      <c r="R1083" s="5" t="str">
        <f>_xlfn.XLOOKUP(Clean_Data[[#This Row],[Type of Event]],event_type_category[Type of Event],event_type_category[Category],"Not found")</f>
        <v>Independence &amp; Nation-Building</v>
      </c>
    </row>
    <row r="1084" spans="1:18">
      <c r="A1084">
        <v>1146</v>
      </c>
      <c r="B1084" t="s">
        <v>4790</v>
      </c>
      <c r="C1084" t="s">
        <v>218</v>
      </c>
      <c r="D1084" t="s">
        <v>57</v>
      </c>
      <c r="E1084" t="s">
        <v>4791</v>
      </c>
      <c r="F1084" t="s">
        <v>4756</v>
      </c>
      <c r="G1084" t="s">
        <v>2588</v>
      </c>
      <c r="H1084" t="s">
        <v>4792</v>
      </c>
      <c r="I1084" t="s">
        <v>4793</v>
      </c>
      <c r="J1084" t="s">
        <v>4788</v>
      </c>
      <c r="K1084" t="s">
        <v>4794</v>
      </c>
      <c r="L1084" t="s">
        <v>21</v>
      </c>
      <c r="M1084">
        <v>1821</v>
      </c>
      <c r="N1084" s="5">
        <f>ROUNDUP(Clean_Data[[#This Row],[Year_Num]]/100,0)</f>
        <v>19</v>
      </c>
      <c r="O1084" s="5" t="str" cm="1">
        <f t="array" ref="O1084">_xlfn.LET(_xlpm.y,Clean_Data[[#This Row],[Year_Num]],_xlfn.IFS(_xlpm.y&lt;500,"Ancient",_xlpm.y&lt;1500,"Medieval",_xlpm.y&lt;1800,"Early Modern",_xlpm.y&lt;1946,"Modern",TRUE,"Contemporary"))</f>
        <v>Modern</v>
      </c>
      <c r="P1084" s="5" t="str">
        <f>_xlfn.XLOOKUP(Clean_Data[[#This Row],[Country]],country_region[Country],country_region[Country_Standard],"Not found")</f>
        <v>Mexico</v>
      </c>
      <c r="Q1084" s="5" t="str">
        <f>_xlfn.XLOOKUP(Clean_Data[[#This Row],[Country]],country_region[Country],country_region[Region],"Not found")</f>
        <v>Latin America</v>
      </c>
      <c r="R1084" s="5" t="str">
        <f>_xlfn.XLOOKUP(Clean_Data[[#This Row],[Type of Event]],event_type_category[Type of Event],event_type_category[Category],"Not found")</f>
        <v>Independence &amp; Nation-Building</v>
      </c>
    </row>
    <row r="1085" spans="1:18">
      <c r="A1085">
        <v>1147</v>
      </c>
      <c r="B1085" t="s">
        <v>4795</v>
      </c>
      <c r="C1085" t="s">
        <v>362</v>
      </c>
      <c r="D1085" t="s">
        <v>286</v>
      </c>
      <c r="E1085" t="s">
        <v>4791</v>
      </c>
      <c r="F1085" t="s">
        <v>4756</v>
      </c>
      <c r="G1085" t="s">
        <v>31</v>
      </c>
      <c r="H1085" t="s">
        <v>4756</v>
      </c>
      <c r="I1085" t="s">
        <v>4796</v>
      </c>
      <c r="J1085" t="s">
        <v>4788</v>
      </c>
      <c r="K1085" t="s">
        <v>4794</v>
      </c>
      <c r="L1085" t="s">
        <v>21</v>
      </c>
      <c r="M1085">
        <v>1821</v>
      </c>
      <c r="N1085" s="5">
        <f>ROUNDUP(Clean_Data[[#This Row],[Year_Num]]/100,0)</f>
        <v>19</v>
      </c>
      <c r="O1085" s="5" t="str" cm="1">
        <f t="array" ref="O1085">_xlfn.LET(_xlpm.y,Clean_Data[[#This Row],[Year_Num]],_xlfn.IFS(_xlpm.y&lt;500,"Ancient",_xlpm.y&lt;1500,"Medieval",_xlpm.y&lt;1800,"Early Modern",_xlpm.y&lt;1946,"Modern",TRUE,"Contemporary"))</f>
        <v>Modern</v>
      </c>
      <c r="P1085" s="5" t="str">
        <f>_xlfn.XLOOKUP(Clean_Data[[#This Row],[Country]],country_region[Country],country_region[Country_Standard],"Not found")</f>
        <v>Mexico</v>
      </c>
      <c r="Q1085" s="5" t="str">
        <f>_xlfn.XLOOKUP(Clean_Data[[#This Row],[Country]],country_region[Country],country_region[Region],"Not found")</f>
        <v>Latin America</v>
      </c>
      <c r="R1085" s="5" t="str">
        <f>_xlfn.XLOOKUP(Clean_Data[[#This Row],[Type of Event]],event_type_category[Type of Event],event_type_category[Category],"Not found")</f>
        <v>Politics &amp; Law</v>
      </c>
    </row>
    <row r="1086" spans="1:18">
      <c r="A1086">
        <v>1148</v>
      </c>
      <c r="B1086" t="s">
        <v>5092</v>
      </c>
      <c r="C1086" t="s">
        <v>200</v>
      </c>
      <c r="D1086" t="s">
        <v>39</v>
      </c>
      <c r="E1086" t="s">
        <v>3053</v>
      </c>
      <c r="F1086" t="s">
        <v>4756</v>
      </c>
      <c r="G1086" t="s">
        <v>356</v>
      </c>
      <c r="H1086" t="s">
        <v>4798</v>
      </c>
      <c r="I1086" t="s">
        <v>4799</v>
      </c>
      <c r="J1086" t="s">
        <v>4788</v>
      </c>
      <c r="K1086" t="s">
        <v>4800</v>
      </c>
      <c r="L1086" t="s">
        <v>54</v>
      </c>
      <c r="M1086">
        <v>1846</v>
      </c>
      <c r="N1086" s="5">
        <f>ROUNDUP(Clean_Data[[#This Row],[Year_Num]]/100,0)</f>
        <v>19</v>
      </c>
      <c r="O1086" s="5" t="str" cm="1">
        <f t="array" ref="O1086">_xlfn.LET(_xlpm.y,Clean_Data[[#This Row],[Year_Num]],_xlfn.IFS(_xlpm.y&lt;500,"Ancient",_xlpm.y&lt;1500,"Medieval",_xlpm.y&lt;1800,"Early Modern",_xlpm.y&lt;1946,"Modern",TRUE,"Contemporary"))</f>
        <v>Modern</v>
      </c>
      <c r="P1086" s="5" t="str">
        <f>_xlfn.XLOOKUP(Clean_Data[[#This Row],[Country]],country_region[Country],country_region[Country_Standard],"Not found")</f>
        <v>Mexico</v>
      </c>
      <c r="Q1086" s="5" t="str">
        <f>_xlfn.XLOOKUP(Clean_Data[[#This Row],[Country]],country_region[Country],country_region[Region],"Not found")</f>
        <v>Latin America</v>
      </c>
      <c r="R1086" s="5" t="str">
        <f>_xlfn.XLOOKUP(Clean_Data[[#This Row],[Type of Event]],event_type_category[Type of Event],event_type_category[Category],"Not found")</f>
        <v>War &amp; Conflict</v>
      </c>
    </row>
    <row r="1087" spans="1:18">
      <c r="A1087">
        <v>1149</v>
      </c>
      <c r="B1087" t="s">
        <v>4801</v>
      </c>
      <c r="E1087" t="s">
        <v>108</v>
      </c>
      <c r="F1087" t="s">
        <v>4756</v>
      </c>
      <c r="G1087" t="s">
        <v>801</v>
      </c>
      <c r="H1087" t="s">
        <v>4756</v>
      </c>
      <c r="I1087" t="s">
        <v>4802</v>
      </c>
      <c r="J1087" t="s">
        <v>4788</v>
      </c>
      <c r="K1087" t="s">
        <v>4803</v>
      </c>
      <c r="L1087" t="s">
        <v>36</v>
      </c>
      <c r="M1087">
        <v>1857</v>
      </c>
      <c r="N1087" s="5">
        <f>ROUNDUP(Clean_Data[[#This Row],[Year_Num]]/100,0)</f>
        <v>19</v>
      </c>
      <c r="O1087" s="5" t="str" cm="1">
        <f t="array" ref="O1087">_xlfn.LET(_xlpm.y,Clean_Data[[#This Row],[Year_Num]],_xlfn.IFS(_xlpm.y&lt;500,"Ancient",_xlpm.y&lt;1500,"Medieval",_xlpm.y&lt;1800,"Early Modern",_xlpm.y&lt;1946,"Modern",TRUE,"Contemporary"))</f>
        <v>Modern</v>
      </c>
      <c r="P1087" s="5" t="str">
        <f>_xlfn.XLOOKUP(Clean_Data[[#This Row],[Country]],country_region[Country],country_region[Country_Standard],"Not found")</f>
        <v>Mexico</v>
      </c>
      <c r="Q1087" s="5" t="str">
        <f>_xlfn.XLOOKUP(Clean_Data[[#This Row],[Country]],country_region[Country],country_region[Region],"Not found")</f>
        <v>Latin America</v>
      </c>
      <c r="R1087" s="5" t="str">
        <f>_xlfn.XLOOKUP(Clean_Data[[#This Row],[Type of Event]],event_type_category[Type of Event],event_type_category[Category],"Not found")</f>
        <v>War &amp; Conflict</v>
      </c>
    </row>
    <row r="1088" spans="1:18">
      <c r="A1088">
        <v>1150</v>
      </c>
      <c r="B1088" t="s">
        <v>4804</v>
      </c>
      <c r="E1088" t="s">
        <v>3062</v>
      </c>
      <c r="F1088" t="s">
        <v>4756</v>
      </c>
      <c r="G1088" t="s">
        <v>1165</v>
      </c>
      <c r="H1088" t="s">
        <v>4756</v>
      </c>
      <c r="I1088" t="s">
        <v>4805</v>
      </c>
      <c r="J1088" t="s">
        <v>4788</v>
      </c>
      <c r="K1088" t="s">
        <v>2096</v>
      </c>
      <c r="L1088" t="s">
        <v>54</v>
      </c>
      <c r="M1088">
        <v>1862</v>
      </c>
      <c r="N1088" s="5">
        <f>ROUNDUP(Clean_Data[[#This Row],[Year_Num]]/100,0)</f>
        <v>19</v>
      </c>
      <c r="O1088" s="5" t="str" cm="1">
        <f t="array" ref="O1088">_xlfn.LET(_xlpm.y,Clean_Data[[#This Row],[Year_Num]],_xlfn.IFS(_xlpm.y&lt;500,"Ancient",_xlpm.y&lt;1500,"Medieval",_xlpm.y&lt;1800,"Early Modern",_xlpm.y&lt;1946,"Modern",TRUE,"Contemporary"))</f>
        <v>Modern</v>
      </c>
      <c r="P1088" s="5" t="str">
        <f>_xlfn.XLOOKUP(Clean_Data[[#This Row],[Country]],country_region[Country],country_region[Country_Standard],"Not found")</f>
        <v>Mexico</v>
      </c>
      <c r="Q1088" s="5" t="str">
        <f>_xlfn.XLOOKUP(Clean_Data[[#This Row],[Country]],country_region[Country],country_region[Region],"Not found")</f>
        <v>Latin America</v>
      </c>
      <c r="R1088" s="5" t="str">
        <f>_xlfn.XLOOKUP(Clean_Data[[#This Row],[Type of Event]],event_type_category[Type of Event],event_type_category[Category],"Not found")</f>
        <v>War &amp; Conflict</v>
      </c>
    </row>
    <row r="1089" spans="1:18">
      <c r="A1089">
        <v>1151</v>
      </c>
      <c r="B1089" t="s">
        <v>4806</v>
      </c>
      <c r="C1089" t="s">
        <v>91</v>
      </c>
      <c r="D1089" t="s">
        <v>83</v>
      </c>
      <c r="E1089" t="s">
        <v>1353</v>
      </c>
      <c r="F1089" t="s">
        <v>4756</v>
      </c>
      <c r="G1089" t="s">
        <v>2646</v>
      </c>
      <c r="H1089" t="s">
        <v>4756</v>
      </c>
      <c r="I1089" t="s">
        <v>4807</v>
      </c>
      <c r="J1089" t="s">
        <v>4788</v>
      </c>
      <c r="K1089" t="s">
        <v>4808</v>
      </c>
      <c r="L1089" t="s">
        <v>21</v>
      </c>
      <c r="M1089">
        <v>1910</v>
      </c>
      <c r="N1089" s="5">
        <f>ROUNDUP(Clean_Data[[#This Row],[Year_Num]]/100,0)</f>
        <v>20</v>
      </c>
      <c r="O1089" s="5" t="str" cm="1">
        <f t="array" ref="O1089">_xlfn.LET(_xlpm.y,Clean_Data[[#This Row],[Year_Num]],_xlfn.IFS(_xlpm.y&lt;500,"Ancient",_xlpm.y&lt;1500,"Medieval",_xlpm.y&lt;1800,"Early Modern",_xlpm.y&lt;1946,"Modern",TRUE,"Contemporary"))</f>
        <v>Modern</v>
      </c>
      <c r="P1089" s="5" t="str">
        <f>_xlfn.XLOOKUP(Clean_Data[[#This Row],[Country]],country_region[Country],country_region[Country_Standard],"Not found")</f>
        <v>Mexico</v>
      </c>
      <c r="Q1089" s="5" t="str">
        <f>_xlfn.XLOOKUP(Clean_Data[[#This Row],[Country]],country_region[Country],country_region[Region],"Not found")</f>
        <v>Latin America</v>
      </c>
      <c r="R1089" s="5" t="str">
        <f>_xlfn.XLOOKUP(Clean_Data[[#This Row],[Type of Event]],event_type_category[Type of Event],event_type_category[Category],"Not found")</f>
        <v>Politics &amp; Law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35D2-10A2-4F95-8681-456292562384}">
  <dimension ref="A1:L1097"/>
  <sheetViews>
    <sheetView workbookViewId="0">
      <selection sqref="A1:L1097"/>
    </sheetView>
  </sheetViews>
  <sheetFormatPr defaultRowHeight="14.4"/>
  <cols>
    <col min="1" max="1" width="8.109375" bestFit="1" customWidth="1"/>
    <col min="2" max="2" width="80.88671875" bestFit="1" customWidth="1"/>
    <col min="3" max="3" width="12.77734375" bestFit="1" customWidth="1"/>
    <col min="4" max="4" width="9.77734375" bestFit="1" customWidth="1"/>
    <col min="5" max="5" width="8.5546875" bestFit="1" customWidth="1"/>
    <col min="6" max="6" width="22.5546875" bestFit="1" customWidth="1"/>
    <col min="7" max="7" width="32.88671875" bestFit="1" customWidth="1"/>
    <col min="8" max="8" width="36" bestFit="1" customWidth="1"/>
    <col min="9" max="9" width="80.88671875" bestFit="1" customWidth="1"/>
    <col min="10" max="10" width="52.21875" bestFit="1" customWidth="1"/>
    <col min="11" max="11" width="61.77734375" bestFit="1" customWidth="1"/>
    <col min="12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 t="s">
        <v>22</v>
      </c>
      <c r="C3" t="s">
        <v>13</v>
      </c>
      <c r="D3" t="s">
        <v>13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21</v>
      </c>
    </row>
    <row r="4" spans="1:12">
      <c r="A4">
        <v>6</v>
      </c>
      <c r="B4" t="s">
        <v>29</v>
      </c>
      <c r="C4" t="s">
        <v>13</v>
      </c>
      <c r="D4" t="s">
        <v>13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>
        <v>7</v>
      </c>
      <c r="B5" t="s">
        <v>37</v>
      </c>
      <c r="C5" t="s">
        <v>38</v>
      </c>
      <c r="D5" t="s">
        <v>39</v>
      </c>
      <c r="E5" t="s">
        <v>40</v>
      </c>
      <c r="F5" t="s">
        <v>15</v>
      </c>
      <c r="G5" t="s">
        <v>24</v>
      </c>
      <c r="H5" t="s">
        <v>41</v>
      </c>
      <c r="I5" t="s">
        <v>42</v>
      </c>
      <c r="J5" t="s">
        <v>43</v>
      </c>
      <c r="K5" t="s">
        <v>44</v>
      </c>
      <c r="L5" t="s">
        <v>36</v>
      </c>
    </row>
    <row r="6" spans="1:12">
      <c r="A6">
        <v>8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>
      <c r="A7">
        <v>9</v>
      </c>
      <c r="B7" t="s">
        <v>55</v>
      </c>
      <c r="C7" t="s">
        <v>56</v>
      </c>
      <c r="D7" t="s">
        <v>57</v>
      </c>
      <c r="E7" t="s">
        <v>58</v>
      </c>
      <c r="F7" t="s">
        <v>15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54</v>
      </c>
    </row>
    <row r="8" spans="1:12">
      <c r="A8">
        <v>10</v>
      </c>
      <c r="B8" t="s">
        <v>64</v>
      </c>
      <c r="C8" t="s">
        <v>65</v>
      </c>
      <c r="D8" t="s">
        <v>66</v>
      </c>
      <c r="E8" t="s">
        <v>67</v>
      </c>
      <c r="F8" t="s">
        <v>15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54</v>
      </c>
    </row>
    <row r="9" spans="1:12">
      <c r="A9">
        <v>11</v>
      </c>
      <c r="B9" t="s">
        <v>73</v>
      </c>
      <c r="C9" t="s">
        <v>74</v>
      </c>
      <c r="D9" t="s">
        <v>47</v>
      </c>
      <c r="E9" t="s">
        <v>75</v>
      </c>
      <c r="F9" t="s">
        <v>15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36</v>
      </c>
    </row>
    <row r="10" spans="1:12">
      <c r="A10">
        <v>12</v>
      </c>
      <c r="B10" t="s">
        <v>81</v>
      </c>
      <c r="C10" t="s">
        <v>82</v>
      </c>
      <c r="D10" t="s">
        <v>83</v>
      </c>
      <c r="E10" t="s">
        <v>84</v>
      </c>
      <c r="F10" t="s">
        <v>15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54</v>
      </c>
    </row>
    <row r="11" spans="1:12">
      <c r="A11">
        <v>13</v>
      </c>
      <c r="B11" t="s">
        <v>90</v>
      </c>
      <c r="C11" t="s">
        <v>91</v>
      </c>
      <c r="D11" t="s">
        <v>47</v>
      </c>
      <c r="E11" t="s">
        <v>92</v>
      </c>
      <c r="F11" t="s">
        <v>15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54</v>
      </c>
    </row>
    <row r="12" spans="1:12">
      <c r="A12">
        <v>14</v>
      </c>
      <c r="B12" t="s">
        <v>98</v>
      </c>
      <c r="C12" t="s">
        <v>99</v>
      </c>
      <c r="D12" t="s">
        <v>100</v>
      </c>
      <c r="E12" t="s">
        <v>101</v>
      </c>
      <c r="F12" t="s">
        <v>15</v>
      </c>
      <c r="G12" t="s">
        <v>24</v>
      </c>
      <c r="H12" t="s">
        <v>102</v>
      </c>
      <c r="I12" t="s">
        <v>103</v>
      </c>
      <c r="J12" t="s">
        <v>104</v>
      </c>
      <c r="K12" t="s">
        <v>105</v>
      </c>
      <c r="L12" t="s">
        <v>54</v>
      </c>
    </row>
    <row r="13" spans="1:12">
      <c r="A13">
        <v>15</v>
      </c>
      <c r="B13" t="s">
        <v>106</v>
      </c>
      <c r="C13" t="s">
        <v>107</v>
      </c>
      <c r="D13" t="s">
        <v>47</v>
      </c>
      <c r="E13" t="s">
        <v>108</v>
      </c>
      <c r="F13" t="s">
        <v>15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54</v>
      </c>
    </row>
    <row r="14" spans="1:12">
      <c r="A14">
        <v>16</v>
      </c>
      <c r="B14" t="s">
        <v>114</v>
      </c>
      <c r="C14" t="s">
        <v>115</v>
      </c>
      <c r="D14" t="s">
        <v>57</v>
      </c>
      <c r="E14" t="s">
        <v>116</v>
      </c>
      <c r="F14" t="s">
        <v>15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21</v>
      </c>
    </row>
    <row r="15" spans="1:12">
      <c r="A15">
        <v>17</v>
      </c>
      <c r="B15" t="s">
        <v>122</v>
      </c>
      <c r="C15" t="s">
        <v>13</v>
      </c>
      <c r="D15" t="s">
        <v>13</v>
      </c>
      <c r="E15" t="s">
        <v>123</v>
      </c>
      <c r="F15" t="s">
        <v>15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21</v>
      </c>
    </row>
    <row r="16" spans="1:12">
      <c r="A16">
        <v>18</v>
      </c>
      <c r="B16" t="s">
        <v>129</v>
      </c>
      <c r="C16" t="s">
        <v>46</v>
      </c>
      <c r="D16" t="s">
        <v>100</v>
      </c>
      <c r="E16" t="s">
        <v>130</v>
      </c>
      <c r="F16" t="s">
        <v>15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54</v>
      </c>
    </row>
    <row r="17" spans="1:12">
      <c r="A17">
        <v>19</v>
      </c>
      <c r="B17" t="s">
        <v>136</v>
      </c>
      <c r="C17" t="s">
        <v>13</v>
      </c>
      <c r="D17" t="s">
        <v>47</v>
      </c>
      <c r="E17" t="s">
        <v>137</v>
      </c>
      <c r="F17" t="s">
        <v>15</v>
      </c>
      <c r="G17" t="s">
        <v>138</v>
      </c>
      <c r="H17" t="s">
        <v>139</v>
      </c>
      <c r="I17" t="s">
        <v>140</v>
      </c>
      <c r="J17" t="s">
        <v>141</v>
      </c>
      <c r="K17" t="s">
        <v>142</v>
      </c>
      <c r="L17" t="s">
        <v>21</v>
      </c>
    </row>
    <row r="18" spans="1:12">
      <c r="A18">
        <v>20</v>
      </c>
      <c r="B18" t="s">
        <v>143</v>
      </c>
      <c r="C18" t="s">
        <v>56</v>
      </c>
      <c r="D18" t="s">
        <v>100</v>
      </c>
      <c r="E18" t="s">
        <v>144</v>
      </c>
      <c r="F18" t="s">
        <v>15</v>
      </c>
      <c r="G18" t="s">
        <v>145</v>
      </c>
      <c r="H18" t="s">
        <v>15</v>
      </c>
      <c r="I18" t="s">
        <v>146</v>
      </c>
      <c r="J18" t="s">
        <v>147</v>
      </c>
      <c r="K18" t="s">
        <v>148</v>
      </c>
      <c r="L18" t="s">
        <v>21</v>
      </c>
    </row>
    <row r="19" spans="1:12">
      <c r="A19">
        <v>21</v>
      </c>
      <c r="B19" t="s">
        <v>149</v>
      </c>
      <c r="C19" t="s">
        <v>150</v>
      </c>
      <c r="D19" t="s">
        <v>66</v>
      </c>
      <c r="E19" t="s">
        <v>151</v>
      </c>
      <c r="F19" t="s">
        <v>15</v>
      </c>
      <c r="G19" t="s">
        <v>152</v>
      </c>
      <c r="H19" t="s">
        <v>153</v>
      </c>
      <c r="I19" t="s">
        <v>154</v>
      </c>
      <c r="J19" t="s">
        <v>155</v>
      </c>
      <c r="K19" t="s">
        <v>156</v>
      </c>
      <c r="L19" t="s">
        <v>21</v>
      </c>
    </row>
    <row r="20" spans="1:12">
      <c r="A20">
        <v>22</v>
      </c>
      <c r="B20" t="s">
        <v>157</v>
      </c>
      <c r="C20" t="s">
        <v>13</v>
      </c>
      <c r="D20" t="s">
        <v>158</v>
      </c>
      <c r="E20" t="s">
        <v>159</v>
      </c>
      <c r="F20" t="s">
        <v>15</v>
      </c>
      <c r="G20" t="s">
        <v>160</v>
      </c>
      <c r="H20" t="s">
        <v>15</v>
      </c>
      <c r="I20" t="s">
        <v>161</v>
      </c>
      <c r="J20" t="s">
        <v>162</v>
      </c>
      <c r="K20" t="s">
        <v>163</v>
      </c>
      <c r="L20" t="s">
        <v>21</v>
      </c>
    </row>
    <row r="21" spans="1:12">
      <c r="A21">
        <v>23</v>
      </c>
      <c r="B21" t="s">
        <v>164</v>
      </c>
      <c r="C21" t="s">
        <v>165</v>
      </c>
      <c r="D21" t="s">
        <v>57</v>
      </c>
      <c r="E21" t="s">
        <v>166</v>
      </c>
      <c r="F21" t="s">
        <v>15</v>
      </c>
      <c r="G21" t="s">
        <v>167</v>
      </c>
      <c r="H21" t="s">
        <v>168</v>
      </c>
      <c r="I21" t="s">
        <v>169</v>
      </c>
      <c r="J21" t="s">
        <v>170</v>
      </c>
      <c r="K21" t="s">
        <v>171</v>
      </c>
      <c r="L21" t="s">
        <v>21</v>
      </c>
    </row>
    <row r="22" spans="1:12">
      <c r="A22">
        <v>24</v>
      </c>
      <c r="B22" t="s">
        <v>172</v>
      </c>
      <c r="C22" t="s">
        <v>13</v>
      </c>
      <c r="D22" t="s">
        <v>173</v>
      </c>
      <c r="E22" t="s">
        <v>174</v>
      </c>
      <c r="F22" t="s">
        <v>15</v>
      </c>
      <c r="G22" t="s">
        <v>175</v>
      </c>
      <c r="H22" t="s">
        <v>176</v>
      </c>
      <c r="I22" t="s">
        <v>177</v>
      </c>
      <c r="J22" t="s">
        <v>178</v>
      </c>
      <c r="K22" t="s">
        <v>179</v>
      </c>
      <c r="L22" t="s">
        <v>21</v>
      </c>
    </row>
    <row r="23" spans="1:12">
      <c r="A23">
        <v>25</v>
      </c>
      <c r="B23" t="s">
        <v>180</v>
      </c>
      <c r="C23" t="s">
        <v>56</v>
      </c>
      <c r="D23" t="s">
        <v>57</v>
      </c>
      <c r="E23" t="s">
        <v>58</v>
      </c>
      <c r="F23" t="s">
        <v>15</v>
      </c>
      <c r="G23" t="s">
        <v>31</v>
      </c>
      <c r="H23" t="s">
        <v>15</v>
      </c>
      <c r="I23" t="s">
        <v>181</v>
      </c>
      <c r="J23" t="s">
        <v>182</v>
      </c>
      <c r="K23" t="s">
        <v>183</v>
      </c>
      <c r="L23" t="s">
        <v>21</v>
      </c>
    </row>
    <row r="24" spans="1:12">
      <c r="A24">
        <v>26</v>
      </c>
      <c r="B24" t="s">
        <v>184</v>
      </c>
      <c r="C24" t="s">
        <v>13</v>
      </c>
      <c r="D24" t="s">
        <v>158</v>
      </c>
      <c r="E24" t="s">
        <v>185</v>
      </c>
      <c r="F24" t="s">
        <v>15</v>
      </c>
      <c r="G24" t="s">
        <v>31</v>
      </c>
      <c r="H24" t="s">
        <v>15</v>
      </c>
      <c r="I24" t="s">
        <v>186</v>
      </c>
      <c r="J24" t="s">
        <v>187</v>
      </c>
      <c r="K24" t="s">
        <v>148</v>
      </c>
      <c r="L24" t="s">
        <v>21</v>
      </c>
    </row>
    <row r="25" spans="1:12">
      <c r="A25">
        <v>27</v>
      </c>
      <c r="B25" t="s">
        <v>188</v>
      </c>
      <c r="C25" t="s">
        <v>91</v>
      </c>
      <c r="D25" t="s">
        <v>158</v>
      </c>
      <c r="E25" t="s">
        <v>189</v>
      </c>
      <c r="F25" t="s">
        <v>15</v>
      </c>
      <c r="G25" t="s">
        <v>138</v>
      </c>
      <c r="H25" t="s">
        <v>190</v>
      </c>
      <c r="I25" t="s">
        <v>191</v>
      </c>
      <c r="J25" t="s">
        <v>192</v>
      </c>
      <c r="K25" t="s">
        <v>193</v>
      </c>
      <c r="L25" t="s">
        <v>54</v>
      </c>
    </row>
    <row r="26" spans="1:12">
      <c r="A26">
        <v>28</v>
      </c>
      <c r="B26" t="s">
        <v>194</v>
      </c>
      <c r="C26" t="s">
        <v>195</v>
      </c>
      <c r="D26" t="s">
        <v>47</v>
      </c>
      <c r="E26" t="s">
        <v>196</v>
      </c>
      <c r="F26" t="s">
        <v>15</v>
      </c>
      <c r="G26" t="s">
        <v>76</v>
      </c>
      <c r="H26" t="s">
        <v>197</v>
      </c>
      <c r="I26" t="s">
        <v>198</v>
      </c>
      <c r="J26" t="s">
        <v>79</v>
      </c>
      <c r="K26" t="s">
        <v>148</v>
      </c>
      <c r="L26" t="s">
        <v>36</v>
      </c>
    </row>
    <row r="27" spans="1:12">
      <c r="A27">
        <v>29</v>
      </c>
      <c r="B27" t="s">
        <v>199</v>
      </c>
      <c r="C27" t="s">
        <v>200</v>
      </c>
      <c r="D27" t="s">
        <v>100</v>
      </c>
      <c r="E27" t="s">
        <v>201</v>
      </c>
      <c r="F27" t="s">
        <v>15</v>
      </c>
      <c r="G27" t="s">
        <v>31</v>
      </c>
      <c r="H27" t="s">
        <v>15</v>
      </c>
      <c r="I27" t="s">
        <v>202</v>
      </c>
      <c r="J27" t="s">
        <v>147</v>
      </c>
      <c r="K27" t="s">
        <v>203</v>
      </c>
      <c r="L27" t="s">
        <v>54</v>
      </c>
    </row>
    <row r="28" spans="1:12">
      <c r="A28">
        <v>30</v>
      </c>
      <c r="B28" t="s">
        <v>204</v>
      </c>
      <c r="C28" t="s">
        <v>65</v>
      </c>
      <c r="D28" t="s">
        <v>66</v>
      </c>
      <c r="E28" t="s">
        <v>130</v>
      </c>
      <c r="F28" t="s">
        <v>15</v>
      </c>
      <c r="G28" t="s">
        <v>205</v>
      </c>
      <c r="H28" t="s">
        <v>206</v>
      </c>
      <c r="I28" t="s">
        <v>207</v>
      </c>
      <c r="J28" t="s">
        <v>208</v>
      </c>
      <c r="K28" t="s">
        <v>209</v>
      </c>
      <c r="L28" t="s">
        <v>54</v>
      </c>
    </row>
    <row r="29" spans="1:12">
      <c r="A29">
        <v>31</v>
      </c>
      <c r="B29" t="s">
        <v>210</v>
      </c>
      <c r="C29" t="s">
        <v>13</v>
      </c>
      <c r="D29" t="s">
        <v>211</v>
      </c>
      <c r="E29" t="s">
        <v>212</v>
      </c>
      <c r="F29" t="s">
        <v>15</v>
      </c>
      <c r="G29" t="s">
        <v>213</v>
      </c>
      <c r="H29" t="s">
        <v>15</v>
      </c>
      <c r="I29" t="s">
        <v>214</v>
      </c>
      <c r="J29" t="s">
        <v>215</v>
      </c>
      <c r="K29" t="s">
        <v>216</v>
      </c>
      <c r="L29" t="s">
        <v>21</v>
      </c>
    </row>
    <row r="30" spans="1:12">
      <c r="A30">
        <v>32</v>
      </c>
      <c r="B30" t="s">
        <v>217</v>
      </c>
      <c r="C30" t="s">
        <v>218</v>
      </c>
      <c r="D30" t="s">
        <v>66</v>
      </c>
      <c r="E30" t="s">
        <v>137</v>
      </c>
      <c r="F30" t="s">
        <v>15</v>
      </c>
      <c r="G30" t="s">
        <v>85</v>
      </c>
      <c r="H30" t="s">
        <v>219</v>
      </c>
      <c r="I30" t="s">
        <v>220</v>
      </c>
      <c r="J30" t="s">
        <v>221</v>
      </c>
      <c r="K30" t="s">
        <v>222</v>
      </c>
      <c r="L30" t="s">
        <v>54</v>
      </c>
    </row>
    <row r="31" spans="1:12">
      <c r="A31">
        <v>33</v>
      </c>
      <c r="B31" t="s">
        <v>223</v>
      </c>
      <c r="C31" t="s">
        <v>224</v>
      </c>
      <c r="D31" t="s">
        <v>66</v>
      </c>
      <c r="E31" t="s">
        <v>225</v>
      </c>
      <c r="F31" t="s">
        <v>15</v>
      </c>
      <c r="G31" t="s">
        <v>85</v>
      </c>
      <c r="H31" t="s">
        <v>153</v>
      </c>
      <c r="I31" t="s">
        <v>226</v>
      </c>
      <c r="J31" t="s">
        <v>227</v>
      </c>
      <c r="K31" t="s">
        <v>228</v>
      </c>
      <c r="L31" t="s">
        <v>54</v>
      </c>
    </row>
    <row r="32" spans="1:12">
      <c r="A32">
        <v>34</v>
      </c>
      <c r="B32" t="s">
        <v>229</v>
      </c>
      <c r="C32" t="s">
        <v>230</v>
      </c>
      <c r="D32" t="s">
        <v>57</v>
      </c>
      <c r="E32" t="s">
        <v>231</v>
      </c>
      <c r="F32" t="s">
        <v>15</v>
      </c>
      <c r="G32" t="s">
        <v>145</v>
      </c>
      <c r="H32" t="s">
        <v>15</v>
      </c>
      <c r="I32" t="s">
        <v>232</v>
      </c>
      <c r="J32" t="s">
        <v>233</v>
      </c>
      <c r="K32" t="s">
        <v>148</v>
      </c>
      <c r="L32" t="s">
        <v>21</v>
      </c>
    </row>
    <row r="33" spans="1:12">
      <c r="A33">
        <v>35</v>
      </c>
      <c r="B33" t="s">
        <v>234</v>
      </c>
      <c r="C33" t="s">
        <v>165</v>
      </c>
      <c r="D33" t="s">
        <v>57</v>
      </c>
      <c r="E33" t="s">
        <v>235</v>
      </c>
      <c r="F33" t="s">
        <v>15</v>
      </c>
      <c r="G33" t="s">
        <v>31</v>
      </c>
      <c r="H33" t="s">
        <v>236</v>
      </c>
      <c r="I33" t="s">
        <v>237</v>
      </c>
      <c r="J33" t="s">
        <v>238</v>
      </c>
      <c r="K33" t="s">
        <v>148</v>
      </c>
      <c r="L33" t="s">
        <v>36</v>
      </c>
    </row>
    <row r="34" spans="1:12">
      <c r="A34">
        <v>36</v>
      </c>
      <c r="B34" t="s">
        <v>239</v>
      </c>
      <c r="C34" t="s">
        <v>240</v>
      </c>
      <c r="D34" t="s">
        <v>83</v>
      </c>
      <c r="E34" t="s">
        <v>235</v>
      </c>
      <c r="F34" t="s">
        <v>15</v>
      </c>
      <c r="G34" t="s">
        <v>241</v>
      </c>
      <c r="H34" t="s">
        <v>168</v>
      </c>
      <c r="I34" t="s">
        <v>242</v>
      </c>
      <c r="J34" t="s">
        <v>243</v>
      </c>
      <c r="K34" t="s">
        <v>244</v>
      </c>
      <c r="L34" t="s">
        <v>36</v>
      </c>
    </row>
    <row r="35" spans="1:12">
      <c r="A35">
        <v>37</v>
      </c>
      <c r="B35" t="s">
        <v>245</v>
      </c>
      <c r="C35" t="s">
        <v>246</v>
      </c>
      <c r="D35" t="s">
        <v>100</v>
      </c>
      <c r="E35" t="s">
        <v>231</v>
      </c>
      <c r="F35" t="s">
        <v>15</v>
      </c>
      <c r="G35" t="s">
        <v>175</v>
      </c>
      <c r="H35" t="s">
        <v>86</v>
      </c>
      <c r="I35" t="s">
        <v>247</v>
      </c>
      <c r="J35" t="s">
        <v>248</v>
      </c>
      <c r="K35" t="s">
        <v>249</v>
      </c>
      <c r="L35" t="s">
        <v>21</v>
      </c>
    </row>
    <row r="36" spans="1:12">
      <c r="A36">
        <v>38</v>
      </c>
      <c r="B36" t="s">
        <v>250</v>
      </c>
      <c r="C36" t="s">
        <v>251</v>
      </c>
      <c r="D36" t="s">
        <v>158</v>
      </c>
      <c r="E36" t="s">
        <v>174</v>
      </c>
      <c r="F36" t="s">
        <v>15</v>
      </c>
      <c r="G36" t="s">
        <v>252</v>
      </c>
      <c r="H36" t="s">
        <v>253</v>
      </c>
      <c r="I36" t="s">
        <v>254</v>
      </c>
      <c r="J36" t="s">
        <v>147</v>
      </c>
      <c r="K36" t="s">
        <v>148</v>
      </c>
      <c r="L36" t="s">
        <v>21</v>
      </c>
    </row>
    <row r="37" spans="1:12">
      <c r="A37">
        <v>39</v>
      </c>
      <c r="B37" t="s">
        <v>255</v>
      </c>
      <c r="C37" t="s">
        <v>246</v>
      </c>
      <c r="D37" t="s">
        <v>211</v>
      </c>
      <c r="E37" t="s">
        <v>235</v>
      </c>
      <c r="F37" t="s">
        <v>15</v>
      </c>
      <c r="G37" t="s">
        <v>145</v>
      </c>
      <c r="H37" t="s">
        <v>15</v>
      </c>
      <c r="I37" t="s">
        <v>256</v>
      </c>
      <c r="J37" t="s">
        <v>257</v>
      </c>
      <c r="K37" t="s">
        <v>258</v>
      </c>
      <c r="L37" t="s">
        <v>21</v>
      </c>
    </row>
    <row r="38" spans="1:12">
      <c r="A38">
        <v>40</v>
      </c>
      <c r="B38" t="s">
        <v>259</v>
      </c>
      <c r="C38" t="s">
        <v>13</v>
      </c>
      <c r="D38" t="s">
        <v>260</v>
      </c>
      <c r="E38" t="s">
        <v>166</v>
      </c>
      <c r="F38" t="s">
        <v>15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L38" t="s">
        <v>21</v>
      </c>
    </row>
    <row r="39" spans="1:12">
      <c r="A39">
        <v>41</v>
      </c>
      <c r="B39" t="s">
        <v>266</v>
      </c>
      <c r="C39" t="s">
        <v>218</v>
      </c>
      <c r="D39" t="s">
        <v>267</v>
      </c>
      <c r="E39" t="s">
        <v>166</v>
      </c>
      <c r="F39" t="s">
        <v>15</v>
      </c>
      <c r="G39" t="s">
        <v>268</v>
      </c>
      <c r="H39" t="s">
        <v>15</v>
      </c>
      <c r="I39" t="s">
        <v>269</v>
      </c>
      <c r="J39" t="s">
        <v>270</v>
      </c>
      <c r="K39" t="s">
        <v>148</v>
      </c>
      <c r="L39" t="s">
        <v>54</v>
      </c>
    </row>
    <row r="40" spans="1:12">
      <c r="A40">
        <v>42</v>
      </c>
      <c r="B40" t="s">
        <v>271</v>
      </c>
      <c r="C40" t="s">
        <v>200</v>
      </c>
      <c r="D40" t="s">
        <v>100</v>
      </c>
      <c r="E40" t="s">
        <v>272</v>
      </c>
      <c r="F40" t="s">
        <v>15</v>
      </c>
      <c r="G40" t="s">
        <v>273</v>
      </c>
      <c r="H40" t="s">
        <v>274</v>
      </c>
      <c r="I40" t="s">
        <v>275</v>
      </c>
      <c r="J40" t="s">
        <v>276</v>
      </c>
      <c r="K40" t="s">
        <v>277</v>
      </c>
      <c r="L40" t="s">
        <v>21</v>
      </c>
    </row>
    <row r="41" spans="1:12">
      <c r="A41">
        <v>43</v>
      </c>
      <c r="B41" t="s">
        <v>278</v>
      </c>
      <c r="C41" t="s">
        <v>13</v>
      </c>
      <c r="D41" t="s">
        <v>100</v>
      </c>
      <c r="E41" t="s">
        <v>279</v>
      </c>
      <c r="F41" t="s">
        <v>15</v>
      </c>
      <c r="G41" t="s">
        <v>280</v>
      </c>
      <c r="H41" t="s">
        <v>281</v>
      </c>
      <c r="I41" t="s">
        <v>282</v>
      </c>
      <c r="J41" t="s">
        <v>283</v>
      </c>
      <c r="K41" t="s">
        <v>284</v>
      </c>
      <c r="L41" t="s">
        <v>54</v>
      </c>
    </row>
    <row r="42" spans="1:12">
      <c r="A42">
        <v>44</v>
      </c>
      <c r="B42" t="s">
        <v>285</v>
      </c>
      <c r="C42" t="s">
        <v>218</v>
      </c>
      <c r="D42" t="s">
        <v>286</v>
      </c>
      <c r="E42" t="s">
        <v>287</v>
      </c>
      <c r="F42" t="s">
        <v>15</v>
      </c>
      <c r="G42" t="s">
        <v>288</v>
      </c>
      <c r="H42" t="s">
        <v>289</v>
      </c>
      <c r="I42" t="s">
        <v>290</v>
      </c>
      <c r="J42" t="s">
        <v>291</v>
      </c>
      <c r="K42" t="s">
        <v>292</v>
      </c>
      <c r="L42" t="s">
        <v>21</v>
      </c>
    </row>
    <row r="43" spans="1:12">
      <c r="A43">
        <v>45</v>
      </c>
      <c r="B43" t="s">
        <v>293</v>
      </c>
      <c r="C43" t="s">
        <v>218</v>
      </c>
      <c r="D43" t="s">
        <v>286</v>
      </c>
      <c r="E43" t="s">
        <v>294</v>
      </c>
      <c r="F43" t="s">
        <v>15</v>
      </c>
      <c r="G43" t="s">
        <v>273</v>
      </c>
      <c r="H43" t="s">
        <v>295</v>
      </c>
      <c r="I43" t="s">
        <v>296</v>
      </c>
      <c r="J43" t="s">
        <v>276</v>
      </c>
      <c r="K43" t="s">
        <v>277</v>
      </c>
      <c r="L43" t="s">
        <v>21</v>
      </c>
    </row>
    <row r="44" spans="1:12">
      <c r="A44">
        <v>46</v>
      </c>
      <c r="B44" t="s">
        <v>297</v>
      </c>
      <c r="C44" t="s">
        <v>298</v>
      </c>
      <c r="D44" t="s">
        <v>83</v>
      </c>
      <c r="E44" t="s">
        <v>299</v>
      </c>
      <c r="F44" t="s">
        <v>15</v>
      </c>
      <c r="G44" t="s">
        <v>213</v>
      </c>
      <c r="H44" t="s">
        <v>300</v>
      </c>
      <c r="I44" t="s">
        <v>301</v>
      </c>
      <c r="J44" t="s">
        <v>270</v>
      </c>
      <c r="K44" t="s">
        <v>302</v>
      </c>
      <c r="L44" t="s">
        <v>36</v>
      </c>
    </row>
    <row r="45" spans="1:12">
      <c r="A45">
        <v>47</v>
      </c>
      <c r="B45" t="s">
        <v>303</v>
      </c>
      <c r="C45" t="s">
        <v>13</v>
      </c>
      <c r="D45" t="s">
        <v>39</v>
      </c>
      <c r="E45" t="s">
        <v>299</v>
      </c>
      <c r="F45" t="s">
        <v>15</v>
      </c>
      <c r="G45" t="s">
        <v>304</v>
      </c>
      <c r="H45" t="s">
        <v>300</v>
      </c>
      <c r="I45" t="s">
        <v>305</v>
      </c>
      <c r="J45" t="s">
        <v>162</v>
      </c>
      <c r="K45" t="s">
        <v>306</v>
      </c>
      <c r="L45" t="s">
        <v>21</v>
      </c>
    </row>
    <row r="46" spans="1:12">
      <c r="A46">
        <v>48</v>
      </c>
      <c r="B46" t="s">
        <v>307</v>
      </c>
      <c r="C46" t="s">
        <v>165</v>
      </c>
      <c r="D46" t="s">
        <v>286</v>
      </c>
      <c r="E46" t="s">
        <v>299</v>
      </c>
      <c r="F46" t="s">
        <v>15</v>
      </c>
      <c r="G46" t="s">
        <v>308</v>
      </c>
      <c r="H46" t="s">
        <v>300</v>
      </c>
      <c r="I46" t="s">
        <v>309</v>
      </c>
      <c r="J46" t="s">
        <v>310</v>
      </c>
      <c r="K46" t="s">
        <v>311</v>
      </c>
      <c r="L46" t="s">
        <v>21</v>
      </c>
    </row>
    <row r="47" spans="1:12">
      <c r="A47">
        <v>49</v>
      </c>
      <c r="B47" t="s">
        <v>312</v>
      </c>
      <c r="C47" t="s">
        <v>246</v>
      </c>
      <c r="D47" t="s">
        <v>211</v>
      </c>
      <c r="E47" t="s">
        <v>235</v>
      </c>
      <c r="F47" t="s">
        <v>15</v>
      </c>
      <c r="G47" t="s">
        <v>313</v>
      </c>
      <c r="H47" t="s">
        <v>300</v>
      </c>
      <c r="I47" t="s">
        <v>314</v>
      </c>
      <c r="J47" t="s">
        <v>257</v>
      </c>
      <c r="K47" t="s">
        <v>258</v>
      </c>
      <c r="L47" t="s">
        <v>21</v>
      </c>
    </row>
    <row r="48" spans="1:12">
      <c r="A48">
        <v>50</v>
      </c>
      <c r="B48" t="s">
        <v>315</v>
      </c>
      <c r="C48" t="s">
        <v>13</v>
      </c>
      <c r="D48" t="s">
        <v>47</v>
      </c>
      <c r="E48" t="s">
        <v>166</v>
      </c>
      <c r="F48" t="s">
        <v>15</v>
      </c>
      <c r="G48" t="s">
        <v>316</v>
      </c>
      <c r="H48" t="s">
        <v>253</v>
      </c>
      <c r="I48" t="s">
        <v>317</v>
      </c>
      <c r="J48" t="s">
        <v>318</v>
      </c>
      <c r="K48" t="s">
        <v>319</v>
      </c>
      <c r="L48" t="s">
        <v>21</v>
      </c>
    </row>
    <row r="49" spans="1:12">
      <c r="A49">
        <v>51</v>
      </c>
      <c r="B49" t="s">
        <v>320</v>
      </c>
      <c r="C49" t="s">
        <v>321</v>
      </c>
      <c r="D49" t="s">
        <v>286</v>
      </c>
      <c r="E49" t="s">
        <v>174</v>
      </c>
      <c r="F49" t="s">
        <v>15</v>
      </c>
      <c r="G49" t="s">
        <v>313</v>
      </c>
      <c r="H49" t="s">
        <v>300</v>
      </c>
      <c r="I49" t="s">
        <v>322</v>
      </c>
      <c r="J49" t="s">
        <v>323</v>
      </c>
      <c r="K49" t="s">
        <v>244</v>
      </c>
      <c r="L49" t="s">
        <v>21</v>
      </c>
    </row>
    <row r="50" spans="1:12">
      <c r="A50">
        <v>52</v>
      </c>
      <c r="B50" t="s">
        <v>324</v>
      </c>
      <c r="C50" t="s">
        <v>325</v>
      </c>
      <c r="D50" t="s">
        <v>158</v>
      </c>
      <c r="E50" t="s">
        <v>84</v>
      </c>
      <c r="F50" t="s">
        <v>15</v>
      </c>
      <c r="G50" t="s">
        <v>288</v>
      </c>
      <c r="H50" t="s">
        <v>326</v>
      </c>
      <c r="I50" t="s">
        <v>327</v>
      </c>
      <c r="J50" t="s">
        <v>328</v>
      </c>
      <c r="K50" t="s">
        <v>329</v>
      </c>
      <c r="L50" t="s">
        <v>21</v>
      </c>
    </row>
    <row r="51" spans="1:12">
      <c r="A51">
        <v>53</v>
      </c>
      <c r="B51" t="s">
        <v>330</v>
      </c>
      <c r="C51" t="s">
        <v>331</v>
      </c>
      <c r="D51" t="s">
        <v>158</v>
      </c>
      <c r="E51" t="s">
        <v>287</v>
      </c>
      <c r="F51" t="s">
        <v>15</v>
      </c>
      <c r="G51" t="s">
        <v>332</v>
      </c>
      <c r="H51" t="s">
        <v>300</v>
      </c>
      <c r="I51" t="s">
        <v>333</v>
      </c>
      <c r="J51" t="s">
        <v>310</v>
      </c>
      <c r="K51" t="s">
        <v>302</v>
      </c>
      <c r="L51" t="s">
        <v>21</v>
      </c>
    </row>
    <row r="52" spans="1:12">
      <c r="A52">
        <v>54</v>
      </c>
      <c r="B52" t="s">
        <v>334</v>
      </c>
      <c r="C52" t="s">
        <v>335</v>
      </c>
      <c r="D52" t="s">
        <v>173</v>
      </c>
      <c r="E52" t="s">
        <v>235</v>
      </c>
      <c r="F52" t="s">
        <v>15</v>
      </c>
      <c r="G52" t="s">
        <v>85</v>
      </c>
      <c r="H52" t="s">
        <v>336</v>
      </c>
      <c r="I52" t="s">
        <v>337</v>
      </c>
      <c r="J52" t="s">
        <v>338</v>
      </c>
      <c r="K52" t="s">
        <v>339</v>
      </c>
      <c r="L52" t="s">
        <v>54</v>
      </c>
    </row>
    <row r="53" spans="1:12">
      <c r="A53">
        <v>55</v>
      </c>
      <c r="B53" t="s">
        <v>340</v>
      </c>
      <c r="C53" t="s">
        <v>246</v>
      </c>
      <c r="D53" t="s">
        <v>83</v>
      </c>
      <c r="E53" t="s">
        <v>341</v>
      </c>
      <c r="F53" t="s">
        <v>15</v>
      </c>
      <c r="G53" t="s">
        <v>342</v>
      </c>
      <c r="H53" t="s">
        <v>343</v>
      </c>
      <c r="I53" t="s">
        <v>344</v>
      </c>
      <c r="J53" t="s">
        <v>345</v>
      </c>
      <c r="K53" t="s">
        <v>346</v>
      </c>
      <c r="L53" t="s">
        <v>21</v>
      </c>
    </row>
    <row r="54" spans="1:12">
      <c r="A54">
        <v>56</v>
      </c>
      <c r="B54" t="s">
        <v>347</v>
      </c>
      <c r="C54" t="s">
        <v>46</v>
      </c>
      <c r="D54" t="s">
        <v>211</v>
      </c>
      <c r="E54" t="s">
        <v>348</v>
      </c>
      <c r="F54" t="s">
        <v>15</v>
      </c>
      <c r="G54" t="s">
        <v>349</v>
      </c>
      <c r="H54" t="s">
        <v>300</v>
      </c>
      <c r="I54" t="s">
        <v>350</v>
      </c>
      <c r="J54" t="s">
        <v>351</v>
      </c>
      <c r="K54" t="s">
        <v>148</v>
      </c>
      <c r="L54" t="s">
        <v>21</v>
      </c>
    </row>
    <row r="55" spans="1:12">
      <c r="A55">
        <v>57</v>
      </c>
      <c r="B55" t="s">
        <v>352</v>
      </c>
      <c r="C55" t="s">
        <v>353</v>
      </c>
      <c r="D55" t="s">
        <v>66</v>
      </c>
      <c r="E55" t="s">
        <v>235</v>
      </c>
      <c r="F55" t="s">
        <v>15</v>
      </c>
      <c r="G55" t="s">
        <v>145</v>
      </c>
      <c r="H55" t="s">
        <v>300</v>
      </c>
      <c r="I55" t="s">
        <v>354</v>
      </c>
      <c r="J55" t="s">
        <v>147</v>
      </c>
      <c r="K55" t="s">
        <v>148</v>
      </c>
      <c r="L55" t="s">
        <v>36</v>
      </c>
    </row>
    <row r="56" spans="1:12">
      <c r="A56">
        <v>58</v>
      </c>
      <c r="B56" t="s">
        <v>355</v>
      </c>
      <c r="C56" t="s">
        <v>195</v>
      </c>
      <c r="D56" t="s">
        <v>286</v>
      </c>
      <c r="E56" t="s">
        <v>299</v>
      </c>
      <c r="F56" t="s">
        <v>15</v>
      </c>
      <c r="G56" t="s">
        <v>356</v>
      </c>
      <c r="H56" t="s">
        <v>357</v>
      </c>
      <c r="I56" t="s">
        <v>358</v>
      </c>
      <c r="J56" t="s">
        <v>359</v>
      </c>
      <c r="K56" t="s">
        <v>360</v>
      </c>
      <c r="L56" t="s">
        <v>36</v>
      </c>
    </row>
    <row r="57" spans="1:12">
      <c r="A57">
        <v>59</v>
      </c>
      <c r="B57" t="s">
        <v>361</v>
      </c>
      <c r="C57" t="s">
        <v>362</v>
      </c>
      <c r="D57" t="s">
        <v>66</v>
      </c>
      <c r="E57" t="s">
        <v>363</v>
      </c>
      <c r="F57" t="s">
        <v>15</v>
      </c>
      <c r="G57" t="s">
        <v>364</v>
      </c>
      <c r="H57" t="s">
        <v>365</v>
      </c>
      <c r="I57" t="s">
        <v>366</v>
      </c>
      <c r="J57" t="s">
        <v>367</v>
      </c>
      <c r="K57" t="s">
        <v>368</v>
      </c>
      <c r="L57" t="s">
        <v>21</v>
      </c>
    </row>
    <row r="58" spans="1:12">
      <c r="A58">
        <v>60</v>
      </c>
      <c r="B58" t="s">
        <v>369</v>
      </c>
      <c r="C58" t="s">
        <v>150</v>
      </c>
      <c r="D58" t="s">
        <v>158</v>
      </c>
      <c r="E58" t="s">
        <v>116</v>
      </c>
      <c r="F58" t="s">
        <v>15</v>
      </c>
      <c r="G58" t="s">
        <v>370</v>
      </c>
      <c r="H58" t="s">
        <v>118</v>
      </c>
      <c r="I58" t="s">
        <v>371</v>
      </c>
      <c r="J58" t="s">
        <v>372</v>
      </c>
      <c r="K58" t="s">
        <v>373</v>
      </c>
      <c r="L58" t="s">
        <v>54</v>
      </c>
    </row>
    <row r="59" spans="1:12">
      <c r="A59">
        <v>61</v>
      </c>
      <c r="B59" t="s">
        <v>374</v>
      </c>
      <c r="C59" t="s">
        <v>224</v>
      </c>
      <c r="D59" t="s">
        <v>39</v>
      </c>
      <c r="E59" t="s">
        <v>375</v>
      </c>
      <c r="F59" t="s">
        <v>15</v>
      </c>
      <c r="G59" t="s">
        <v>376</v>
      </c>
      <c r="H59" t="s">
        <v>132</v>
      </c>
      <c r="I59" t="s">
        <v>377</v>
      </c>
      <c r="J59" t="s">
        <v>378</v>
      </c>
      <c r="K59" t="s">
        <v>379</v>
      </c>
      <c r="L59" t="s">
        <v>54</v>
      </c>
    </row>
    <row r="60" spans="1:12">
      <c r="A60">
        <v>62</v>
      </c>
      <c r="B60" t="s">
        <v>380</v>
      </c>
      <c r="C60" t="s">
        <v>46</v>
      </c>
      <c r="D60" t="s">
        <v>57</v>
      </c>
      <c r="E60" t="s">
        <v>381</v>
      </c>
      <c r="F60" t="s">
        <v>15</v>
      </c>
      <c r="G60" t="s">
        <v>382</v>
      </c>
      <c r="H60" t="s">
        <v>300</v>
      </c>
      <c r="I60" t="s">
        <v>383</v>
      </c>
      <c r="J60" t="s">
        <v>384</v>
      </c>
      <c r="K60" t="s">
        <v>385</v>
      </c>
      <c r="L60" t="s">
        <v>21</v>
      </c>
    </row>
    <row r="61" spans="1:12">
      <c r="A61">
        <v>63</v>
      </c>
      <c r="B61" t="s">
        <v>386</v>
      </c>
      <c r="C61" t="s">
        <v>230</v>
      </c>
      <c r="D61" t="s">
        <v>173</v>
      </c>
      <c r="E61" t="s">
        <v>387</v>
      </c>
      <c r="F61" t="s">
        <v>15</v>
      </c>
      <c r="G61" t="s">
        <v>388</v>
      </c>
      <c r="H61" t="s">
        <v>389</v>
      </c>
      <c r="I61" t="s">
        <v>390</v>
      </c>
      <c r="J61" t="s">
        <v>391</v>
      </c>
      <c r="K61" t="s">
        <v>392</v>
      </c>
      <c r="L61" t="s">
        <v>54</v>
      </c>
    </row>
    <row r="62" spans="1:12">
      <c r="A62">
        <v>64</v>
      </c>
      <c r="B62" t="s">
        <v>393</v>
      </c>
      <c r="C62" t="s">
        <v>353</v>
      </c>
      <c r="D62" t="s">
        <v>267</v>
      </c>
      <c r="E62" t="s">
        <v>394</v>
      </c>
      <c r="F62" t="s">
        <v>15</v>
      </c>
      <c r="G62" t="s">
        <v>395</v>
      </c>
      <c r="H62" t="s">
        <v>396</v>
      </c>
      <c r="I62" t="s">
        <v>397</v>
      </c>
      <c r="J62" t="s">
        <v>398</v>
      </c>
      <c r="K62" t="s">
        <v>385</v>
      </c>
      <c r="L62" t="s">
        <v>21</v>
      </c>
    </row>
    <row r="63" spans="1:12">
      <c r="A63">
        <v>65</v>
      </c>
      <c r="B63" t="s">
        <v>399</v>
      </c>
      <c r="C63" t="s">
        <v>13</v>
      </c>
      <c r="D63" t="s">
        <v>83</v>
      </c>
      <c r="E63" t="s">
        <v>394</v>
      </c>
      <c r="F63" t="s">
        <v>400</v>
      </c>
      <c r="G63" t="s">
        <v>401</v>
      </c>
      <c r="H63" t="s">
        <v>402</v>
      </c>
      <c r="I63" t="s">
        <v>403</v>
      </c>
      <c r="J63" t="s">
        <v>404</v>
      </c>
      <c r="K63" t="s">
        <v>405</v>
      </c>
      <c r="L63" t="s">
        <v>36</v>
      </c>
    </row>
    <row r="64" spans="1:12">
      <c r="A64">
        <v>66</v>
      </c>
      <c r="B64" t="s">
        <v>406</v>
      </c>
      <c r="C64" t="s">
        <v>82</v>
      </c>
      <c r="D64" t="s">
        <v>260</v>
      </c>
      <c r="E64" t="s">
        <v>394</v>
      </c>
      <c r="F64" t="s">
        <v>15</v>
      </c>
      <c r="G64" t="s">
        <v>407</v>
      </c>
      <c r="H64" t="s">
        <v>408</v>
      </c>
      <c r="I64" t="s">
        <v>409</v>
      </c>
      <c r="J64" t="s">
        <v>121</v>
      </c>
      <c r="K64" t="s">
        <v>121</v>
      </c>
      <c r="L64" t="s">
        <v>21</v>
      </c>
    </row>
    <row r="65" spans="1:12">
      <c r="A65">
        <v>67</v>
      </c>
      <c r="B65" t="s">
        <v>410</v>
      </c>
      <c r="C65" t="s">
        <v>298</v>
      </c>
      <c r="D65" t="s">
        <v>57</v>
      </c>
      <c r="E65" t="s">
        <v>411</v>
      </c>
      <c r="F65" t="s">
        <v>15</v>
      </c>
      <c r="G65" t="s">
        <v>412</v>
      </c>
      <c r="H65" t="s">
        <v>365</v>
      </c>
      <c r="I65" t="s">
        <v>413</v>
      </c>
      <c r="J65" t="s">
        <v>414</v>
      </c>
      <c r="K65" t="s">
        <v>415</v>
      </c>
      <c r="L65" t="s">
        <v>21</v>
      </c>
    </row>
    <row r="66" spans="1:12">
      <c r="A66">
        <v>68</v>
      </c>
      <c r="B66" t="s">
        <v>416</v>
      </c>
      <c r="C66" t="s">
        <v>13</v>
      </c>
      <c r="D66" t="s">
        <v>267</v>
      </c>
      <c r="E66" t="s">
        <v>411</v>
      </c>
      <c r="F66" t="s">
        <v>15</v>
      </c>
      <c r="G66" t="s">
        <v>417</v>
      </c>
      <c r="H66" t="s">
        <v>153</v>
      </c>
      <c r="I66" t="s">
        <v>418</v>
      </c>
      <c r="J66" t="s">
        <v>419</v>
      </c>
      <c r="K66" t="s">
        <v>420</v>
      </c>
      <c r="L66" t="s">
        <v>54</v>
      </c>
    </row>
    <row r="67" spans="1:12">
      <c r="A67">
        <v>69</v>
      </c>
      <c r="B67" t="s">
        <v>421</v>
      </c>
      <c r="C67" t="s">
        <v>13</v>
      </c>
      <c r="D67" t="s">
        <v>13</v>
      </c>
      <c r="E67" t="s">
        <v>422</v>
      </c>
      <c r="F67" t="s">
        <v>15</v>
      </c>
      <c r="G67" t="s">
        <v>423</v>
      </c>
      <c r="H67" t="s">
        <v>118</v>
      </c>
      <c r="I67" t="s">
        <v>424</v>
      </c>
      <c r="J67" t="s">
        <v>372</v>
      </c>
      <c r="K67" t="s">
        <v>425</v>
      </c>
      <c r="L67" t="s">
        <v>54</v>
      </c>
    </row>
    <row r="68" spans="1:12">
      <c r="A68">
        <v>70</v>
      </c>
      <c r="B68" t="s">
        <v>426</v>
      </c>
      <c r="C68" t="s">
        <v>65</v>
      </c>
      <c r="D68" t="s">
        <v>100</v>
      </c>
      <c r="E68" t="s">
        <v>58</v>
      </c>
      <c r="F68" t="s">
        <v>15</v>
      </c>
      <c r="G68" t="s">
        <v>427</v>
      </c>
      <c r="H68" t="s">
        <v>153</v>
      </c>
      <c r="I68" t="s">
        <v>428</v>
      </c>
      <c r="J68" t="s">
        <v>429</v>
      </c>
      <c r="K68" t="s">
        <v>430</v>
      </c>
      <c r="L68" t="s">
        <v>54</v>
      </c>
    </row>
    <row r="69" spans="1:12">
      <c r="A69">
        <v>71</v>
      </c>
      <c r="B69" t="s">
        <v>431</v>
      </c>
      <c r="C69" t="s">
        <v>13</v>
      </c>
      <c r="D69" t="s">
        <v>13</v>
      </c>
      <c r="E69" t="s">
        <v>58</v>
      </c>
      <c r="F69" t="s">
        <v>15</v>
      </c>
      <c r="G69" t="s">
        <v>432</v>
      </c>
      <c r="H69" t="s">
        <v>433</v>
      </c>
      <c r="I69" t="s">
        <v>434</v>
      </c>
      <c r="J69" t="s">
        <v>435</v>
      </c>
      <c r="K69" t="s">
        <v>436</v>
      </c>
      <c r="L69" t="s">
        <v>21</v>
      </c>
    </row>
    <row r="70" spans="1:12">
      <c r="A70">
        <v>72</v>
      </c>
      <c r="B70" t="s">
        <v>437</v>
      </c>
      <c r="C70" t="s">
        <v>82</v>
      </c>
      <c r="D70" t="s">
        <v>260</v>
      </c>
      <c r="E70" t="s">
        <v>438</v>
      </c>
      <c r="F70" t="s">
        <v>15</v>
      </c>
      <c r="G70" t="s">
        <v>439</v>
      </c>
      <c r="H70" t="s">
        <v>153</v>
      </c>
      <c r="I70" t="s">
        <v>440</v>
      </c>
      <c r="J70" t="s">
        <v>147</v>
      </c>
      <c r="K70" t="s">
        <v>441</v>
      </c>
      <c r="L70" t="s">
        <v>21</v>
      </c>
    </row>
    <row r="71" spans="1:12">
      <c r="A71">
        <v>79</v>
      </c>
      <c r="B71" t="s">
        <v>442</v>
      </c>
      <c r="C71" t="s">
        <v>46</v>
      </c>
      <c r="D71" t="s">
        <v>39</v>
      </c>
      <c r="E71" t="s">
        <v>443</v>
      </c>
      <c r="F71" t="s">
        <v>15</v>
      </c>
      <c r="G71" t="s">
        <v>444</v>
      </c>
      <c r="H71" t="s">
        <v>445</v>
      </c>
      <c r="I71" t="s">
        <v>446</v>
      </c>
      <c r="J71" t="s">
        <v>447</v>
      </c>
      <c r="K71" t="s">
        <v>448</v>
      </c>
      <c r="L71" t="s">
        <v>21</v>
      </c>
    </row>
    <row r="72" spans="1:12">
      <c r="A72">
        <v>80</v>
      </c>
      <c r="B72" t="s">
        <v>329</v>
      </c>
      <c r="C72" t="s">
        <v>56</v>
      </c>
      <c r="D72" t="s">
        <v>57</v>
      </c>
      <c r="E72" t="s">
        <v>449</v>
      </c>
      <c r="F72" t="s">
        <v>15</v>
      </c>
      <c r="G72" t="s">
        <v>450</v>
      </c>
      <c r="H72" t="s">
        <v>451</v>
      </c>
      <c r="I72" t="s">
        <v>452</v>
      </c>
      <c r="J72" t="s">
        <v>453</v>
      </c>
      <c r="K72" t="s">
        <v>148</v>
      </c>
      <c r="L72" t="s">
        <v>21</v>
      </c>
    </row>
    <row r="73" spans="1:12">
      <c r="A73">
        <v>81</v>
      </c>
      <c r="B73" t="s">
        <v>454</v>
      </c>
      <c r="C73" t="s">
        <v>321</v>
      </c>
      <c r="D73" t="s">
        <v>39</v>
      </c>
      <c r="E73" t="s">
        <v>455</v>
      </c>
      <c r="F73" t="s">
        <v>15</v>
      </c>
      <c r="G73" t="s">
        <v>456</v>
      </c>
      <c r="H73" t="s">
        <v>153</v>
      </c>
      <c r="I73" t="s">
        <v>457</v>
      </c>
      <c r="J73" t="s">
        <v>147</v>
      </c>
      <c r="K73" t="s">
        <v>458</v>
      </c>
      <c r="L73" t="s">
        <v>21</v>
      </c>
    </row>
    <row r="74" spans="1:12">
      <c r="A74">
        <v>82</v>
      </c>
      <c r="B74" t="s">
        <v>459</v>
      </c>
      <c r="C74" t="s">
        <v>353</v>
      </c>
      <c r="D74" t="s">
        <v>39</v>
      </c>
      <c r="E74" t="s">
        <v>460</v>
      </c>
      <c r="F74" t="s">
        <v>15</v>
      </c>
      <c r="G74" t="s">
        <v>461</v>
      </c>
      <c r="H74" t="s">
        <v>86</v>
      </c>
      <c r="I74" t="s">
        <v>462</v>
      </c>
      <c r="J74" t="s">
        <v>463</v>
      </c>
      <c r="K74" t="s">
        <v>148</v>
      </c>
      <c r="L74" t="s">
        <v>21</v>
      </c>
    </row>
    <row r="75" spans="1:12">
      <c r="A75">
        <v>83</v>
      </c>
      <c r="B75" t="s">
        <v>464</v>
      </c>
      <c r="C75" t="s">
        <v>13</v>
      </c>
      <c r="D75" t="s">
        <v>13</v>
      </c>
      <c r="E75" t="s">
        <v>465</v>
      </c>
      <c r="F75" t="s">
        <v>15</v>
      </c>
      <c r="G75" t="s">
        <v>466</v>
      </c>
      <c r="H75" t="s">
        <v>467</v>
      </c>
      <c r="I75" t="s">
        <v>468</v>
      </c>
      <c r="J75" t="s">
        <v>469</v>
      </c>
      <c r="K75" t="s">
        <v>470</v>
      </c>
      <c r="L75" t="s">
        <v>21</v>
      </c>
    </row>
    <row r="76" spans="1:12">
      <c r="A76">
        <v>84</v>
      </c>
      <c r="B76" t="s">
        <v>471</v>
      </c>
      <c r="C76" t="s">
        <v>13</v>
      </c>
      <c r="D76" t="s">
        <v>13</v>
      </c>
      <c r="E76" t="s">
        <v>472</v>
      </c>
      <c r="F76" t="s">
        <v>15</v>
      </c>
      <c r="G76" t="s">
        <v>473</v>
      </c>
      <c r="H76" t="s">
        <v>132</v>
      </c>
      <c r="I76" t="s">
        <v>474</v>
      </c>
      <c r="J76" t="s">
        <v>475</v>
      </c>
      <c r="K76" t="s">
        <v>476</v>
      </c>
      <c r="L76" t="s">
        <v>21</v>
      </c>
    </row>
    <row r="77" spans="1:12">
      <c r="A77">
        <v>85</v>
      </c>
      <c r="B77" t="s">
        <v>477</v>
      </c>
      <c r="C77" t="s">
        <v>335</v>
      </c>
      <c r="D77" t="s">
        <v>57</v>
      </c>
      <c r="E77" t="s">
        <v>58</v>
      </c>
      <c r="F77" t="s">
        <v>478</v>
      </c>
      <c r="G77" t="s">
        <v>479</v>
      </c>
      <c r="H77" t="s">
        <v>478</v>
      </c>
      <c r="I77" t="s">
        <v>480</v>
      </c>
      <c r="J77" t="s">
        <v>481</v>
      </c>
      <c r="K77" t="s">
        <v>482</v>
      </c>
      <c r="L77" t="s">
        <v>21</v>
      </c>
    </row>
    <row r="78" spans="1:12">
      <c r="A78">
        <v>86</v>
      </c>
      <c r="B78" t="s">
        <v>483</v>
      </c>
      <c r="C78" t="s">
        <v>325</v>
      </c>
      <c r="D78" t="s">
        <v>158</v>
      </c>
      <c r="E78" t="s">
        <v>58</v>
      </c>
      <c r="F78" t="s">
        <v>478</v>
      </c>
      <c r="G78" t="s">
        <v>138</v>
      </c>
      <c r="H78" t="s">
        <v>484</v>
      </c>
      <c r="I78" t="s">
        <v>485</v>
      </c>
      <c r="J78" t="s">
        <v>486</v>
      </c>
      <c r="K78" t="s">
        <v>487</v>
      </c>
      <c r="L78" t="s">
        <v>54</v>
      </c>
    </row>
    <row r="79" spans="1:12">
      <c r="A79">
        <v>87</v>
      </c>
      <c r="B79" t="s">
        <v>488</v>
      </c>
      <c r="C79" t="s">
        <v>246</v>
      </c>
      <c r="D79" t="s">
        <v>286</v>
      </c>
      <c r="E79" t="s">
        <v>58</v>
      </c>
      <c r="F79" t="s">
        <v>478</v>
      </c>
      <c r="G79" t="s">
        <v>489</v>
      </c>
      <c r="H79" t="s">
        <v>490</v>
      </c>
      <c r="I79" t="s">
        <v>491</v>
      </c>
      <c r="J79" t="s">
        <v>345</v>
      </c>
      <c r="K79" t="s">
        <v>492</v>
      </c>
      <c r="L79" t="s">
        <v>21</v>
      </c>
    </row>
    <row r="80" spans="1:12">
      <c r="A80">
        <v>88</v>
      </c>
      <c r="B80" t="s">
        <v>493</v>
      </c>
      <c r="C80" t="s">
        <v>99</v>
      </c>
      <c r="D80" t="s">
        <v>267</v>
      </c>
      <c r="E80" t="s">
        <v>494</v>
      </c>
      <c r="F80" t="s">
        <v>478</v>
      </c>
      <c r="G80" t="s">
        <v>495</v>
      </c>
      <c r="H80" t="s">
        <v>478</v>
      </c>
      <c r="I80" t="s">
        <v>496</v>
      </c>
      <c r="J80" t="s">
        <v>497</v>
      </c>
      <c r="K80" t="s">
        <v>498</v>
      </c>
      <c r="L80" t="s">
        <v>21</v>
      </c>
    </row>
    <row r="81" spans="1:12">
      <c r="A81">
        <v>89</v>
      </c>
      <c r="B81" t="s">
        <v>499</v>
      </c>
      <c r="C81" t="s">
        <v>115</v>
      </c>
      <c r="D81" t="s">
        <v>267</v>
      </c>
      <c r="E81" t="s">
        <v>67</v>
      </c>
      <c r="F81" t="s">
        <v>478</v>
      </c>
      <c r="G81" t="s">
        <v>500</v>
      </c>
      <c r="H81" t="s">
        <v>501</v>
      </c>
      <c r="I81" t="s">
        <v>502</v>
      </c>
      <c r="J81" t="s">
        <v>503</v>
      </c>
      <c r="K81" t="s">
        <v>504</v>
      </c>
      <c r="L81" t="s">
        <v>36</v>
      </c>
    </row>
    <row r="82" spans="1:12">
      <c r="A82">
        <v>90</v>
      </c>
      <c r="B82" t="s">
        <v>505</v>
      </c>
      <c r="C82" t="s">
        <v>150</v>
      </c>
      <c r="D82" t="s">
        <v>66</v>
      </c>
      <c r="E82" t="s">
        <v>67</v>
      </c>
      <c r="F82" t="s">
        <v>478</v>
      </c>
      <c r="G82" t="s">
        <v>479</v>
      </c>
      <c r="H82" t="s">
        <v>506</v>
      </c>
      <c r="I82" t="s">
        <v>507</v>
      </c>
      <c r="J82" t="s">
        <v>508</v>
      </c>
      <c r="K82" t="s">
        <v>509</v>
      </c>
      <c r="L82" t="s">
        <v>36</v>
      </c>
    </row>
    <row r="83" spans="1:12">
      <c r="A83">
        <v>91</v>
      </c>
      <c r="B83" t="s">
        <v>510</v>
      </c>
      <c r="C83" t="s">
        <v>362</v>
      </c>
      <c r="D83" t="s">
        <v>47</v>
      </c>
      <c r="E83" t="s">
        <v>75</v>
      </c>
      <c r="F83" t="s">
        <v>478</v>
      </c>
      <c r="G83" t="s">
        <v>76</v>
      </c>
      <c r="H83" t="s">
        <v>511</v>
      </c>
      <c r="I83" t="s">
        <v>512</v>
      </c>
      <c r="J83" t="s">
        <v>79</v>
      </c>
      <c r="K83" t="s">
        <v>492</v>
      </c>
      <c r="L83" t="s">
        <v>36</v>
      </c>
    </row>
    <row r="84" spans="1:12">
      <c r="A84">
        <v>92</v>
      </c>
      <c r="B84" t="s">
        <v>513</v>
      </c>
      <c r="C84" t="s">
        <v>13</v>
      </c>
      <c r="D84" t="s">
        <v>13</v>
      </c>
      <c r="E84" t="s">
        <v>137</v>
      </c>
      <c r="F84" t="s">
        <v>478</v>
      </c>
      <c r="G84" t="s">
        <v>138</v>
      </c>
      <c r="H84" t="s">
        <v>514</v>
      </c>
      <c r="I84" t="s">
        <v>515</v>
      </c>
      <c r="J84" t="s">
        <v>516</v>
      </c>
      <c r="K84" t="s">
        <v>487</v>
      </c>
      <c r="L84" t="s">
        <v>54</v>
      </c>
    </row>
    <row r="85" spans="1:12">
      <c r="A85">
        <v>93</v>
      </c>
      <c r="B85" t="s">
        <v>517</v>
      </c>
      <c r="C85" t="s">
        <v>298</v>
      </c>
      <c r="D85" t="s">
        <v>158</v>
      </c>
      <c r="E85" t="s">
        <v>144</v>
      </c>
      <c r="F85" t="s">
        <v>478</v>
      </c>
      <c r="G85" t="s">
        <v>280</v>
      </c>
      <c r="H85" t="s">
        <v>518</v>
      </c>
      <c r="I85" t="s">
        <v>519</v>
      </c>
      <c r="J85" t="s">
        <v>486</v>
      </c>
      <c r="K85" t="s">
        <v>520</v>
      </c>
      <c r="L85" t="s">
        <v>54</v>
      </c>
    </row>
    <row r="86" spans="1:12">
      <c r="A86">
        <v>94</v>
      </c>
      <c r="B86" t="s">
        <v>521</v>
      </c>
      <c r="C86" t="s">
        <v>522</v>
      </c>
      <c r="D86" t="s">
        <v>66</v>
      </c>
      <c r="E86" t="s">
        <v>294</v>
      </c>
      <c r="F86" t="s">
        <v>478</v>
      </c>
      <c r="G86" t="s">
        <v>31</v>
      </c>
      <c r="H86" t="s">
        <v>523</v>
      </c>
      <c r="I86" t="s">
        <v>524</v>
      </c>
      <c r="J86" t="s">
        <v>497</v>
      </c>
      <c r="K86" t="s">
        <v>525</v>
      </c>
      <c r="L86" t="s">
        <v>54</v>
      </c>
    </row>
    <row r="87" spans="1:12">
      <c r="A87">
        <v>95</v>
      </c>
      <c r="B87" t="s">
        <v>526</v>
      </c>
      <c r="C87" t="s">
        <v>56</v>
      </c>
      <c r="D87" t="s">
        <v>100</v>
      </c>
      <c r="E87" t="s">
        <v>287</v>
      </c>
      <c r="F87" t="s">
        <v>478</v>
      </c>
      <c r="G87" t="s">
        <v>131</v>
      </c>
      <c r="H87" t="s">
        <v>527</v>
      </c>
      <c r="I87" t="s">
        <v>528</v>
      </c>
      <c r="J87" t="s">
        <v>529</v>
      </c>
      <c r="K87" t="s">
        <v>530</v>
      </c>
      <c r="L87" t="s">
        <v>21</v>
      </c>
    </row>
    <row r="88" spans="1:12">
      <c r="A88">
        <v>96</v>
      </c>
      <c r="B88" t="s">
        <v>531</v>
      </c>
      <c r="C88" t="s">
        <v>150</v>
      </c>
      <c r="D88" t="s">
        <v>66</v>
      </c>
      <c r="E88" t="s">
        <v>287</v>
      </c>
      <c r="F88" t="s">
        <v>478</v>
      </c>
      <c r="G88" t="s">
        <v>85</v>
      </c>
      <c r="H88" t="s">
        <v>532</v>
      </c>
      <c r="I88" t="s">
        <v>533</v>
      </c>
      <c r="J88" t="s">
        <v>534</v>
      </c>
      <c r="K88" t="s">
        <v>535</v>
      </c>
      <c r="L88" t="s">
        <v>54</v>
      </c>
    </row>
    <row r="89" spans="1:12">
      <c r="A89">
        <v>97</v>
      </c>
      <c r="B89" t="s">
        <v>536</v>
      </c>
      <c r="C89" t="s">
        <v>91</v>
      </c>
      <c r="D89" t="s">
        <v>39</v>
      </c>
      <c r="E89" t="s">
        <v>341</v>
      </c>
      <c r="F89" t="s">
        <v>478</v>
      </c>
      <c r="G89" t="s">
        <v>537</v>
      </c>
      <c r="H89" t="s">
        <v>478</v>
      </c>
      <c r="I89" t="s">
        <v>538</v>
      </c>
      <c r="J89" t="s">
        <v>497</v>
      </c>
      <c r="K89" t="s">
        <v>539</v>
      </c>
      <c r="L89" t="s">
        <v>21</v>
      </c>
    </row>
    <row r="90" spans="1:12">
      <c r="A90">
        <v>98</v>
      </c>
      <c r="B90" t="s">
        <v>540</v>
      </c>
      <c r="C90" t="s">
        <v>362</v>
      </c>
      <c r="D90" t="s">
        <v>211</v>
      </c>
      <c r="E90" t="s">
        <v>348</v>
      </c>
      <c r="F90" t="s">
        <v>478</v>
      </c>
      <c r="G90" t="s">
        <v>541</v>
      </c>
      <c r="H90" t="s">
        <v>542</v>
      </c>
      <c r="I90" t="s">
        <v>543</v>
      </c>
      <c r="J90" t="s">
        <v>497</v>
      </c>
      <c r="K90" t="s">
        <v>544</v>
      </c>
      <c r="L90" t="s">
        <v>36</v>
      </c>
    </row>
    <row r="91" spans="1:12">
      <c r="A91">
        <v>99</v>
      </c>
      <c r="B91" t="s">
        <v>545</v>
      </c>
      <c r="C91" t="s">
        <v>240</v>
      </c>
      <c r="D91" t="s">
        <v>83</v>
      </c>
      <c r="E91" t="s">
        <v>235</v>
      </c>
      <c r="F91" t="s">
        <v>478</v>
      </c>
      <c r="G91" t="s">
        <v>546</v>
      </c>
      <c r="H91" t="s">
        <v>547</v>
      </c>
      <c r="I91" t="s">
        <v>548</v>
      </c>
      <c r="J91" t="s">
        <v>134</v>
      </c>
      <c r="K91" t="s">
        <v>549</v>
      </c>
      <c r="L91" t="s">
        <v>21</v>
      </c>
    </row>
    <row r="92" spans="1:12">
      <c r="A92">
        <v>100</v>
      </c>
      <c r="B92" t="s">
        <v>550</v>
      </c>
      <c r="C92" t="s">
        <v>13</v>
      </c>
      <c r="D92" t="s">
        <v>13</v>
      </c>
      <c r="E92" t="s">
        <v>174</v>
      </c>
      <c r="F92" t="s">
        <v>478</v>
      </c>
      <c r="G92" t="s">
        <v>551</v>
      </c>
      <c r="H92" t="s">
        <v>343</v>
      </c>
      <c r="I92" t="s">
        <v>552</v>
      </c>
      <c r="J92" t="s">
        <v>553</v>
      </c>
      <c r="K92" t="s">
        <v>554</v>
      </c>
      <c r="L92" t="s">
        <v>54</v>
      </c>
    </row>
    <row r="93" spans="1:12">
      <c r="A93">
        <v>101</v>
      </c>
      <c r="B93" t="s">
        <v>555</v>
      </c>
      <c r="C93" t="s">
        <v>195</v>
      </c>
      <c r="D93" t="s">
        <v>57</v>
      </c>
      <c r="E93" t="s">
        <v>174</v>
      </c>
      <c r="F93" t="s">
        <v>478</v>
      </c>
      <c r="G93" t="s">
        <v>31</v>
      </c>
      <c r="H93" t="s">
        <v>542</v>
      </c>
      <c r="I93" t="s">
        <v>556</v>
      </c>
      <c r="J93" t="s">
        <v>497</v>
      </c>
      <c r="K93" t="s">
        <v>557</v>
      </c>
      <c r="L93" t="s">
        <v>21</v>
      </c>
    </row>
    <row r="94" spans="1:12">
      <c r="A94">
        <v>102</v>
      </c>
      <c r="B94" t="s">
        <v>558</v>
      </c>
      <c r="C94" t="s">
        <v>251</v>
      </c>
      <c r="D94" t="s">
        <v>47</v>
      </c>
      <c r="E94" t="s">
        <v>174</v>
      </c>
      <c r="F94" t="s">
        <v>478</v>
      </c>
      <c r="G94" t="s">
        <v>370</v>
      </c>
      <c r="H94" t="s">
        <v>559</v>
      </c>
      <c r="I94" t="s">
        <v>560</v>
      </c>
      <c r="J94" t="s">
        <v>561</v>
      </c>
      <c r="K94" t="s">
        <v>492</v>
      </c>
      <c r="L94" t="s">
        <v>21</v>
      </c>
    </row>
    <row r="95" spans="1:12">
      <c r="A95">
        <v>103</v>
      </c>
      <c r="B95" t="s">
        <v>562</v>
      </c>
      <c r="C95" t="s">
        <v>335</v>
      </c>
      <c r="D95" t="s">
        <v>173</v>
      </c>
      <c r="E95" t="s">
        <v>235</v>
      </c>
      <c r="F95" t="s">
        <v>478</v>
      </c>
      <c r="G95" t="s">
        <v>563</v>
      </c>
      <c r="H95" t="s">
        <v>564</v>
      </c>
      <c r="I95" t="s">
        <v>565</v>
      </c>
      <c r="J95" t="s">
        <v>516</v>
      </c>
      <c r="K95" t="s">
        <v>566</v>
      </c>
      <c r="L95" t="s">
        <v>54</v>
      </c>
    </row>
    <row r="96" spans="1:12">
      <c r="A96">
        <v>104</v>
      </c>
      <c r="B96" t="s">
        <v>567</v>
      </c>
      <c r="C96" t="s">
        <v>99</v>
      </c>
      <c r="D96" t="s">
        <v>267</v>
      </c>
      <c r="E96" t="s">
        <v>123</v>
      </c>
      <c r="F96" t="s">
        <v>478</v>
      </c>
      <c r="G96" t="s">
        <v>568</v>
      </c>
      <c r="H96" t="s">
        <v>408</v>
      </c>
      <c r="I96" t="s">
        <v>569</v>
      </c>
      <c r="J96" t="s">
        <v>497</v>
      </c>
      <c r="K96" t="s">
        <v>492</v>
      </c>
      <c r="L96" t="s">
        <v>21</v>
      </c>
    </row>
    <row r="97" spans="1:12">
      <c r="A97">
        <v>105</v>
      </c>
      <c r="B97" t="s">
        <v>570</v>
      </c>
      <c r="C97" t="s">
        <v>99</v>
      </c>
      <c r="D97" t="s">
        <v>267</v>
      </c>
      <c r="E97" t="s">
        <v>571</v>
      </c>
      <c r="F97" t="s">
        <v>478</v>
      </c>
      <c r="G97" t="s">
        <v>407</v>
      </c>
      <c r="H97" t="s">
        <v>408</v>
      </c>
      <c r="I97" t="s">
        <v>572</v>
      </c>
      <c r="J97" t="s">
        <v>573</v>
      </c>
      <c r="K97" t="s">
        <v>574</v>
      </c>
      <c r="L97" t="s">
        <v>21</v>
      </c>
    </row>
    <row r="98" spans="1:12">
      <c r="A98">
        <v>106</v>
      </c>
      <c r="B98" t="s">
        <v>575</v>
      </c>
      <c r="C98" t="s">
        <v>13</v>
      </c>
      <c r="D98" t="s">
        <v>13</v>
      </c>
      <c r="E98" t="s">
        <v>130</v>
      </c>
      <c r="F98" t="s">
        <v>478</v>
      </c>
      <c r="G98" t="s">
        <v>138</v>
      </c>
      <c r="H98" t="s">
        <v>576</v>
      </c>
      <c r="I98" t="s">
        <v>577</v>
      </c>
      <c r="J98" t="s">
        <v>578</v>
      </c>
      <c r="K98" t="s">
        <v>487</v>
      </c>
      <c r="L98" t="s">
        <v>54</v>
      </c>
    </row>
    <row r="99" spans="1:12">
      <c r="A99">
        <v>107</v>
      </c>
      <c r="B99" t="s">
        <v>579</v>
      </c>
      <c r="C99" t="s">
        <v>580</v>
      </c>
      <c r="D99" t="s">
        <v>286</v>
      </c>
      <c r="E99" t="s">
        <v>123</v>
      </c>
      <c r="F99" t="s">
        <v>478</v>
      </c>
      <c r="G99" t="s">
        <v>581</v>
      </c>
      <c r="H99" t="s">
        <v>582</v>
      </c>
      <c r="I99" t="s">
        <v>583</v>
      </c>
      <c r="J99" t="s">
        <v>584</v>
      </c>
      <c r="K99" t="s">
        <v>585</v>
      </c>
      <c r="L99" t="s">
        <v>21</v>
      </c>
    </row>
    <row r="100" spans="1:12">
      <c r="A100">
        <v>108</v>
      </c>
      <c r="B100" t="s">
        <v>586</v>
      </c>
      <c r="C100" t="s">
        <v>494</v>
      </c>
      <c r="D100" t="s">
        <v>13</v>
      </c>
      <c r="E100" t="s">
        <v>494</v>
      </c>
      <c r="F100" t="s">
        <v>478</v>
      </c>
      <c r="G100" t="s">
        <v>587</v>
      </c>
      <c r="H100" t="s">
        <v>542</v>
      </c>
      <c r="I100" t="s">
        <v>588</v>
      </c>
      <c r="J100" t="s">
        <v>589</v>
      </c>
      <c r="K100" t="s">
        <v>492</v>
      </c>
      <c r="L100" t="s">
        <v>21</v>
      </c>
    </row>
    <row r="101" spans="1:12">
      <c r="A101">
        <v>109</v>
      </c>
      <c r="B101" t="s">
        <v>590</v>
      </c>
      <c r="C101" t="s">
        <v>13</v>
      </c>
      <c r="D101" t="s">
        <v>13</v>
      </c>
      <c r="E101" t="s">
        <v>591</v>
      </c>
      <c r="F101" t="s">
        <v>478</v>
      </c>
      <c r="G101" t="s">
        <v>213</v>
      </c>
      <c r="H101" t="s">
        <v>300</v>
      </c>
      <c r="I101" t="s">
        <v>592</v>
      </c>
      <c r="J101" t="s">
        <v>593</v>
      </c>
      <c r="K101" t="s">
        <v>594</v>
      </c>
      <c r="L101" t="s">
        <v>36</v>
      </c>
    </row>
    <row r="102" spans="1:12">
      <c r="A102">
        <v>110</v>
      </c>
      <c r="B102" t="s">
        <v>595</v>
      </c>
      <c r="C102" t="s">
        <v>325</v>
      </c>
      <c r="D102" t="s">
        <v>260</v>
      </c>
      <c r="E102" t="s">
        <v>455</v>
      </c>
      <c r="F102" t="s">
        <v>478</v>
      </c>
      <c r="G102" t="s">
        <v>489</v>
      </c>
      <c r="H102" t="s">
        <v>542</v>
      </c>
      <c r="I102" t="s">
        <v>596</v>
      </c>
      <c r="J102" t="s">
        <v>597</v>
      </c>
      <c r="K102" t="s">
        <v>598</v>
      </c>
      <c r="L102" t="s">
        <v>21</v>
      </c>
    </row>
    <row r="103" spans="1:12">
      <c r="A103">
        <v>111</v>
      </c>
      <c r="B103" t="s">
        <v>599</v>
      </c>
      <c r="C103" t="s">
        <v>13</v>
      </c>
      <c r="D103" t="s">
        <v>13</v>
      </c>
      <c r="E103" t="s">
        <v>600</v>
      </c>
      <c r="F103" t="s">
        <v>478</v>
      </c>
      <c r="G103" t="s">
        <v>175</v>
      </c>
      <c r="H103" t="s">
        <v>300</v>
      </c>
      <c r="I103" t="s">
        <v>601</v>
      </c>
      <c r="J103" t="s">
        <v>497</v>
      </c>
      <c r="K103" t="s">
        <v>492</v>
      </c>
      <c r="L103" t="s">
        <v>21</v>
      </c>
    </row>
    <row r="104" spans="1:12">
      <c r="A104">
        <v>112</v>
      </c>
      <c r="B104" t="s">
        <v>602</v>
      </c>
      <c r="C104" t="s">
        <v>56</v>
      </c>
      <c r="D104" t="s">
        <v>83</v>
      </c>
      <c r="E104" t="s">
        <v>603</v>
      </c>
      <c r="F104" t="s">
        <v>478</v>
      </c>
      <c r="G104" t="s">
        <v>145</v>
      </c>
      <c r="H104" t="s">
        <v>542</v>
      </c>
      <c r="I104" t="s">
        <v>604</v>
      </c>
      <c r="J104" t="s">
        <v>605</v>
      </c>
      <c r="K104" t="s">
        <v>606</v>
      </c>
      <c r="L104" t="s">
        <v>21</v>
      </c>
    </row>
    <row r="105" spans="1:12">
      <c r="A105">
        <v>113</v>
      </c>
      <c r="B105" t="s">
        <v>607</v>
      </c>
      <c r="C105" t="s">
        <v>107</v>
      </c>
      <c r="D105" t="s">
        <v>66</v>
      </c>
      <c r="E105" t="s">
        <v>287</v>
      </c>
      <c r="F105" t="s">
        <v>478</v>
      </c>
      <c r="G105" t="s">
        <v>608</v>
      </c>
      <c r="H105" t="s">
        <v>609</v>
      </c>
      <c r="I105" t="s">
        <v>610</v>
      </c>
      <c r="J105" t="s">
        <v>345</v>
      </c>
      <c r="K105" t="s">
        <v>611</v>
      </c>
      <c r="L105" t="s">
        <v>21</v>
      </c>
    </row>
    <row r="106" spans="1:12">
      <c r="A106">
        <v>114</v>
      </c>
      <c r="B106" t="s">
        <v>612</v>
      </c>
      <c r="C106" t="s">
        <v>13</v>
      </c>
      <c r="D106" t="s">
        <v>13</v>
      </c>
      <c r="E106" t="s">
        <v>613</v>
      </c>
      <c r="F106" t="s">
        <v>478</v>
      </c>
      <c r="G106" t="s">
        <v>175</v>
      </c>
      <c r="H106" t="s">
        <v>614</v>
      </c>
      <c r="I106" t="s">
        <v>615</v>
      </c>
      <c r="J106" t="s">
        <v>616</v>
      </c>
      <c r="K106" t="s">
        <v>617</v>
      </c>
      <c r="L106" t="s">
        <v>21</v>
      </c>
    </row>
    <row r="107" spans="1:12">
      <c r="A107">
        <v>115</v>
      </c>
      <c r="B107" t="s">
        <v>618</v>
      </c>
      <c r="C107" t="s">
        <v>13</v>
      </c>
      <c r="D107" t="s">
        <v>13</v>
      </c>
      <c r="E107" t="s">
        <v>84</v>
      </c>
      <c r="F107" t="s">
        <v>478</v>
      </c>
      <c r="G107" t="s">
        <v>619</v>
      </c>
      <c r="H107" t="s">
        <v>300</v>
      </c>
      <c r="I107" t="s">
        <v>620</v>
      </c>
      <c r="J107" t="s">
        <v>621</v>
      </c>
      <c r="K107" t="s">
        <v>492</v>
      </c>
      <c r="L107" t="s">
        <v>21</v>
      </c>
    </row>
    <row r="108" spans="1:12">
      <c r="A108">
        <v>116</v>
      </c>
      <c r="B108" t="s">
        <v>622</v>
      </c>
      <c r="C108" t="s">
        <v>580</v>
      </c>
      <c r="D108" t="s">
        <v>39</v>
      </c>
      <c r="E108" t="s">
        <v>623</v>
      </c>
      <c r="F108" t="s">
        <v>478</v>
      </c>
      <c r="G108" t="s">
        <v>624</v>
      </c>
      <c r="H108" t="s">
        <v>542</v>
      </c>
      <c r="I108" t="s">
        <v>625</v>
      </c>
      <c r="J108" t="s">
        <v>497</v>
      </c>
      <c r="K108" t="s">
        <v>606</v>
      </c>
      <c r="L108" t="s">
        <v>21</v>
      </c>
    </row>
    <row r="109" spans="1:12">
      <c r="A109">
        <v>117</v>
      </c>
      <c r="B109" t="s">
        <v>626</v>
      </c>
      <c r="C109" t="s">
        <v>150</v>
      </c>
      <c r="D109" t="s">
        <v>211</v>
      </c>
      <c r="E109" t="s">
        <v>627</v>
      </c>
      <c r="F109" t="s">
        <v>478</v>
      </c>
      <c r="G109" t="s">
        <v>288</v>
      </c>
      <c r="H109" t="s">
        <v>628</v>
      </c>
      <c r="I109" t="s">
        <v>629</v>
      </c>
      <c r="J109" t="s">
        <v>630</v>
      </c>
      <c r="K109" t="s">
        <v>631</v>
      </c>
      <c r="L109" t="s">
        <v>21</v>
      </c>
    </row>
    <row r="110" spans="1:12">
      <c r="A110">
        <v>118</v>
      </c>
      <c r="B110" t="s">
        <v>632</v>
      </c>
      <c r="C110" t="s">
        <v>633</v>
      </c>
      <c r="D110" t="s">
        <v>83</v>
      </c>
      <c r="E110" t="s">
        <v>603</v>
      </c>
      <c r="F110" t="s">
        <v>478</v>
      </c>
      <c r="G110" t="s">
        <v>145</v>
      </c>
      <c r="H110" t="s">
        <v>542</v>
      </c>
      <c r="I110" t="s">
        <v>634</v>
      </c>
      <c r="J110" t="s">
        <v>605</v>
      </c>
      <c r="K110" t="s">
        <v>606</v>
      </c>
      <c r="L110" t="s">
        <v>21</v>
      </c>
    </row>
    <row r="111" spans="1:12">
      <c r="A111">
        <v>119</v>
      </c>
      <c r="B111" t="s">
        <v>635</v>
      </c>
      <c r="C111" t="s">
        <v>75</v>
      </c>
      <c r="D111" t="s">
        <v>13</v>
      </c>
      <c r="E111" t="s">
        <v>75</v>
      </c>
      <c r="F111" t="s">
        <v>478</v>
      </c>
      <c r="G111" t="s">
        <v>636</v>
      </c>
      <c r="H111" t="s">
        <v>542</v>
      </c>
      <c r="I111" t="s">
        <v>637</v>
      </c>
      <c r="J111" t="s">
        <v>497</v>
      </c>
      <c r="K111" t="s">
        <v>492</v>
      </c>
      <c r="L111" t="s">
        <v>21</v>
      </c>
    </row>
    <row r="112" spans="1:12">
      <c r="A112">
        <v>120</v>
      </c>
      <c r="B112" t="s">
        <v>638</v>
      </c>
      <c r="C112" t="s">
        <v>591</v>
      </c>
      <c r="D112" t="s">
        <v>13</v>
      </c>
      <c r="E112" t="s">
        <v>591</v>
      </c>
      <c r="F112" t="s">
        <v>478</v>
      </c>
      <c r="G112" t="s">
        <v>639</v>
      </c>
      <c r="H112" t="s">
        <v>582</v>
      </c>
      <c r="I112" t="s">
        <v>640</v>
      </c>
      <c r="J112" t="s">
        <v>589</v>
      </c>
      <c r="K112" t="s">
        <v>641</v>
      </c>
      <c r="L112" t="s">
        <v>21</v>
      </c>
    </row>
    <row r="113" spans="1:12">
      <c r="A113">
        <v>121</v>
      </c>
      <c r="B113" t="s">
        <v>642</v>
      </c>
      <c r="C113" t="s">
        <v>643</v>
      </c>
      <c r="D113" t="s">
        <v>13</v>
      </c>
      <c r="E113" t="s">
        <v>643</v>
      </c>
      <c r="F113" t="s">
        <v>478</v>
      </c>
      <c r="G113" t="s">
        <v>261</v>
      </c>
      <c r="H113" t="s">
        <v>300</v>
      </c>
      <c r="I113" t="s">
        <v>644</v>
      </c>
      <c r="J113" t="s">
        <v>645</v>
      </c>
      <c r="K113" t="s">
        <v>646</v>
      </c>
      <c r="L113" t="s">
        <v>21</v>
      </c>
    </row>
    <row r="114" spans="1:12">
      <c r="A114">
        <v>122</v>
      </c>
      <c r="B114" t="s">
        <v>647</v>
      </c>
      <c r="C114" t="s">
        <v>325</v>
      </c>
      <c r="D114" t="s">
        <v>267</v>
      </c>
      <c r="E114" t="s">
        <v>648</v>
      </c>
      <c r="F114" t="s">
        <v>478</v>
      </c>
      <c r="G114" t="s">
        <v>175</v>
      </c>
      <c r="H114" t="s">
        <v>649</v>
      </c>
      <c r="I114" t="s">
        <v>650</v>
      </c>
      <c r="J114" t="s">
        <v>651</v>
      </c>
      <c r="K114" t="s">
        <v>539</v>
      </c>
      <c r="L114" t="s">
        <v>21</v>
      </c>
    </row>
    <row r="115" spans="1:12">
      <c r="A115">
        <v>123</v>
      </c>
      <c r="B115" t="s">
        <v>652</v>
      </c>
      <c r="C115" t="s">
        <v>218</v>
      </c>
      <c r="D115" t="s">
        <v>66</v>
      </c>
      <c r="E115" t="s">
        <v>287</v>
      </c>
      <c r="F115" t="s">
        <v>478</v>
      </c>
      <c r="G115" t="s">
        <v>653</v>
      </c>
      <c r="H115" t="s">
        <v>300</v>
      </c>
      <c r="I115" t="s">
        <v>654</v>
      </c>
      <c r="J115" t="s">
        <v>497</v>
      </c>
      <c r="K115" t="s">
        <v>492</v>
      </c>
      <c r="L115" t="s">
        <v>21</v>
      </c>
    </row>
    <row r="116" spans="1:12">
      <c r="A116">
        <v>124</v>
      </c>
      <c r="B116" t="s">
        <v>655</v>
      </c>
      <c r="C116" t="s">
        <v>230</v>
      </c>
      <c r="D116" t="s">
        <v>173</v>
      </c>
      <c r="E116" t="s">
        <v>656</v>
      </c>
      <c r="F116" t="s">
        <v>657</v>
      </c>
      <c r="G116" t="s">
        <v>31</v>
      </c>
      <c r="H116" t="s">
        <v>658</v>
      </c>
      <c r="I116" t="s">
        <v>659</v>
      </c>
      <c r="J116" t="s">
        <v>660</v>
      </c>
      <c r="K116" t="s">
        <v>661</v>
      </c>
      <c r="L116" t="s">
        <v>21</v>
      </c>
    </row>
    <row r="117" spans="1:12">
      <c r="A117">
        <v>125</v>
      </c>
      <c r="B117" t="s">
        <v>662</v>
      </c>
      <c r="C117" t="s">
        <v>165</v>
      </c>
      <c r="D117" t="s">
        <v>100</v>
      </c>
      <c r="E117" t="s">
        <v>494</v>
      </c>
      <c r="F117" t="s">
        <v>657</v>
      </c>
      <c r="G117" t="s">
        <v>145</v>
      </c>
      <c r="H117" t="s">
        <v>657</v>
      </c>
      <c r="I117" t="s">
        <v>663</v>
      </c>
      <c r="J117" t="s">
        <v>664</v>
      </c>
      <c r="K117" t="s">
        <v>665</v>
      </c>
      <c r="L117" t="s">
        <v>54</v>
      </c>
    </row>
    <row r="118" spans="1:12">
      <c r="A118">
        <v>126</v>
      </c>
      <c r="B118" t="s">
        <v>666</v>
      </c>
      <c r="C118" t="s">
        <v>99</v>
      </c>
      <c r="D118" t="s">
        <v>211</v>
      </c>
      <c r="E118" t="s">
        <v>272</v>
      </c>
      <c r="F118" t="s">
        <v>657</v>
      </c>
      <c r="G118" t="s">
        <v>667</v>
      </c>
      <c r="H118" t="s">
        <v>668</v>
      </c>
      <c r="I118" t="s">
        <v>669</v>
      </c>
      <c r="J118" t="s">
        <v>670</v>
      </c>
      <c r="K118" t="s">
        <v>671</v>
      </c>
      <c r="L118" t="s">
        <v>54</v>
      </c>
    </row>
    <row r="119" spans="1:12">
      <c r="A119">
        <v>127</v>
      </c>
      <c r="B119" t="s">
        <v>672</v>
      </c>
      <c r="C119" t="s">
        <v>82</v>
      </c>
      <c r="D119" t="s">
        <v>66</v>
      </c>
      <c r="E119" t="s">
        <v>643</v>
      </c>
      <c r="F119" t="s">
        <v>657</v>
      </c>
      <c r="G119" t="s">
        <v>280</v>
      </c>
      <c r="H119" t="s">
        <v>673</v>
      </c>
      <c r="I119" t="s">
        <v>674</v>
      </c>
      <c r="J119" t="s">
        <v>675</v>
      </c>
      <c r="K119" t="s">
        <v>13</v>
      </c>
      <c r="L119" t="s">
        <v>54</v>
      </c>
    </row>
    <row r="120" spans="1:12">
      <c r="A120">
        <v>128</v>
      </c>
      <c r="B120" t="s">
        <v>676</v>
      </c>
      <c r="C120" t="s">
        <v>195</v>
      </c>
      <c r="D120" t="s">
        <v>47</v>
      </c>
      <c r="E120" t="s">
        <v>231</v>
      </c>
      <c r="F120" t="s">
        <v>657</v>
      </c>
      <c r="G120" t="s">
        <v>356</v>
      </c>
      <c r="H120" t="s">
        <v>677</v>
      </c>
      <c r="I120" t="s">
        <v>678</v>
      </c>
      <c r="J120" t="s">
        <v>679</v>
      </c>
      <c r="K120" t="s">
        <v>680</v>
      </c>
      <c r="L120" t="s">
        <v>21</v>
      </c>
    </row>
    <row r="121" spans="1:12">
      <c r="A121">
        <v>129</v>
      </c>
      <c r="B121" t="s">
        <v>681</v>
      </c>
      <c r="C121" t="s">
        <v>13</v>
      </c>
      <c r="D121" t="s">
        <v>13</v>
      </c>
      <c r="E121" t="s">
        <v>682</v>
      </c>
      <c r="F121" t="s">
        <v>657</v>
      </c>
      <c r="G121" t="s">
        <v>683</v>
      </c>
      <c r="H121" t="s">
        <v>657</v>
      </c>
      <c r="I121" t="s">
        <v>684</v>
      </c>
      <c r="J121" t="s">
        <v>685</v>
      </c>
      <c r="K121" t="s">
        <v>686</v>
      </c>
      <c r="L121" t="s">
        <v>21</v>
      </c>
    </row>
    <row r="122" spans="1:12">
      <c r="A122">
        <v>130</v>
      </c>
      <c r="B122" t="s">
        <v>687</v>
      </c>
      <c r="C122" t="s">
        <v>325</v>
      </c>
      <c r="D122" t="s">
        <v>47</v>
      </c>
      <c r="E122" t="s">
        <v>591</v>
      </c>
      <c r="F122" t="s">
        <v>657</v>
      </c>
      <c r="G122" t="s">
        <v>495</v>
      </c>
      <c r="H122" t="s">
        <v>658</v>
      </c>
      <c r="I122" t="s">
        <v>688</v>
      </c>
      <c r="J122" t="s">
        <v>660</v>
      </c>
      <c r="K122" t="s">
        <v>689</v>
      </c>
      <c r="L122" t="s">
        <v>21</v>
      </c>
    </row>
    <row r="123" spans="1:12">
      <c r="A123">
        <v>131</v>
      </c>
      <c r="B123" t="s">
        <v>690</v>
      </c>
      <c r="C123" t="s">
        <v>13</v>
      </c>
      <c r="D123" t="s">
        <v>13</v>
      </c>
      <c r="E123" t="s">
        <v>691</v>
      </c>
      <c r="F123" t="s">
        <v>657</v>
      </c>
      <c r="G123" t="s">
        <v>692</v>
      </c>
      <c r="H123" t="s">
        <v>693</v>
      </c>
      <c r="I123" t="s">
        <v>694</v>
      </c>
      <c r="J123" t="s">
        <v>695</v>
      </c>
      <c r="K123" t="s">
        <v>696</v>
      </c>
      <c r="L123" t="s">
        <v>21</v>
      </c>
    </row>
    <row r="124" spans="1:12">
      <c r="A124">
        <v>132</v>
      </c>
      <c r="B124" t="s">
        <v>697</v>
      </c>
      <c r="C124" t="s">
        <v>633</v>
      </c>
      <c r="D124" t="s">
        <v>211</v>
      </c>
      <c r="E124" t="s">
        <v>698</v>
      </c>
      <c r="F124" t="s">
        <v>657</v>
      </c>
      <c r="G124" t="s">
        <v>581</v>
      </c>
      <c r="H124" t="s">
        <v>658</v>
      </c>
      <c r="I124" t="s">
        <v>699</v>
      </c>
      <c r="J124" t="s">
        <v>670</v>
      </c>
      <c r="K124" t="s">
        <v>700</v>
      </c>
      <c r="L124" t="s">
        <v>36</v>
      </c>
    </row>
    <row r="125" spans="1:12">
      <c r="A125">
        <v>133</v>
      </c>
      <c r="B125" t="s">
        <v>701</v>
      </c>
      <c r="C125" t="s">
        <v>325</v>
      </c>
      <c r="D125" t="s">
        <v>173</v>
      </c>
      <c r="E125" t="s">
        <v>648</v>
      </c>
      <c r="F125" t="s">
        <v>657</v>
      </c>
      <c r="G125" t="s">
        <v>702</v>
      </c>
      <c r="H125" t="s">
        <v>300</v>
      </c>
      <c r="I125" t="s">
        <v>703</v>
      </c>
      <c r="J125" t="s">
        <v>704</v>
      </c>
      <c r="K125" t="s">
        <v>705</v>
      </c>
      <c r="L125" t="s">
        <v>36</v>
      </c>
    </row>
    <row r="126" spans="1:12">
      <c r="A126">
        <v>134</v>
      </c>
      <c r="B126" t="s">
        <v>706</v>
      </c>
      <c r="C126" t="s">
        <v>195</v>
      </c>
      <c r="D126" t="s">
        <v>47</v>
      </c>
      <c r="E126" t="s">
        <v>623</v>
      </c>
      <c r="F126" t="s">
        <v>657</v>
      </c>
      <c r="G126" t="s">
        <v>707</v>
      </c>
      <c r="H126" t="s">
        <v>300</v>
      </c>
      <c r="I126" t="s">
        <v>708</v>
      </c>
      <c r="J126" t="s">
        <v>660</v>
      </c>
      <c r="K126" t="s">
        <v>696</v>
      </c>
      <c r="L126" t="s">
        <v>21</v>
      </c>
    </row>
    <row r="127" spans="1:12">
      <c r="A127">
        <v>135</v>
      </c>
      <c r="B127" t="s">
        <v>709</v>
      </c>
      <c r="C127" t="s">
        <v>362</v>
      </c>
      <c r="D127" t="s">
        <v>57</v>
      </c>
      <c r="E127" t="s">
        <v>438</v>
      </c>
      <c r="F127" t="s">
        <v>657</v>
      </c>
      <c r="G127" t="s">
        <v>213</v>
      </c>
      <c r="H127" t="s">
        <v>658</v>
      </c>
      <c r="I127" t="s">
        <v>710</v>
      </c>
      <c r="J127" t="s">
        <v>711</v>
      </c>
      <c r="K127" t="s">
        <v>696</v>
      </c>
      <c r="L127" t="s">
        <v>21</v>
      </c>
    </row>
    <row r="128" spans="1:12">
      <c r="A128">
        <v>136</v>
      </c>
      <c r="B128" t="s">
        <v>712</v>
      </c>
      <c r="C128" t="s">
        <v>230</v>
      </c>
      <c r="D128" t="s">
        <v>173</v>
      </c>
      <c r="E128" t="s">
        <v>713</v>
      </c>
      <c r="F128" t="s">
        <v>657</v>
      </c>
      <c r="G128" t="s">
        <v>31</v>
      </c>
      <c r="H128" t="s">
        <v>657</v>
      </c>
      <c r="I128" t="s">
        <v>714</v>
      </c>
      <c r="J128" t="s">
        <v>660</v>
      </c>
      <c r="K128" t="s">
        <v>715</v>
      </c>
      <c r="L128" t="s">
        <v>36</v>
      </c>
    </row>
    <row r="129" spans="1:12">
      <c r="A129">
        <v>137</v>
      </c>
      <c r="B129" t="s">
        <v>716</v>
      </c>
      <c r="C129" t="s">
        <v>13</v>
      </c>
      <c r="D129" t="s">
        <v>13</v>
      </c>
      <c r="E129" t="s">
        <v>185</v>
      </c>
      <c r="F129" t="s">
        <v>657</v>
      </c>
      <c r="G129" t="s">
        <v>717</v>
      </c>
      <c r="H129" t="s">
        <v>657</v>
      </c>
      <c r="I129" t="s">
        <v>718</v>
      </c>
      <c r="J129" t="s">
        <v>660</v>
      </c>
      <c r="K129" t="s">
        <v>696</v>
      </c>
      <c r="L129" t="s">
        <v>21</v>
      </c>
    </row>
    <row r="130" spans="1:12">
      <c r="A130">
        <v>138</v>
      </c>
      <c r="B130" t="s">
        <v>719</v>
      </c>
      <c r="C130" t="s">
        <v>38</v>
      </c>
      <c r="D130" t="s">
        <v>39</v>
      </c>
      <c r="E130" t="s">
        <v>235</v>
      </c>
      <c r="F130" t="s">
        <v>657</v>
      </c>
      <c r="G130" t="s">
        <v>85</v>
      </c>
      <c r="H130" t="s">
        <v>668</v>
      </c>
      <c r="I130" t="s">
        <v>720</v>
      </c>
      <c r="J130" t="s">
        <v>721</v>
      </c>
      <c r="K130" t="s">
        <v>722</v>
      </c>
      <c r="L130" t="s">
        <v>54</v>
      </c>
    </row>
    <row r="131" spans="1:12">
      <c r="A131">
        <v>139</v>
      </c>
      <c r="B131" t="s">
        <v>723</v>
      </c>
      <c r="C131" t="s">
        <v>13</v>
      </c>
      <c r="D131" t="s">
        <v>13</v>
      </c>
      <c r="E131" t="s">
        <v>411</v>
      </c>
      <c r="F131" t="s">
        <v>657</v>
      </c>
      <c r="G131" t="s">
        <v>724</v>
      </c>
      <c r="H131" t="s">
        <v>658</v>
      </c>
      <c r="I131" t="s">
        <v>725</v>
      </c>
      <c r="J131" t="s">
        <v>726</v>
      </c>
      <c r="K131" t="s">
        <v>696</v>
      </c>
      <c r="L131" t="s">
        <v>21</v>
      </c>
    </row>
    <row r="132" spans="1:12">
      <c r="A132">
        <v>140</v>
      </c>
      <c r="B132" t="s">
        <v>727</v>
      </c>
      <c r="C132" t="s">
        <v>13</v>
      </c>
      <c r="D132" t="s">
        <v>13</v>
      </c>
      <c r="E132" t="s">
        <v>591</v>
      </c>
      <c r="F132" t="s">
        <v>657</v>
      </c>
      <c r="G132" t="s">
        <v>728</v>
      </c>
      <c r="H132" t="s">
        <v>657</v>
      </c>
      <c r="I132" t="s">
        <v>729</v>
      </c>
      <c r="J132" t="s">
        <v>730</v>
      </c>
      <c r="K132" t="s">
        <v>696</v>
      </c>
      <c r="L132" t="s">
        <v>36</v>
      </c>
    </row>
    <row r="133" spans="1:12">
      <c r="A133">
        <v>141</v>
      </c>
      <c r="B133" t="s">
        <v>731</v>
      </c>
      <c r="C133" t="s">
        <v>13</v>
      </c>
      <c r="D133" t="s">
        <v>13</v>
      </c>
      <c r="E133" t="s">
        <v>732</v>
      </c>
      <c r="F133" t="s">
        <v>657</v>
      </c>
      <c r="G133" t="s">
        <v>145</v>
      </c>
      <c r="H133" t="s">
        <v>657</v>
      </c>
      <c r="I133" t="s">
        <v>733</v>
      </c>
      <c r="J133" t="s">
        <v>734</v>
      </c>
      <c r="K133" t="s">
        <v>735</v>
      </c>
      <c r="L133" t="s">
        <v>21</v>
      </c>
    </row>
    <row r="134" spans="1:12">
      <c r="A134">
        <v>142</v>
      </c>
      <c r="B134" t="s">
        <v>736</v>
      </c>
      <c r="C134" t="s">
        <v>13</v>
      </c>
      <c r="D134" t="s">
        <v>13</v>
      </c>
      <c r="E134" t="s">
        <v>737</v>
      </c>
      <c r="F134" t="s">
        <v>657</v>
      </c>
      <c r="G134" t="s">
        <v>738</v>
      </c>
      <c r="H134" t="s">
        <v>658</v>
      </c>
      <c r="I134" t="s">
        <v>739</v>
      </c>
      <c r="J134" t="s">
        <v>660</v>
      </c>
      <c r="K134" t="s">
        <v>696</v>
      </c>
      <c r="L134" t="s">
        <v>21</v>
      </c>
    </row>
    <row r="135" spans="1:12">
      <c r="A135">
        <v>143</v>
      </c>
      <c r="B135" t="s">
        <v>740</v>
      </c>
      <c r="C135" t="s">
        <v>13</v>
      </c>
      <c r="D135" t="s">
        <v>13</v>
      </c>
      <c r="E135" t="s">
        <v>741</v>
      </c>
      <c r="F135" t="s">
        <v>657</v>
      </c>
      <c r="G135" t="s">
        <v>742</v>
      </c>
      <c r="H135" t="s">
        <v>743</v>
      </c>
      <c r="I135" t="s">
        <v>744</v>
      </c>
      <c r="J135" t="s">
        <v>745</v>
      </c>
      <c r="K135" t="s">
        <v>746</v>
      </c>
      <c r="L135" t="s">
        <v>21</v>
      </c>
    </row>
    <row r="136" spans="1:12">
      <c r="A136">
        <v>149</v>
      </c>
      <c r="B136" t="s">
        <v>747</v>
      </c>
      <c r="C136" t="s">
        <v>13</v>
      </c>
      <c r="D136" t="s">
        <v>13</v>
      </c>
      <c r="E136" t="s">
        <v>748</v>
      </c>
      <c r="F136" t="s">
        <v>749</v>
      </c>
      <c r="G136" t="s">
        <v>750</v>
      </c>
      <c r="H136" t="s">
        <v>751</v>
      </c>
      <c r="I136" t="s">
        <v>752</v>
      </c>
      <c r="J136" t="s">
        <v>753</v>
      </c>
      <c r="K136" t="s">
        <v>754</v>
      </c>
      <c r="L136" t="s">
        <v>21</v>
      </c>
    </row>
    <row r="137" spans="1:12">
      <c r="A137">
        <v>150</v>
      </c>
      <c r="B137" t="s">
        <v>755</v>
      </c>
      <c r="C137" t="s">
        <v>13</v>
      </c>
      <c r="D137" t="s">
        <v>13</v>
      </c>
      <c r="E137" t="s">
        <v>756</v>
      </c>
      <c r="F137" t="s">
        <v>749</v>
      </c>
      <c r="G137" t="s">
        <v>757</v>
      </c>
      <c r="H137" t="s">
        <v>758</v>
      </c>
      <c r="I137" t="s">
        <v>759</v>
      </c>
      <c r="J137" t="s">
        <v>760</v>
      </c>
      <c r="K137" t="s">
        <v>761</v>
      </c>
      <c r="L137" t="s">
        <v>21</v>
      </c>
    </row>
    <row r="138" spans="1:12">
      <c r="A138">
        <v>151</v>
      </c>
      <c r="B138" t="s">
        <v>762</v>
      </c>
      <c r="C138" t="s">
        <v>13</v>
      </c>
      <c r="D138" t="s">
        <v>13</v>
      </c>
      <c r="E138" t="s">
        <v>763</v>
      </c>
      <c r="F138" t="s">
        <v>749</v>
      </c>
      <c r="G138" t="s">
        <v>764</v>
      </c>
      <c r="H138" t="s">
        <v>765</v>
      </c>
      <c r="I138" t="s">
        <v>766</v>
      </c>
      <c r="J138" t="s">
        <v>767</v>
      </c>
      <c r="K138" t="s">
        <v>768</v>
      </c>
      <c r="L138" t="s">
        <v>36</v>
      </c>
    </row>
    <row r="139" spans="1:12">
      <c r="A139">
        <v>152</v>
      </c>
      <c r="B139" t="s">
        <v>769</v>
      </c>
      <c r="C139" t="s">
        <v>13</v>
      </c>
      <c r="D139" t="s">
        <v>13</v>
      </c>
      <c r="E139" t="s">
        <v>770</v>
      </c>
      <c r="F139" t="s">
        <v>749</v>
      </c>
      <c r="G139" t="s">
        <v>771</v>
      </c>
      <c r="H139" t="s">
        <v>772</v>
      </c>
      <c r="I139" t="s">
        <v>773</v>
      </c>
      <c r="J139" t="s">
        <v>774</v>
      </c>
      <c r="K139" t="s">
        <v>775</v>
      </c>
      <c r="L139" t="s">
        <v>21</v>
      </c>
    </row>
    <row r="140" spans="1:12">
      <c r="A140">
        <v>153</v>
      </c>
      <c r="B140" t="s">
        <v>776</v>
      </c>
      <c r="C140" t="s">
        <v>13</v>
      </c>
      <c r="D140" t="s">
        <v>13</v>
      </c>
      <c r="E140" t="s">
        <v>777</v>
      </c>
      <c r="F140" t="s">
        <v>749</v>
      </c>
      <c r="G140" t="s">
        <v>778</v>
      </c>
      <c r="H140" t="s">
        <v>779</v>
      </c>
      <c r="I140" t="s">
        <v>780</v>
      </c>
      <c r="J140" t="s">
        <v>781</v>
      </c>
      <c r="K140" t="s">
        <v>782</v>
      </c>
      <c r="L140" t="s">
        <v>21</v>
      </c>
    </row>
    <row r="141" spans="1:12">
      <c r="A141">
        <v>154</v>
      </c>
      <c r="B141" t="s">
        <v>783</v>
      </c>
      <c r="C141" t="s">
        <v>13</v>
      </c>
      <c r="D141" t="s">
        <v>13</v>
      </c>
      <c r="E141" t="s">
        <v>784</v>
      </c>
      <c r="F141" t="s">
        <v>749</v>
      </c>
      <c r="G141" t="s">
        <v>563</v>
      </c>
      <c r="H141" t="s">
        <v>785</v>
      </c>
      <c r="I141" t="s">
        <v>786</v>
      </c>
      <c r="J141" t="s">
        <v>781</v>
      </c>
      <c r="K141" t="s">
        <v>787</v>
      </c>
      <c r="L141" t="s">
        <v>36</v>
      </c>
    </row>
    <row r="142" spans="1:12">
      <c r="A142">
        <v>155</v>
      </c>
      <c r="B142" t="s">
        <v>788</v>
      </c>
      <c r="C142" t="s">
        <v>13</v>
      </c>
      <c r="D142" t="s">
        <v>13</v>
      </c>
      <c r="E142" t="s">
        <v>789</v>
      </c>
      <c r="F142" t="s">
        <v>749</v>
      </c>
      <c r="G142" t="s">
        <v>790</v>
      </c>
      <c r="H142" t="s">
        <v>749</v>
      </c>
      <c r="I142" t="s">
        <v>791</v>
      </c>
      <c r="J142" t="s">
        <v>781</v>
      </c>
      <c r="K142" t="s">
        <v>792</v>
      </c>
      <c r="L142" t="s">
        <v>36</v>
      </c>
    </row>
    <row r="143" spans="1:12">
      <c r="A143">
        <v>156</v>
      </c>
      <c r="B143" t="s">
        <v>793</v>
      </c>
      <c r="C143" t="s">
        <v>13</v>
      </c>
      <c r="D143" t="s">
        <v>13</v>
      </c>
      <c r="E143" t="s">
        <v>794</v>
      </c>
      <c r="F143" t="s">
        <v>749</v>
      </c>
      <c r="G143" t="s">
        <v>795</v>
      </c>
      <c r="H143" t="s">
        <v>796</v>
      </c>
      <c r="I143" t="s">
        <v>797</v>
      </c>
      <c r="J143" t="s">
        <v>781</v>
      </c>
      <c r="K143" t="s">
        <v>798</v>
      </c>
      <c r="L143" t="s">
        <v>54</v>
      </c>
    </row>
    <row r="144" spans="1:12">
      <c r="A144">
        <v>157</v>
      </c>
      <c r="B144" t="s">
        <v>799</v>
      </c>
      <c r="C144" t="s">
        <v>13</v>
      </c>
      <c r="D144" t="s">
        <v>13</v>
      </c>
      <c r="E144" t="s">
        <v>800</v>
      </c>
      <c r="F144" t="s">
        <v>749</v>
      </c>
      <c r="G144" t="s">
        <v>801</v>
      </c>
      <c r="H144" t="s">
        <v>802</v>
      </c>
      <c r="I144" t="s">
        <v>803</v>
      </c>
      <c r="J144" t="s">
        <v>781</v>
      </c>
      <c r="K144" t="s">
        <v>804</v>
      </c>
      <c r="L144" t="s">
        <v>54</v>
      </c>
    </row>
    <row r="145" spans="1:12">
      <c r="A145">
        <v>158</v>
      </c>
      <c r="B145" t="s">
        <v>805</v>
      </c>
      <c r="C145" t="s">
        <v>107</v>
      </c>
      <c r="D145" t="s">
        <v>158</v>
      </c>
      <c r="E145" t="s">
        <v>806</v>
      </c>
      <c r="F145" t="s">
        <v>749</v>
      </c>
      <c r="G145" t="s">
        <v>31</v>
      </c>
      <c r="H145" t="s">
        <v>807</v>
      </c>
      <c r="I145" t="s">
        <v>808</v>
      </c>
      <c r="J145" t="s">
        <v>781</v>
      </c>
      <c r="K145" t="s">
        <v>809</v>
      </c>
      <c r="L145" t="s">
        <v>21</v>
      </c>
    </row>
    <row r="146" spans="1:12">
      <c r="A146">
        <v>159</v>
      </c>
      <c r="B146" t="s">
        <v>810</v>
      </c>
      <c r="C146" t="s">
        <v>13</v>
      </c>
      <c r="D146" t="s">
        <v>13</v>
      </c>
      <c r="E146" t="s">
        <v>811</v>
      </c>
      <c r="F146" t="s">
        <v>749</v>
      </c>
      <c r="G146" t="s">
        <v>812</v>
      </c>
      <c r="H146" t="s">
        <v>813</v>
      </c>
      <c r="I146" t="s">
        <v>814</v>
      </c>
      <c r="J146" t="s">
        <v>815</v>
      </c>
      <c r="K146" t="s">
        <v>816</v>
      </c>
      <c r="L146" t="s">
        <v>21</v>
      </c>
    </row>
    <row r="147" spans="1:12">
      <c r="A147">
        <v>160</v>
      </c>
      <c r="B147" t="s">
        <v>817</v>
      </c>
      <c r="C147" t="s">
        <v>13</v>
      </c>
      <c r="D147" t="s">
        <v>13</v>
      </c>
      <c r="E147" t="s">
        <v>818</v>
      </c>
      <c r="F147" t="s">
        <v>749</v>
      </c>
      <c r="G147" t="s">
        <v>819</v>
      </c>
      <c r="H147" t="s">
        <v>300</v>
      </c>
      <c r="I147" t="s">
        <v>820</v>
      </c>
      <c r="J147" t="s">
        <v>781</v>
      </c>
      <c r="K147" t="s">
        <v>816</v>
      </c>
      <c r="L147" t="s">
        <v>54</v>
      </c>
    </row>
    <row r="148" spans="1:12">
      <c r="A148">
        <v>161</v>
      </c>
      <c r="B148" t="s">
        <v>821</v>
      </c>
      <c r="C148" t="s">
        <v>46</v>
      </c>
      <c r="D148" t="s">
        <v>211</v>
      </c>
      <c r="E148" t="s">
        <v>600</v>
      </c>
      <c r="F148" t="s">
        <v>749</v>
      </c>
      <c r="G148" t="s">
        <v>581</v>
      </c>
      <c r="H148" t="s">
        <v>822</v>
      </c>
      <c r="I148" t="s">
        <v>823</v>
      </c>
      <c r="J148" t="s">
        <v>824</v>
      </c>
      <c r="K148" t="s">
        <v>825</v>
      </c>
      <c r="L148" t="s">
        <v>36</v>
      </c>
    </row>
    <row r="149" spans="1:12">
      <c r="A149">
        <v>162</v>
      </c>
      <c r="B149" t="s">
        <v>826</v>
      </c>
      <c r="C149" t="s">
        <v>298</v>
      </c>
      <c r="D149" t="s">
        <v>57</v>
      </c>
      <c r="E149" t="s">
        <v>84</v>
      </c>
      <c r="F149" t="s">
        <v>749</v>
      </c>
      <c r="G149" t="s">
        <v>827</v>
      </c>
      <c r="H149" t="s">
        <v>828</v>
      </c>
      <c r="I149" t="s">
        <v>829</v>
      </c>
      <c r="J149" t="s">
        <v>830</v>
      </c>
      <c r="K149" t="s">
        <v>831</v>
      </c>
      <c r="L149" t="s">
        <v>21</v>
      </c>
    </row>
    <row r="150" spans="1:12">
      <c r="A150">
        <v>163</v>
      </c>
      <c r="B150" t="s">
        <v>832</v>
      </c>
      <c r="C150" t="s">
        <v>13</v>
      </c>
      <c r="D150" t="s">
        <v>13</v>
      </c>
      <c r="E150" t="s">
        <v>833</v>
      </c>
      <c r="F150" t="s">
        <v>749</v>
      </c>
      <c r="G150" t="s">
        <v>834</v>
      </c>
      <c r="H150" t="s">
        <v>835</v>
      </c>
      <c r="I150" t="s">
        <v>836</v>
      </c>
      <c r="J150" t="s">
        <v>837</v>
      </c>
      <c r="K150" t="s">
        <v>838</v>
      </c>
      <c r="L150" t="s">
        <v>21</v>
      </c>
    </row>
    <row r="151" spans="1:12">
      <c r="A151">
        <v>164</v>
      </c>
      <c r="B151" t="s">
        <v>839</v>
      </c>
      <c r="C151" t="s">
        <v>13</v>
      </c>
      <c r="D151" t="s">
        <v>13</v>
      </c>
      <c r="E151" t="s">
        <v>840</v>
      </c>
      <c r="F151" t="s">
        <v>749</v>
      </c>
      <c r="G151" t="s">
        <v>750</v>
      </c>
      <c r="H151" t="s">
        <v>749</v>
      </c>
      <c r="I151" t="s">
        <v>841</v>
      </c>
      <c r="J151" t="s">
        <v>753</v>
      </c>
      <c r="K151" t="s">
        <v>842</v>
      </c>
      <c r="L151" t="s">
        <v>36</v>
      </c>
    </row>
    <row r="152" spans="1:12">
      <c r="A152">
        <v>165</v>
      </c>
      <c r="B152" t="s">
        <v>843</v>
      </c>
      <c r="C152" t="s">
        <v>13</v>
      </c>
      <c r="D152" t="s">
        <v>13</v>
      </c>
      <c r="E152" t="s">
        <v>844</v>
      </c>
      <c r="F152" t="s">
        <v>749</v>
      </c>
      <c r="G152" t="s">
        <v>750</v>
      </c>
      <c r="H152" t="s">
        <v>749</v>
      </c>
      <c r="I152" t="s">
        <v>845</v>
      </c>
      <c r="J152" t="s">
        <v>753</v>
      </c>
      <c r="K152" t="s">
        <v>846</v>
      </c>
      <c r="L152" t="s">
        <v>21</v>
      </c>
    </row>
    <row r="153" spans="1:12">
      <c r="A153">
        <v>166</v>
      </c>
      <c r="B153" t="s">
        <v>847</v>
      </c>
      <c r="C153" t="s">
        <v>13</v>
      </c>
      <c r="D153" t="s">
        <v>13</v>
      </c>
      <c r="E153" t="s">
        <v>848</v>
      </c>
      <c r="F153" t="s">
        <v>749</v>
      </c>
      <c r="G153" t="s">
        <v>750</v>
      </c>
      <c r="H153" t="s">
        <v>749</v>
      </c>
      <c r="I153" t="s">
        <v>849</v>
      </c>
      <c r="J153" t="s">
        <v>753</v>
      </c>
      <c r="K153" t="s">
        <v>850</v>
      </c>
      <c r="L153" t="s">
        <v>21</v>
      </c>
    </row>
    <row r="154" spans="1:12">
      <c r="A154">
        <v>167</v>
      </c>
      <c r="B154" t="s">
        <v>851</v>
      </c>
      <c r="C154" t="s">
        <v>13</v>
      </c>
      <c r="D154" t="s">
        <v>13</v>
      </c>
      <c r="E154" t="s">
        <v>852</v>
      </c>
      <c r="F154" t="s">
        <v>749</v>
      </c>
      <c r="G154" t="s">
        <v>356</v>
      </c>
      <c r="H154" t="s">
        <v>853</v>
      </c>
      <c r="I154" t="s">
        <v>854</v>
      </c>
      <c r="J154" t="s">
        <v>855</v>
      </c>
      <c r="K154" t="s">
        <v>856</v>
      </c>
      <c r="L154" t="s">
        <v>21</v>
      </c>
    </row>
    <row r="155" spans="1:12">
      <c r="A155">
        <v>168</v>
      </c>
      <c r="B155" t="s">
        <v>857</v>
      </c>
      <c r="C155" t="s">
        <v>13</v>
      </c>
      <c r="D155" t="s">
        <v>13</v>
      </c>
      <c r="E155" t="s">
        <v>848</v>
      </c>
      <c r="F155" t="s">
        <v>749</v>
      </c>
      <c r="G155" t="s">
        <v>175</v>
      </c>
      <c r="H155" t="s">
        <v>858</v>
      </c>
      <c r="I155" t="s">
        <v>859</v>
      </c>
      <c r="J155" t="s">
        <v>781</v>
      </c>
      <c r="K155" t="s">
        <v>860</v>
      </c>
      <c r="L155" t="s">
        <v>21</v>
      </c>
    </row>
    <row r="156" spans="1:12">
      <c r="A156">
        <v>169</v>
      </c>
      <c r="B156" t="s">
        <v>861</v>
      </c>
      <c r="C156" t="s">
        <v>13</v>
      </c>
      <c r="D156" t="s">
        <v>13</v>
      </c>
      <c r="E156" t="s">
        <v>862</v>
      </c>
      <c r="F156" t="s">
        <v>749</v>
      </c>
      <c r="G156" t="s">
        <v>93</v>
      </c>
      <c r="H156" t="s">
        <v>863</v>
      </c>
      <c r="I156" t="s">
        <v>864</v>
      </c>
      <c r="J156" t="s">
        <v>865</v>
      </c>
      <c r="K156" t="s">
        <v>866</v>
      </c>
      <c r="L156" t="s">
        <v>21</v>
      </c>
    </row>
    <row r="157" spans="1:12">
      <c r="A157">
        <v>170</v>
      </c>
      <c r="B157" t="s">
        <v>867</v>
      </c>
      <c r="C157" t="s">
        <v>13</v>
      </c>
      <c r="D157" t="s">
        <v>13</v>
      </c>
      <c r="E157" t="s">
        <v>862</v>
      </c>
      <c r="F157" t="s">
        <v>749</v>
      </c>
      <c r="G157" t="s">
        <v>93</v>
      </c>
      <c r="H157" t="s">
        <v>863</v>
      </c>
      <c r="I157" t="s">
        <v>864</v>
      </c>
      <c r="J157" t="s">
        <v>865</v>
      </c>
      <c r="K157" t="s">
        <v>866</v>
      </c>
      <c r="L157" t="s">
        <v>21</v>
      </c>
    </row>
    <row r="158" spans="1:12">
      <c r="A158">
        <v>171</v>
      </c>
      <c r="B158" t="s">
        <v>868</v>
      </c>
      <c r="C158" t="s">
        <v>13</v>
      </c>
      <c r="D158" t="s">
        <v>13</v>
      </c>
      <c r="E158" t="s">
        <v>789</v>
      </c>
      <c r="F158" t="s">
        <v>749</v>
      </c>
      <c r="G158" t="s">
        <v>790</v>
      </c>
      <c r="H158" t="s">
        <v>749</v>
      </c>
      <c r="I158" t="s">
        <v>869</v>
      </c>
      <c r="J158" t="s">
        <v>781</v>
      </c>
      <c r="K158" t="s">
        <v>870</v>
      </c>
      <c r="L158" t="s">
        <v>36</v>
      </c>
    </row>
    <row r="159" spans="1:12">
      <c r="A159">
        <v>172</v>
      </c>
      <c r="B159" t="s">
        <v>871</v>
      </c>
      <c r="C159" t="s">
        <v>13</v>
      </c>
      <c r="D159" t="s">
        <v>13</v>
      </c>
      <c r="E159" t="s">
        <v>872</v>
      </c>
      <c r="F159" t="s">
        <v>749</v>
      </c>
      <c r="G159" t="s">
        <v>873</v>
      </c>
      <c r="H159" t="s">
        <v>765</v>
      </c>
      <c r="I159" t="s">
        <v>874</v>
      </c>
      <c r="J159" t="s">
        <v>875</v>
      </c>
      <c r="K159" t="s">
        <v>876</v>
      </c>
      <c r="L159" t="s">
        <v>54</v>
      </c>
    </row>
    <row r="160" spans="1:12">
      <c r="A160">
        <v>173</v>
      </c>
      <c r="B160" t="s">
        <v>877</v>
      </c>
      <c r="C160" t="s">
        <v>230</v>
      </c>
      <c r="D160" t="s">
        <v>47</v>
      </c>
      <c r="E160" t="s">
        <v>375</v>
      </c>
      <c r="F160" t="s">
        <v>749</v>
      </c>
      <c r="G160" t="s">
        <v>878</v>
      </c>
      <c r="H160" t="s">
        <v>828</v>
      </c>
      <c r="I160" t="s">
        <v>879</v>
      </c>
      <c r="J160" t="s">
        <v>880</v>
      </c>
      <c r="K160" t="s">
        <v>881</v>
      </c>
      <c r="L160" t="s">
        <v>21</v>
      </c>
    </row>
    <row r="161" spans="1:12">
      <c r="A161">
        <v>174</v>
      </c>
      <c r="B161" t="s">
        <v>882</v>
      </c>
      <c r="C161" t="s">
        <v>13</v>
      </c>
      <c r="D161" t="s">
        <v>13</v>
      </c>
      <c r="E161" t="s">
        <v>883</v>
      </c>
      <c r="F161" t="s">
        <v>749</v>
      </c>
      <c r="G161" t="s">
        <v>884</v>
      </c>
      <c r="H161" t="s">
        <v>300</v>
      </c>
      <c r="I161" t="s">
        <v>885</v>
      </c>
      <c r="J161" t="s">
        <v>886</v>
      </c>
      <c r="K161" t="s">
        <v>887</v>
      </c>
      <c r="L161" t="s">
        <v>36</v>
      </c>
    </row>
    <row r="162" spans="1:12">
      <c r="A162">
        <v>175</v>
      </c>
      <c r="B162" t="s">
        <v>888</v>
      </c>
      <c r="C162" t="s">
        <v>13</v>
      </c>
      <c r="D162" t="s">
        <v>13</v>
      </c>
      <c r="E162" t="s">
        <v>889</v>
      </c>
      <c r="F162" t="s">
        <v>749</v>
      </c>
      <c r="G162" t="s">
        <v>138</v>
      </c>
      <c r="H162" t="s">
        <v>749</v>
      </c>
      <c r="I162" t="s">
        <v>890</v>
      </c>
      <c r="J162" t="s">
        <v>781</v>
      </c>
      <c r="K162" t="s">
        <v>891</v>
      </c>
      <c r="L162" t="s">
        <v>54</v>
      </c>
    </row>
    <row r="163" spans="1:12">
      <c r="A163">
        <v>176</v>
      </c>
      <c r="B163" t="s">
        <v>892</v>
      </c>
      <c r="C163" t="s">
        <v>13</v>
      </c>
      <c r="D163" t="s">
        <v>13</v>
      </c>
      <c r="E163" t="s">
        <v>893</v>
      </c>
      <c r="F163" t="s">
        <v>749</v>
      </c>
      <c r="G163" t="s">
        <v>349</v>
      </c>
      <c r="H163" t="s">
        <v>802</v>
      </c>
      <c r="I163" t="s">
        <v>894</v>
      </c>
      <c r="J163" t="s">
        <v>895</v>
      </c>
      <c r="K163" t="s">
        <v>896</v>
      </c>
      <c r="L163" t="s">
        <v>21</v>
      </c>
    </row>
    <row r="164" spans="1:12">
      <c r="A164">
        <v>177</v>
      </c>
      <c r="B164" t="s">
        <v>897</v>
      </c>
      <c r="C164" t="s">
        <v>46</v>
      </c>
      <c r="D164" t="s">
        <v>211</v>
      </c>
      <c r="E164" t="s">
        <v>600</v>
      </c>
      <c r="F164" t="s">
        <v>749</v>
      </c>
      <c r="G164" t="s">
        <v>898</v>
      </c>
      <c r="H164" t="s">
        <v>822</v>
      </c>
      <c r="I164" t="s">
        <v>899</v>
      </c>
      <c r="J164" t="s">
        <v>824</v>
      </c>
      <c r="K164" t="s">
        <v>825</v>
      </c>
      <c r="L164" t="s">
        <v>36</v>
      </c>
    </row>
    <row r="165" spans="1:12">
      <c r="A165">
        <v>178</v>
      </c>
      <c r="B165" t="s">
        <v>900</v>
      </c>
      <c r="C165" t="s">
        <v>91</v>
      </c>
      <c r="D165" t="s">
        <v>66</v>
      </c>
      <c r="E165" t="s">
        <v>137</v>
      </c>
      <c r="F165" t="s">
        <v>749</v>
      </c>
      <c r="G165" t="s">
        <v>898</v>
      </c>
      <c r="H165" t="s">
        <v>901</v>
      </c>
      <c r="I165" t="s">
        <v>902</v>
      </c>
      <c r="J165" t="s">
        <v>903</v>
      </c>
      <c r="K165" t="s">
        <v>904</v>
      </c>
      <c r="L165" t="s">
        <v>36</v>
      </c>
    </row>
    <row r="166" spans="1:12">
      <c r="A166">
        <v>179</v>
      </c>
      <c r="B166" t="s">
        <v>905</v>
      </c>
      <c r="C166" t="s">
        <v>298</v>
      </c>
      <c r="D166" t="s">
        <v>57</v>
      </c>
      <c r="E166" t="s">
        <v>84</v>
      </c>
      <c r="F166" t="s">
        <v>749</v>
      </c>
      <c r="G166" t="s">
        <v>827</v>
      </c>
      <c r="H166" t="s">
        <v>828</v>
      </c>
      <c r="I166" t="s">
        <v>829</v>
      </c>
      <c r="J166" t="s">
        <v>830</v>
      </c>
      <c r="K166" t="s">
        <v>831</v>
      </c>
      <c r="L166" t="s">
        <v>21</v>
      </c>
    </row>
    <row r="167" spans="1:12">
      <c r="A167">
        <v>180</v>
      </c>
      <c r="B167" t="s">
        <v>906</v>
      </c>
      <c r="C167" t="s">
        <v>56</v>
      </c>
      <c r="D167" t="s">
        <v>100</v>
      </c>
      <c r="E167" t="s">
        <v>225</v>
      </c>
      <c r="F167" t="s">
        <v>749</v>
      </c>
      <c r="G167" t="s">
        <v>907</v>
      </c>
      <c r="H167" t="s">
        <v>908</v>
      </c>
      <c r="I167" t="s">
        <v>909</v>
      </c>
      <c r="J167" t="s">
        <v>910</v>
      </c>
      <c r="K167" t="s">
        <v>911</v>
      </c>
      <c r="L167" t="s">
        <v>21</v>
      </c>
    </row>
    <row r="168" spans="1:12">
      <c r="A168">
        <v>183</v>
      </c>
      <c r="B168" t="s">
        <v>912</v>
      </c>
      <c r="C168" t="s">
        <v>13</v>
      </c>
      <c r="D168" t="s">
        <v>13</v>
      </c>
      <c r="E168" t="s">
        <v>913</v>
      </c>
      <c r="F168" t="s">
        <v>749</v>
      </c>
      <c r="G168" t="s">
        <v>914</v>
      </c>
      <c r="H168" t="s">
        <v>749</v>
      </c>
      <c r="I168" t="s">
        <v>915</v>
      </c>
      <c r="J168" t="s">
        <v>781</v>
      </c>
      <c r="K168" t="s">
        <v>916</v>
      </c>
      <c r="L168" t="s">
        <v>36</v>
      </c>
    </row>
    <row r="169" spans="1:12">
      <c r="A169">
        <v>184</v>
      </c>
      <c r="B169" t="s">
        <v>917</v>
      </c>
      <c r="C169" t="s">
        <v>13</v>
      </c>
      <c r="D169" t="s">
        <v>13</v>
      </c>
      <c r="E169" t="s">
        <v>918</v>
      </c>
      <c r="F169" t="s">
        <v>749</v>
      </c>
      <c r="G169" t="s">
        <v>919</v>
      </c>
      <c r="H169" t="s">
        <v>920</v>
      </c>
      <c r="I169" t="s">
        <v>921</v>
      </c>
      <c r="J169" t="s">
        <v>922</v>
      </c>
      <c r="K169" t="s">
        <v>923</v>
      </c>
      <c r="L169" t="s">
        <v>54</v>
      </c>
    </row>
    <row r="170" spans="1:12">
      <c r="A170">
        <v>185</v>
      </c>
      <c r="B170" t="s">
        <v>924</v>
      </c>
      <c r="C170" t="s">
        <v>13</v>
      </c>
      <c r="D170" t="s">
        <v>13</v>
      </c>
      <c r="E170" t="s">
        <v>925</v>
      </c>
      <c r="F170" t="s">
        <v>749</v>
      </c>
      <c r="G170" t="s">
        <v>93</v>
      </c>
      <c r="H170" t="s">
        <v>926</v>
      </c>
      <c r="I170" t="s">
        <v>927</v>
      </c>
      <c r="J170" t="s">
        <v>928</v>
      </c>
      <c r="K170" t="s">
        <v>929</v>
      </c>
      <c r="L170" t="s">
        <v>21</v>
      </c>
    </row>
    <row r="171" spans="1:12">
      <c r="A171">
        <v>186</v>
      </c>
      <c r="B171" t="s">
        <v>930</v>
      </c>
      <c r="C171" t="s">
        <v>13</v>
      </c>
      <c r="D171" t="s">
        <v>13</v>
      </c>
      <c r="E171" t="s">
        <v>931</v>
      </c>
      <c r="F171" t="s">
        <v>749</v>
      </c>
      <c r="G171" t="s">
        <v>932</v>
      </c>
      <c r="H171" t="s">
        <v>828</v>
      </c>
      <c r="I171" t="s">
        <v>933</v>
      </c>
      <c r="J171" t="s">
        <v>934</v>
      </c>
      <c r="K171" t="s">
        <v>935</v>
      </c>
      <c r="L171" t="s">
        <v>21</v>
      </c>
    </row>
    <row r="172" spans="1:12">
      <c r="A172">
        <v>187</v>
      </c>
      <c r="B172" t="s">
        <v>936</v>
      </c>
      <c r="C172" t="s">
        <v>13</v>
      </c>
      <c r="D172" t="s">
        <v>13</v>
      </c>
      <c r="E172" t="s">
        <v>937</v>
      </c>
      <c r="F172" t="s">
        <v>749</v>
      </c>
      <c r="G172" t="s">
        <v>938</v>
      </c>
      <c r="H172" t="s">
        <v>939</v>
      </c>
      <c r="I172" t="s">
        <v>940</v>
      </c>
      <c r="J172" t="s">
        <v>941</v>
      </c>
      <c r="K172" t="s">
        <v>942</v>
      </c>
      <c r="L172" t="s">
        <v>36</v>
      </c>
    </row>
    <row r="173" spans="1:12">
      <c r="A173">
        <v>188</v>
      </c>
      <c r="B173" t="s">
        <v>943</v>
      </c>
      <c r="C173" t="s">
        <v>13</v>
      </c>
      <c r="D173" t="s">
        <v>13</v>
      </c>
      <c r="E173" t="s">
        <v>794</v>
      </c>
      <c r="F173" t="s">
        <v>749</v>
      </c>
      <c r="G173" t="s">
        <v>581</v>
      </c>
      <c r="H173" t="s">
        <v>944</v>
      </c>
      <c r="I173" t="s">
        <v>945</v>
      </c>
      <c r="J173" t="s">
        <v>798</v>
      </c>
      <c r="K173" t="s">
        <v>798</v>
      </c>
      <c r="L173" t="s">
        <v>54</v>
      </c>
    </row>
    <row r="174" spans="1:12">
      <c r="A174">
        <v>189</v>
      </c>
      <c r="B174" t="s">
        <v>946</v>
      </c>
      <c r="C174" t="s">
        <v>46</v>
      </c>
      <c r="D174" t="s">
        <v>158</v>
      </c>
      <c r="E174" t="s">
        <v>947</v>
      </c>
      <c r="F174" t="s">
        <v>749</v>
      </c>
      <c r="G174" t="s">
        <v>31</v>
      </c>
      <c r="H174" t="s">
        <v>828</v>
      </c>
      <c r="I174" t="s">
        <v>948</v>
      </c>
      <c r="J174" t="s">
        <v>895</v>
      </c>
      <c r="K174" t="s">
        <v>816</v>
      </c>
      <c r="L174" t="s">
        <v>21</v>
      </c>
    </row>
    <row r="175" spans="1:12">
      <c r="A175">
        <v>190</v>
      </c>
      <c r="B175" t="s">
        <v>949</v>
      </c>
      <c r="C175" t="s">
        <v>13</v>
      </c>
      <c r="D175" t="s">
        <v>13</v>
      </c>
      <c r="E175" t="s">
        <v>713</v>
      </c>
      <c r="F175" t="s">
        <v>749</v>
      </c>
      <c r="G175" t="s">
        <v>213</v>
      </c>
      <c r="H175" t="s">
        <v>300</v>
      </c>
      <c r="I175" t="s">
        <v>950</v>
      </c>
      <c r="J175" t="s">
        <v>895</v>
      </c>
      <c r="K175" t="s">
        <v>896</v>
      </c>
      <c r="L175" t="s">
        <v>21</v>
      </c>
    </row>
    <row r="176" spans="1:12">
      <c r="A176">
        <v>191</v>
      </c>
      <c r="B176" t="s">
        <v>951</v>
      </c>
      <c r="C176" t="s">
        <v>46</v>
      </c>
      <c r="D176" t="s">
        <v>158</v>
      </c>
      <c r="E176" t="s">
        <v>947</v>
      </c>
      <c r="F176" t="s">
        <v>749</v>
      </c>
      <c r="G176" t="s">
        <v>31</v>
      </c>
      <c r="H176" t="s">
        <v>828</v>
      </c>
      <c r="I176" t="s">
        <v>952</v>
      </c>
      <c r="J176" t="s">
        <v>895</v>
      </c>
      <c r="K176" t="s">
        <v>816</v>
      </c>
      <c r="L176" t="s">
        <v>21</v>
      </c>
    </row>
    <row r="177" spans="1:12">
      <c r="A177">
        <v>192</v>
      </c>
      <c r="B177" t="s">
        <v>953</v>
      </c>
      <c r="C177" t="s">
        <v>13</v>
      </c>
      <c r="D177" t="s">
        <v>13</v>
      </c>
      <c r="E177" t="s">
        <v>954</v>
      </c>
      <c r="F177" t="s">
        <v>749</v>
      </c>
      <c r="G177" t="s">
        <v>213</v>
      </c>
      <c r="H177" t="s">
        <v>300</v>
      </c>
      <c r="I177" t="s">
        <v>955</v>
      </c>
      <c r="J177" t="s">
        <v>956</v>
      </c>
      <c r="K177" t="s">
        <v>816</v>
      </c>
      <c r="L177" t="s">
        <v>54</v>
      </c>
    </row>
    <row r="178" spans="1:12">
      <c r="A178">
        <v>193</v>
      </c>
      <c r="B178" t="s">
        <v>817</v>
      </c>
      <c r="C178" t="s">
        <v>13</v>
      </c>
      <c r="D178" t="s">
        <v>13</v>
      </c>
      <c r="E178" t="s">
        <v>818</v>
      </c>
      <c r="F178" t="s">
        <v>749</v>
      </c>
      <c r="G178" t="s">
        <v>819</v>
      </c>
      <c r="H178" t="s">
        <v>300</v>
      </c>
      <c r="I178" t="s">
        <v>957</v>
      </c>
      <c r="J178" t="s">
        <v>781</v>
      </c>
      <c r="K178" t="s">
        <v>816</v>
      </c>
      <c r="L178" t="s">
        <v>54</v>
      </c>
    </row>
    <row r="179" spans="1:12">
      <c r="A179">
        <v>194</v>
      </c>
      <c r="B179" t="s">
        <v>958</v>
      </c>
      <c r="C179" t="s">
        <v>13</v>
      </c>
      <c r="D179" t="s">
        <v>13</v>
      </c>
      <c r="E179" t="s">
        <v>591</v>
      </c>
      <c r="F179" t="s">
        <v>749</v>
      </c>
      <c r="G179" t="s">
        <v>489</v>
      </c>
      <c r="H179" t="s">
        <v>959</v>
      </c>
      <c r="I179" t="s">
        <v>960</v>
      </c>
      <c r="J179" t="s">
        <v>961</v>
      </c>
      <c r="K179" t="s">
        <v>962</v>
      </c>
      <c r="L179" t="s">
        <v>21</v>
      </c>
    </row>
    <row r="180" spans="1:12">
      <c r="A180">
        <v>195</v>
      </c>
      <c r="B180" t="s">
        <v>963</v>
      </c>
      <c r="C180" t="s">
        <v>13</v>
      </c>
      <c r="D180" t="s">
        <v>13</v>
      </c>
      <c r="E180" t="s">
        <v>713</v>
      </c>
      <c r="F180" t="s">
        <v>749</v>
      </c>
      <c r="G180" t="s">
        <v>349</v>
      </c>
      <c r="H180" t="s">
        <v>300</v>
      </c>
      <c r="I180" t="s">
        <v>964</v>
      </c>
      <c r="J180" t="s">
        <v>895</v>
      </c>
      <c r="K180" t="s">
        <v>896</v>
      </c>
      <c r="L180" t="s">
        <v>21</v>
      </c>
    </row>
    <row r="181" spans="1:12">
      <c r="A181">
        <v>196</v>
      </c>
      <c r="B181" t="s">
        <v>965</v>
      </c>
      <c r="C181" t="s">
        <v>13</v>
      </c>
      <c r="D181" t="s">
        <v>100</v>
      </c>
      <c r="E181" t="s">
        <v>966</v>
      </c>
      <c r="F181" t="s">
        <v>749</v>
      </c>
      <c r="G181" t="s">
        <v>31</v>
      </c>
      <c r="H181" t="s">
        <v>828</v>
      </c>
      <c r="I181" t="s">
        <v>967</v>
      </c>
      <c r="J181" t="s">
        <v>968</v>
      </c>
      <c r="K181" t="s">
        <v>969</v>
      </c>
      <c r="L181" t="s">
        <v>54</v>
      </c>
    </row>
    <row r="182" spans="1:12">
      <c r="A182">
        <v>197</v>
      </c>
      <c r="B182" t="s">
        <v>970</v>
      </c>
      <c r="C182" t="s">
        <v>46</v>
      </c>
      <c r="D182" t="s">
        <v>211</v>
      </c>
      <c r="E182" t="s">
        <v>600</v>
      </c>
      <c r="F182" t="s">
        <v>749</v>
      </c>
      <c r="G182" t="s">
        <v>898</v>
      </c>
      <c r="H182" t="s">
        <v>822</v>
      </c>
      <c r="I182" t="s">
        <v>971</v>
      </c>
      <c r="J182" t="s">
        <v>824</v>
      </c>
      <c r="K182" t="s">
        <v>825</v>
      </c>
      <c r="L182" t="s">
        <v>36</v>
      </c>
    </row>
    <row r="183" spans="1:12">
      <c r="A183">
        <v>198</v>
      </c>
      <c r="B183" t="s">
        <v>972</v>
      </c>
      <c r="C183" t="s">
        <v>74</v>
      </c>
      <c r="D183" t="s">
        <v>66</v>
      </c>
      <c r="E183" t="s">
        <v>225</v>
      </c>
      <c r="F183" t="s">
        <v>749</v>
      </c>
      <c r="G183" t="s">
        <v>973</v>
      </c>
      <c r="H183" t="s">
        <v>974</v>
      </c>
      <c r="I183" t="s">
        <v>975</v>
      </c>
      <c r="J183" t="s">
        <v>976</v>
      </c>
      <c r="K183" t="s">
        <v>887</v>
      </c>
      <c r="L183" t="s">
        <v>21</v>
      </c>
    </row>
    <row r="184" spans="1:12">
      <c r="A184">
        <v>199</v>
      </c>
      <c r="B184" t="s">
        <v>977</v>
      </c>
      <c r="C184" t="s">
        <v>298</v>
      </c>
      <c r="D184" t="s">
        <v>57</v>
      </c>
      <c r="E184" t="s">
        <v>84</v>
      </c>
      <c r="F184" t="s">
        <v>749</v>
      </c>
      <c r="G184" t="s">
        <v>827</v>
      </c>
      <c r="H184" t="s">
        <v>828</v>
      </c>
      <c r="I184" t="s">
        <v>829</v>
      </c>
      <c r="J184" t="s">
        <v>830</v>
      </c>
      <c r="K184" t="s">
        <v>831</v>
      </c>
      <c r="L184" t="s">
        <v>21</v>
      </c>
    </row>
    <row r="185" spans="1:12">
      <c r="A185">
        <v>200</v>
      </c>
      <c r="B185" t="s">
        <v>978</v>
      </c>
      <c r="C185" t="s">
        <v>13</v>
      </c>
      <c r="D185" t="s">
        <v>13</v>
      </c>
      <c r="E185" t="s">
        <v>279</v>
      </c>
      <c r="F185" t="s">
        <v>749</v>
      </c>
      <c r="G185" t="s">
        <v>979</v>
      </c>
      <c r="H185" t="s">
        <v>300</v>
      </c>
      <c r="I185" t="s">
        <v>980</v>
      </c>
      <c r="J185" t="s">
        <v>981</v>
      </c>
      <c r="K185" t="s">
        <v>982</v>
      </c>
      <c r="L185" t="s">
        <v>36</v>
      </c>
    </row>
    <row r="186" spans="1:12">
      <c r="A186">
        <v>201</v>
      </c>
      <c r="B186" t="s">
        <v>983</v>
      </c>
      <c r="C186" t="s">
        <v>13</v>
      </c>
      <c r="D186" t="s">
        <v>13</v>
      </c>
      <c r="E186" t="s">
        <v>648</v>
      </c>
      <c r="F186" t="s">
        <v>749</v>
      </c>
      <c r="G186" t="s">
        <v>984</v>
      </c>
      <c r="H186" t="s">
        <v>985</v>
      </c>
      <c r="I186" t="s">
        <v>986</v>
      </c>
      <c r="J186" t="s">
        <v>753</v>
      </c>
      <c r="K186" t="s">
        <v>13</v>
      </c>
      <c r="L186" t="s">
        <v>54</v>
      </c>
    </row>
    <row r="187" spans="1:12">
      <c r="A187">
        <v>202</v>
      </c>
      <c r="B187" t="s">
        <v>987</v>
      </c>
      <c r="C187" t="s">
        <v>335</v>
      </c>
      <c r="D187" t="s">
        <v>267</v>
      </c>
      <c r="E187" t="s">
        <v>144</v>
      </c>
      <c r="F187" t="s">
        <v>749</v>
      </c>
      <c r="G187" t="s">
        <v>145</v>
      </c>
      <c r="H187" t="s">
        <v>828</v>
      </c>
      <c r="I187" t="s">
        <v>988</v>
      </c>
      <c r="J187" t="s">
        <v>989</v>
      </c>
      <c r="K187" t="s">
        <v>990</v>
      </c>
      <c r="L187" t="s">
        <v>36</v>
      </c>
    </row>
    <row r="188" spans="1:12">
      <c r="A188">
        <v>203</v>
      </c>
      <c r="B188" t="s">
        <v>991</v>
      </c>
      <c r="C188" t="s">
        <v>13</v>
      </c>
      <c r="D188" t="s">
        <v>13</v>
      </c>
      <c r="E188" t="s">
        <v>84</v>
      </c>
      <c r="F188" t="s">
        <v>749</v>
      </c>
      <c r="G188" t="s">
        <v>692</v>
      </c>
      <c r="H188" t="s">
        <v>300</v>
      </c>
      <c r="I188" t="s">
        <v>992</v>
      </c>
      <c r="J188" t="s">
        <v>895</v>
      </c>
      <c r="K188" t="s">
        <v>993</v>
      </c>
      <c r="L188" t="s">
        <v>21</v>
      </c>
    </row>
    <row r="189" spans="1:12">
      <c r="A189">
        <v>204</v>
      </c>
      <c r="B189" t="s">
        <v>994</v>
      </c>
      <c r="C189" t="s">
        <v>46</v>
      </c>
      <c r="D189" t="s">
        <v>47</v>
      </c>
      <c r="E189" t="s">
        <v>623</v>
      </c>
      <c r="F189" t="s">
        <v>749</v>
      </c>
      <c r="G189" t="s">
        <v>995</v>
      </c>
      <c r="H189" t="s">
        <v>908</v>
      </c>
      <c r="I189" t="s">
        <v>996</v>
      </c>
      <c r="J189" t="s">
        <v>997</v>
      </c>
      <c r="K189" t="s">
        <v>998</v>
      </c>
      <c r="L189" t="s">
        <v>21</v>
      </c>
    </row>
    <row r="190" spans="1:12">
      <c r="A190">
        <v>205</v>
      </c>
      <c r="B190" t="s">
        <v>999</v>
      </c>
      <c r="C190" t="s">
        <v>335</v>
      </c>
      <c r="D190" t="s">
        <v>267</v>
      </c>
      <c r="E190" t="s">
        <v>279</v>
      </c>
      <c r="F190" t="s">
        <v>749</v>
      </c>
      <c r="G190" t="s">
        <v>31</v>
      </c>
      <c r="H190" t="s">
        <v>828</v>
      </c>
      <c r="I190" t="s">
        <v>1000</v>
      </c>
      <c r="J190" t="s">
        <v>895</v>
      </c>
      <c r="K190" t="s">
        <v>982</v>
      </c>
      <c r="L190" t="s">
        <v>36</v>
      </c>
    </row>
    <row r="191" spans="1:12">
      <c r="A191">
        <v>206</v>
      </c>
      <c r="B191" t="s">
        <v>1001</v>
      </c>
      <c r="C191" t="s">
        <v>13</v>
      </c>
      <c r="D191" t="s">
        <v>13</v>
      </c>
      <c r="E191" t="s">
        <v>341</v>
      </c>
      <c r="F191" t="s">
        <v>749</v>
      </c>
      <c r="G191" t="s">
        <v>213</v>
      </c>
      <c r="H191" t="s">
        <v>300</v>
      </c>
      <c r="I191" t="s">
        <v>1002</v>
      </c>
      <c r="J191" t="s">
        <v>1003</v>
      </c>
      <c r="K191" t="s">
        <v>887</v>
      </c>
      <c r="L191" t="s">
        <v>36</v>
      </c>
    </row>
    <row r="192" spans="1:12">
      <c r="A192">
        <v>207</v>
      </c>
      <c r="B192" t="s">
        <v>1004</v>
      </c>
      <c r="C192" t="s">
        <v>353</v>
      </c>
      <c r="D192" t="s">
        <v>211</v>
      </c>
      <c r="E192" t="s">
        <v>299</v>
      </c>
      <c r="F192" t="s">
        <v>749</v>
      </c>
      <c r="G192" t="s">
        <v>489</v>
      </c>
      <c r="H192" t="s">
        <v>1005</v>
      </c>
      <c r="I192" t="s">
        <v>1006</v>
      </c>
      <c r="J192" t="s">
        <v>1007</v>
      </c>
      <c r="K192" t="s">
        <v>1008</v>
      </c>
      <c r="L192" t="s">
        <v>54</v>
      </c>
    </row>
    <row r="193" spans="1:12">
      <c r="A193">
        <v>208</v>
      </c>
      <c r="B193" t="s">
        <v>1009</v>
      </c>
      <c r="C193" t="s">
        <v>46</v>
      </c>
      <c r="D193" t="s">
        <v>66</v>
      </c>
      <c r="E193" t="s">
        <v>166</v>
      </c>
      <c r="F193" t="s">
        <v>749</v>
      </c>
      <c r="G193" t="s">
        <v>288</v>
      </c>
      <c r="H193" t="s">
        <v>326</v>
      </c>
      <c r="I193" t="s">
        <v>1010</v>
      </c>
      <c r="J193" t="s">
        <v>1011</v>
      </c>
      <c r="K193" t="s">
        <v>1012</v>
      </c>
      <c r="L193" t="s">
        <v>21</v>
      </c>
    </row>
    <row r="194" spans="1:12">
      <c r="A194">
        <v>209</v>
      </c>
      <c r="B194" t="s">
        <v>1013</v>
      </c>
      <c r="C194" t="s">
        <v>246</v>
      </c>
      <c r="D194" t="s">
        <v>66</v>
      </c>
      <c r="E194" t="s">
        <v>166</v>
      </c>
      <c r="F194" t="s">
        <v>749</v>
      </c>
      <c r="G194" t="s">
        <v>1014</v>
      </c>
      <c r="H194" t="s">
        <v>1015</v>
      </c>
      <c r="I194" t="s">
        <v>1016</v>
      </c>
      <c r="J194" t="s">
        <v>1017</v>
      </c>
      <c r="K194" t="s">
        <v>1018</v>
      </c>
      <c r="L194" t="s">
        <v>21</v>
      </c>
    </row>
    <row r="195" spans="1:12">
      <c r="A195">
        <v>210</v>
      </c>
      <c r="B195" t="s">
        <v>1019</v>
      </c>
      <c r="C195" t="s">
        <v>13</v>
      </c>
      <c r="D195" t="s">
        <v>13</v>
      </c>
      <c r="E195" t="s">
        <v>1020</v>
      </c>
      <c r="F195" t="s">
        <v>1021</v>
      </c>
      <c r="G195" t="s">
        <v>1022</v>
      </c>
      <c r="H195" t="s">
        <v>1023</v>
      </c>
      <c r="I195" t="s">
        <v>1024</v>
      </c>
      <c r="J195" t="s">
        <v>1025</v>
      </c>
      <c r="K195" t="s">
        <v>1026</v>
      </c>
      <c r="L195" t="s">
        <v>21</v>
      </c>
    </row>
    <row r="196" spans="1:12">
      <c r="A196">
        <v>212</v>
      </c>
      <c r="B196" t="s">
        <v>1027</v>
      </c>
      <c r="C196" t="s">
        <v>13</v>
      </c>
      <c r="D196" t="s">
        <v>13</v>
      </c>
      <c r="E196" t="s">
        <v>1028</v>
      </c>
      <c r="F196" t="s">
        <v>1021</v>
      </c>
      <c r="G196" t="s">
        <v>1029</v>
      </c>
      <c r="H196" t="s">
        <v>1030</v>
      </c>
      <c r="I196" t="s">
        <v>1031</v>
      </c>
      <c r="J196" t="s">
        <v>1032</v>
      </c>
      <c r="K196" t="s">
        <v>1033</v>
      </c>
      <c r="L196" t="s">
        <v>54</v>
      </c>
    </row>
    <row r="197" spans="1:12">
      <c r="A197">
        <v>213</v>
      </c>
      <c r="B197" t="s">
        <v>1034</v>
      </c>
      <c r="C197" t="s">
        <v>298</v>
      </c>
      <c r="D197" t="s">
        <v>286</v>
      </c>
      <c r="E197" t="s">
        <v>1035</v>
      </c>
      <c r="F197" t="s">
        <v>1021</v>
      </c>
      <c r="G197" t="s">
        <v>356</v>
      </c>
      <c r="H197" t="s">
        <v>1036</v>
      </c>
      <c r="I197" t="s">
        <v>1037</v>
      </c>
      <c r="J197" t="s">
        <v>1038</v>
      </c>
      <c r="K197" t="s">
        <v>1039</v>
      </c>
      <c r="L197" t="s">
        <v>21</v>
      </c>
    </row>
    <row r="198" spans="1:12">
      <c r="A198">
        <v>214</v>
      </c>
      <c r="B198" t="s">
        <v>1040</v>
      </c>
      <c r="C198" t="s">
        <v>13</v>
      </c>
      <c r="D198" t="s">
        <v>13</v>
      </c>
      <c r="E198" t="s">
        <v>1041</v>
      </c>
      <c r="F198" t="s">
        <v>1021</v>
      </c>
      <c r="G198" t="s">
        <v>1042</v>
      </c>
      <c r="H198" t="s">
        <v>1043</v>
      </c>
      <c r="I198" t="s">
        <v>1044</v>
      </c>
      <c r="J198" t="s">
        <v>1045</v>
      </c>
      <c r="K198" t="s">
        <v>1046</v>
      </c>
      <c r="L198" t="s">
        <v>21</v>
      </c>
    </row>
    <row r="199" spans="1:12">
      <c r="A199">
        <v>216</v>
      </c>
      <c r="B199" t="s">
        <v>1047</v>
      </c>
      <c r="C199" t="s">
        <v>13</v>
      </c>
      <c r="D199" t="s">
        <v>13</v>
      </c>
      <c r="E199" t="s">
        <v>1048</v>
      </c>
      <c r="F199" t="s">
        <v>1021</v>
      </c>
      <c r="G199" t="s">
        <v>1049</v>
      </c>
      <c r="H199" t="s">
        <v>1021</v>
      </c>
      <c r="I199" t="s">
        <v>1050</v>
      </c>
      <c r="J199" t="s">
        <v>1051</v>
      </c>
      <c r="K199" t="s">
        <v>1052</v>
      </c>
      <c r="L199" t="s">
        <v>54</v>
      </c>
    </row>
    <row r="200" spans="1:12">
      <c r="A200">
        <v>218</v>
      </c>
      <c r="B200" t="s">
        <v>1053</v>
      </c>
      <c r="C200" t="s">
        <v>13</v>
      </c>
      <c r="D200" t="s">
        <v>13</v>
      </c>
      <c r="E200" t="s">
        <v>1054</v>
      </c>
      <c r="F200" t="s">
        <v>1021</v>
      </c>
      <c r="G200" t="s">
        <v>1055</v>
      </c>
      <c r="H200" t="s">
        <v>1021</v>
      </c>
      <c r="I200" t="s">
        <v>1056</v>
      </c>
      <c r="J200" t="s">
        <v>1057</v>
      </c>
      <c r="K200" t="s">
        <v>1058</v>
      </c>
      <c r="L200" t="s">
        <v>21</v>
      </c>
    </row>
    <row r="201" spans="1:12">
      <c r="A201">
        <v>222</v>
      </c>
      <c r="B201" t="s">
        <v>1059</v>
      </c>
      <c r="C201" t="s">
        <v>1060</v>
      </c>
      <c r="D201" t="s">
        <v>13</v>
      </c>
      <c r="E201" t="s">
        <v>116</v>
      </c>
      <c r="F201" t="s">
        <v>1021</v>
      </c>
      <c r="G201" t="s">
        <v>138</v>
      </c>
      <c r="H201" t="s">
        <v>1061</v>
      </c>
      <c r="I201" t="s">
        <v>1062</v>
      </c>
      <c r="J201" t="s">
        <v>1063</v>
      </c>
      <c r="K201" t="s">
        <v>1064</v>
      </c>
      <c r="L201" t="s">
        <v>54</v>
      </c>
    </row>
    <row r="202" spans="1:12">
      <c r="A202">
        <v>224</v>
      </c>
      <c r="B202" t="s">
        <v>1065</v>
      </c>
      <c r="C202" t="s">
        <v>200</v>
      </c>
      <c r="D202" t="s">
        <v>158</v>
      </c>
      <c r="E202" t="s">
        <v>1066</v>
      </c>
      <c r="F202" t="s">
        <v>1021</v>
      </c>
      <c r="G202" t="s">
        <v>1067</v>
      </c>
      <c r="H202" t="s">
        <v>1068</v>
      </c>
      <c r="I202" t="s">
        <v>1069</v>
      </c>
      <c r="J202" t="s">
        <v>1070</v>
      </c>
      <c r="K202" t="s">
        <v>1071</v>
      </c>
      <c r="L202" t="s">
        <v>21</v>
      </c>
    </row>
    <row r="203" spans="1:12">
      <c r="A203">
        <v>225</v>
      </c>
      <c r="B203" t="s">
        <v>1072</v>
      </c>
      <c r="C203" t="s">
        <v>1066</v>
      </c>
      <c r="D203" t="s">
        <v>13</v>
      </c>
      <c r="E203" t="s">
        <v>387</v>
      </c>
      <c r="F203" t="s">
        <v>1021</v>
      </c>
      <c r="G203" t="s">
        <v>801</v>
      </c>
      <c r="H203" t="s">
        <v>1021</v>
      </c>
      <c r="I203" t="s">
        <v>1073</v>
      </c>
      <c r="J203" t="s">
        <v>1051</v>
      </c>
      <c r="K203" t="s">
        <v>1074</v>
      </c>
      <c r="L203" t="s">
        <v>54</v>
      </c>
    </row>
    <row r="204" spans="1:12">
      <c r="A204">
        <v>227</v>
      </c>
      <c r="B204" t="s">
        <v>1075</v>
      </c>
      <c r="C204" t="s">
        <v>1076</v>
      </c>
      <c r="D204" t="s">
        <v>13</v>
      </c>
      <c r="E204" t="s">
        <v>1077</v>
      </c>
      <c r="F204" t="s">
        <v>1021</v>
      </c>
      <c r="G204" t="s">
        <v>1078</v>
      </c>
      <c r="H204" t="s">
        <v>1079</v>
      </c>
      <c r="I204" t="s">
        <v>1080</v>
      </c>
      <c r="J204" t="s">
        <v>1081</v>
      </c>
      <c r="K204" t="s">
        <v>1082</v>
      </c>
      <c r="L204" t="s">
        <v>54</v>
      </c>
    </row>
    <row r="205" spans="1:12">
      <c r="A205">
        <v>228</v>
      </c>
      <c r="B205" t="s">
        <v>1083</v>
      </c>
      <c r="C205" t="s">
        <v>325</v>
      </c>
      <c r="D205" t="s">
        <v>100</v>
      </c>
      <c r="E205" t="s">
        <v>1084</v>
      </c>
      <c r="F205" t="s">
        <v>1021</v>
      </c>
      <c r="G205" t="s">
        <v>138</v>
      </c>
      <c r="H205" t="s">
        <v>1079</v>
      </c>
      <c r="I205" t="s">
        <v>1085</v>
      </c>
      <c r="J205" t="s">
        <v>1086</v>
      </c>
      <c r="K205" t="s">
        <v>1087</v>
      </c>
      <c r="L205" t="s">
        <v>54</v>
      </c>
    </row>
    <row r="206" spans="1:12">
      <c r="A206">
        <v>229</v>
      </c>
      <c r="B206" t="s">
        <v>1088</v>
      </c>
      <c r="C206" t="s">
        <v>240</v>
      </c>
      <c r="D206" t="s">
        <v>47</v>
      </c>
      <c r="E206" t="s">
        <v>682</v>
      </c>
      <c r="F206" t="s">
        <v>1021</v>
      </c>
      <c r="G206" t="s">
        <v>1089</v>
      </c>
      <c r="H206" t="s">
        <v>1079</v>
      </c>
      <c r="I206" t="s">
        <v>1090</v>
      </c>
      <c r="J206" t="s">
        <v>1086</v>
      </c>
      <c r="K206" t="s">
        <v>1091</v>
      </c>
      <c r="L206" t="s">
        <v>21</v>
      </c>
    </row>
    <row r="207" spans="1:12">
      <c r="A207">
        <v>230</v>
      </c>
      <c r="B207" t="s">
        <v>1092</v>
      </c>
      <c r="C207" t="s">
        <v>65</v>
      </c>
      <c r="D207" t="s">
        <v>267</v>
      </c>
      <c r="E207" t="s">
        <v>1093</v>
      </c>
      <c r="F207" t="s">
        <v>1021</v>
      </c>
      <c r="G207" t="s">
        <v>1094</v>
      </c>
      <c r="H207" t="s">
        <v>1095</v>
      </c>
      <c r="I207" t="s">
        <v>1096</v>
      </c>
      <c r="J207" t="s">
        <v>1057</v>
      </c>
      <c r="K207" t="s">
        <v>1097</v>
      </c>
      <c r="L207" t="s">
        <v>54</v>
      </c>
    </row>
    <row r="208" spans="1:12">
      <c r="A208">
        <v>231</v>
      </c>
      <c r="B208" t="s">
        <v>1098</v>
      </c>
      <c r="C208" t="s">
        <v>115</v>
      </c>
      <c r="D208" t="s">
        <v>267</v>
      </c>
      <c r="E208" t="s">
        <v>1099</v>
      </c>
      <c r="F208" t="s">
        <v>1021</v>
      </c>
      <c r="G208" t="s">
        <v>919</v>
      </c>
      <c r="H208" t="s">
        <v>1100</v>
      </c>
      <c r="I208" t="s">
        <v>1101</v>
      </c>
      <c r="J208" t="s">
        <v>1102</v>
      </c>
      <c r="K208" t="s">
        <v>1097</v>
      </c>
      <c r="L208" t="s">
        <v>54</v>
      </c>
    </row>
    <row r="209" spans="1:12">
      <c r="A209">
        <v>232</v>
      </c>
      <c r="B209" t="s">
        <v>1103</v>
      </c>
      <c r="C209" t="s">
        <v>246</v>
      </c>
      <c r="D209" t="s">
        <v>66</v>
      </c>
      <c r="E209" t="s">
        <v>387</v>
      </c>
      <c r="F209" t="s">
        <v>1021</v>
      </c>
      <c r="G209" t="s">
        <v>31</v>
      </c>
      <c r="H209" t="s">
        <v>1104</v>
      </c>
      <c r="I209" t="s">
        <v>1105</v>
      </c>
      <c r="J209" t="s">
        <v>1106</v>
      </c>
      <c r="K209" t="s">
        <v>1107</v>
      </c>
      <c r="L209" t="s">
        <v>21</v>
      </c>
    </row>
    <row r="210" spans="1:12">
      <c r="A210">
        <v>233</v>
      </c>
      <c r="B210" t="s">
        <v>1108</v>
      </c>
      <c r="C210" t="s">
        <v>13</v>
      </c>
      <c r="D210" t="s">
        <v>13</v>
      </c>
      <c r="E210" t="s">
        <v>1109</v>
      </c>
      <c r="F210" t="s">
        <v>1021</v>
      </c>
      <c r="G210" t="s">
        <v>213</v>
      </c>
      <c r="H210" t="s">
        <v>1079</v>
      </c>
      <c r="I210" t="s">
        <v>1110</v>
      </c>
      <c r="J210" t="s">
        <v>1111</v>
      </c>
      <c r="K210" t="s">
        <v>1082</v>
      </c>
      <c r="L210" t="s">
        <v>54</v>
      </c>
    </row>
    <row r="211" spans="1:12">
      <c r="A211">
        <v>234</v>
      </c>
      <c r="B211" t="s">
        <v>1112</v>
      </c>
      <c r="C211" t="s">
        <v>13</v>
      </c>
      <c r="D211" t="s">
        <v>13</v>
      </c>
      <c r="E211" t="s">
        <v>1113</v>
      </c>
      <c r="F211" t="s">
        <v>1021</v>
      </c>
      <c r="G211" t="s">
        <v>213</v>
      </c>
      <c r="H211" t="s">
        <v>1079</v>
      </c>
      <c r="I211" t="s">
        <v>1114</v>
      </c>
      <c r="J211" t="s">
        <v>1115</v>
      </c>
      <c r="K211" t="s">
        <v>1082</v>
      </c>
      <c r="L211" t="s">
        <v>36</v>
      </c>
    </row>
    <row r="212" spans="1:12">
      <c r="A212">
        <v>235</v>
      </c>
      <c r="B212" t="s">
        <v>1116</v>
      </c>
      <c r="C212" t="s">
        <v>246</v>
      </c>
      <c r="D212" t="s">
        <v>83</v>
      </c>
      <c r="E212" t="s">
        <v>1117</v>
      </c>
      <c r="F212" t="s">
        <v>1021</v>
      </c>
      <c r="G212" t="s">
        <v>138</v>
      </c>
      <c r="H212" t="s">
        <v>1118</v>
      </c>
      <c r="I212" t="s">
        <v>1119</v>
      </c>
      <c r="J212" t="s">
        <v>1120</v>
      </c>
      <c r="K212" t="s">
        <v>1121</v>
      </c>
      <c r="L212" t="s">
        <v>54</v>
      </c>
    </row>
    <row r="213" spans="1:12">
      <c r="A213">
        <v>236</v>
      </c>
      <c r="B213" t="s">
        <v>1122</v>
      </c>
      <c r="C213" t="s">
        <v>298</v>
      </c>
      <c r="D213" t="s">
        <v>286</v>
      </c>
      <c r="E213" t="s">
        <v>1084</v>
      </c>
      <c r="F213" t="s">
        <v>1021</v>
      </c>
      <c r="G213" t="s">
        <v>1123</v>
      </c>
      <c r="H213" t="s">
        <v>1124</v>
      </c>
      <c r="I213" t="s">
        <v>1125</v>
      </c>
      <c r="J213" t="s">
        <v>1126</v>
      </c>
      <c r="K213" t="s">
        <v>1127</v>
      </c>
      <c r="L213" t="s">
        <v>54</v>
      </c>
    </row>
    <row r="214" spans="1:12">
      <c r="A214">
        <v>237</v>
      </c>
      <c r="B214" t="s">
        <v>1128</v>
      </c>
      <c r="C214" t="s">
        <v>1129</v>
      </c>
      <c r="D214" t="s">
        <v>211</v>
      </c>
      <c r="E214" t="s">
        <v>411</v>
      </c>
      <c r="F214" t="s">
        <v>1021</v>
      </c>
      <c r="G214" t="s">
        <v>1130</v>
      </c>
      <c r="H214" t="s">
        <v>1131</v>
      </c>
      <c r="I214" t="s">
        <v>1132</v>
      </c>
      <c r="J214" t="s">
        <v>1133</v>
      </c>
      <c r="K214" t="s">
        <v>1134</v>
      </c>
      <c r="L214" t="s">
        <v>21</v>
      </c>
    </row>
    <row r="215" spans="1:12">
      <c r="A215">
        <v>238</v>
      </c>
      <c r="B215" t="s">
        <v>1135</v>
      </c>
      <c r="C215" t="s">
        <v>580</v>
      </c>
      <c r="D215" t="s">
        <v>158</v>
      </c>
      <c r="E215" t="s">
        <v>422</v>
      </c>
      <c r="F215" t="s">
        <v>1021</v>
      </c>
      <c r="G215" t="s">
        <v>1136</v>
      </c>
      <c r="H215" t="s">
        <v>1043</v>
      </c>
      <c r="I215" t="s">
        <v>1137</v>
      </c>
      <c r="J215" t="s">
        <v>1138</v>
      </c>
      <c r="K215" t="s">
        <v>1139</v>
      </c>
      <c r="L215" t="s">
        <v>21</v>
      </c>
    </row>
    <row r="216" spans="1:12">
      <c r="A216">
        <v>239</v>
      </c>
      <c r="B216" t="s">
        <v>1140</v>
      </c>
      <c r="C216" t="s">
        <v>230</v>
      </c>
      <c r="D216" t="s">
        <v>173</v>
      </c>
      <c r="E216" t="s">
        <v>682</v>
      </c>
      <c r="F216" t="s">
        <v>1021</v>
      </c>
      <c r="G216" t="s">
        <v>1141</v>
      </c>
      <c r="H216" t="s">
        <v>1142</v>
      </c>
      <c r="I216" t="s">
        <v>1143</v>
      </c>
      <c r="J216" t="s">
        <v>1144</v>
      </c>
      <c r="K216" t="s">
        <v>1139</v>
      </c>
      <c r="L216" t="s">
        <v>36</v>
      </c>
    </row>
    <row r="217" spans="1:12">
      <c r="A217">
        <v>240</v>
      </c>
      <c r="B217" t="s">
        <v>1145</v>
      </c>
      <c r="C217" t="s">
        <v>165</v>
      </c>
      <c r="D217" t="s">
        <v>267</v>
      </c>
      <c r="E217" t="s">
        <v>1146</v>
      </c>
      <c r="F217" t="s">
        <v>1147</v>
      </c>
      <c r="G217" t="s">
        <v>31</v>
      </c>
      <c r="H217" t="s">
        <v>1043</v>
      </c>
      <c r="I217" t="s">
        <v>1148</v>
      </c>
      <c r="J217" t="s">
        <v>1081</v>
      </c>
      <c r="K217" t="s">
        <v>13</v>
      </c>
      <c r="L217" t="s">
        <v>36</v>
      </c>
    </row>
    <row r="218" spans="1:12">
      <c r="A218">
        <v>241</v>
      </c>
      <c r="B218" t="s">
        <v>1149</v>
      </c>
      <c r="C218" t="s">
        <v>230</v>
      </c>
      <c r="D218" t="s">
        <v>158</v>
      </c>
      <c r="E218" t="s">
        <v>1150</v>
      </c>
      <c r="F218" t="s">
        <v>1147</v>
      </c>
      <c r="G218" t="s">
        <v>288</v>
      </c>
      <c r="H218" t="s">
        <v>1151</v>
      </c>
      <c r="I218" t="s">
        <v>1152</v>
      </c>
      <c r="J218" t="s">
        <v>753</v>
      </c>
      <c r="K218" t="s">
        <v>1153</v>
      </c>
      <c r="L218" t="s">
        <v>21</v>
      </c>
    </row>
    <row r="219" spans="1:12">
      <c r="A219">
        <v>242</v>
      </c>
      <c r="B219" t="s">
        <v>1154</v>
      </c>
      <c r="C219" t="s">
        <v>150</v>
      </c>
      <c r="D219" t="s">
        <v>158</v>
      </c>
      <c r="E219" t="s">
        <v>189</v>
      </c>
      <c r="F219" t="s">
        <v>1147</v>
      </c>
      <c r="G219" t="s">
        <v>1155</v>
      </c>
      <c r="H219" t="s">
        <v>1156</v>
      </c>
      <c r="I219" t="s">
        <v>1157</v>
      </c>
      <c r="J219" t="s">
        <v>753</v>
      </c>
      <c r="K219" t="s">
        <v>1158</v>
      </c>
      <c r="L219" t="s">
        <v>54</v>
      </c>
    </row>
    <row r="220" spans="1:12">
      <c r="A220">
        <v>243</v>
      </c>
      <c r="B220" t="s">
        <v>1159</v>
      </c>
      <c r="C220" t="s">
        <v>200</v>
      </c>
      <c r="D220" t="s">
        <v>173</v>
      </c>
      <c r="E220" t="s">
        <v>494</v>
      </c>
      <c r="F220" t="s">
        <v>1147</v>
      </c>
      <c r="G220" t="s">
        <v>31</v>
      </c>
      <c r="H220" t="s">
        <v>1043</v>
      </c>
      <c r="I220" t="s">
        <v>1160</v>
      </c>
      <c r="J220" t="s">
        <v>1161</v>
      </c>
      <c r="K220" t="s">
        <v>1162</v>
      </c>
      <c r="L220" t="s">
        <v>21</v>
      </c>
    </row>
    <row r="221" spans="1:12">
      <c r="A221">
        <v>244</v>
      </c>
      <c r="B221" t="s">
        <v>1163</v>
      </c>
      <c r="C221" t="s">
        <v>91</v>
      </c>
      <c r="D221" t="s">
        <v>57</v>
      </c>
      <c r="E221" t="s">
        <v>1164</v>
      </c>
      <c r="F221" t="s">
        <v>1147</v>
      </c>
      <c r="G221" t="s">
        <v>1165</v>
      </c>
      <c r="H221" t="s">
        <v>1166</v>
      </c>
      <c r="I221" t="s">
        <v>1167</v>
      </c>
      <c r="J221" t="s">
        <v>1168</v>
      </c>
      <c r="K221" t="s">
        <v>1169</v>
      </c>
      <c r="L221" t="s">
        <v>54</v>
      </c>
    </row>
    <row r="222" spans="1:12">
      <c r="A222">
        <v>245</v>
      </c>
      <c r="B222" t="s">
        <v>1170</v>
      </c>
      <c r="C222" t="s">
        <v>218</v>
      </c>
      <c r="D222" t="s">
        <v>66</v>
      </c>
      <c r="E222" t="s">
        <v>883</v>
      </c>
      <c r="F222" t="s">
        <v>1147</v>
      </c>
      <c r="G222" t="s">
        <v>138</v>
      </c>
      <c r="H222" t="s">
        <v>1171</v>
      </c>
      <c r="I222" t="s">
        <v>1172</v>
      </c>
      <c r="J222" t="s">
        <v>1173</v>
      </c>
      <c r="K222" t="s">
        <v>1169</v>
      </c>
      <c r="L222" t="s">
        <v>54</v>
      </c>
    </row>
    <row r="223" spans="1:12">
      <c r="A223">
        <v>246</v>
      </c>
      <c r="B223" t="s">
        <v>1174</v>
      </c>
      <c r="C223" t="s">
        <v>13</v>
      </c>
      <c r="D223" t="s">
        <v>13</v>
      </c>
      <c r="E223" t="s">
        <v>201</v>
      </c>
      <c r="F223" t="s">
        <v>1147</v>
      </c>
      <c r="G223" t="s">
        <v>1175</v>
      </c>
      <c r="H223" t="s">
        <v>1079</v>
      </c>
      <c r="I223" t="s">
        <v>1176</v>
      </c>
      <c r="J223" t="s">
        <v>1081</v>
      </c>
      <c r="K223" t="s">
        <v>1177</v>
      </c>
      <c r="L223" t="s">
        <v>21</v>
      </c>
    </row>
    <row r="224" spans="1:12">
      <c r="A224">
        <v>247</v>
      </c>
      <c r="B224" t="s">
        <v>1178</v>
      </c>
      <c r="C224" t="s">
        <v>82</v>
      </c>
      <c r="D224" t="s">
        <v>39</v>
      </c>
      <c r="E224" t="s">
        <v>613</v>
      </c>
      <c r="F224" t="s">
        <v>1147</v>
      </c>
      <c r="G224" t="s">
        <v>1179</v>
      </c>
      <c r="H224" t="s">
        <v>1180</v>
      </c>
      <c r="I224" t="s">
        <v>1181</v>
      </c>
      <c r="J224" t="s">
        <v>753</v>
      </c>
      <c r="K224" t="s">
        <v>13</v>
      </c>
      <c r="L224" t="s">
        <v>54</v>
      </c>
    </row>
    <row r="225" spans="1:12">
      <c r="A225">
        <v>248</v>
      </c>
      <c r="B225" t="s">
        <v>1182</v>
      </c>
      <c r="C225" t="s">
        <v>240</v>
      </c>
      <c r="D225" t="s">
        <v>83</v>
      </c>
      <c r="E225" t="s">
        <v>966</v>
      </c>
      <c r="F225" t="s">
        <v>1147</v>
      </c>
      <c r="G225" t="s">
        <v>31</v>
      </c>
      <c r="H225" t="s">
        <v>1183</v>
      </c>
      <c r="I225" t="s">
        <v>1184</v>
      </c>
      <c r="J225" t="s">
        <v>1185</v>
      </c>
      <c r="K225" t="s">
        <v>13</v>
      </c>
      <c r="L225" t="s">
        <v>21</v>
      </c>
    </row>
    <row r="226" spans="1:12">
      <c r="A226">
        <v>249</v>
      </c>
      <c r="B226" t="s">
        <v>1186</v>
      </c>
      <c r="C226" t="s">
        <v>82</v>
      </c>
      <c r="D226" t="s">
        <v>66</v>
      </c>
      <c r="E226" t="s">
        <v>212</v>
      </c>
      <c r="F226" t="s">
        <v>1147</v>
      </c>
      <c r="G226" t="s">
        <v>31</v>
      </c>
      <c r="H226" t="s">
        <v>1079</v>
      </c>
      <c r="I226" t="s">
        <v>1187</v>
      </c>
      <c r="J226" t="s">
        <v>1188</v>
      </c>
      <c r="K226" t="s">
        <v>1189</v>
      </c>
      <c r="L226" t="s">
        <v>21</v>
      </c>
    </row>
    <row r="227" spans="1:12">
      <c r="A227">
        <v>250</v>
      </c>
      <c r="B227" t="s">
        <v>1190</v>
      </c>
      <c r="C227" t="s">
        <v>353</v>
      </c>
      <c r="D227" t="s">
        <v>100</v>
      </c>
      <c r="E227" t="s">
        <v>212</v>
      </c>
      <c r="F227" t="s">
        <v>1021</v>
      </c>
      <c r="G227" t="s">
        <v>31</v>
      </c>
      <c r="H227" t="s">
        <v>1021</v>
      </c>
      <c r="I227" t="s">
        <v>1191</v>
      </c>
      <c r="J227" t="s">
        <v>1192</v>
      </c>
      <c r="K227" t="s">
        <v>1193</v>
      </c>
      <c r="L227" t="s">
        <v>21</v>
      </c>
    </row>
    <row r="228" spans="1:12">
      <c r="A228">
        <v>251</v>
      </c>
      <c r="B228" t="s">
        <v>1194</v>
      </c>
      <c r="C228" t="s">
        <v>38</v>
      </c>
      <c r="D228" t="s">
        <v>286</v>
      </c>
      <c r="E228" t="s">
        <v>1195</v>
      </c>
      <c r="F228" t="s">
        <v>1021</v>
      </c>
      <c r="G228" t="s">
        <v>1049</v>
      </c>
      <c r="H228" t="s">
        <v>1043</v>
      </c>
      <c r="I228" t="s">
        <v>1196</v>
      </c>
      <c r="J228" t="s">
        <v>1192</v>
      </c>
      <c r="K228" t="s">
        <v>1197</v>
      </c>
      <c r="L228" t="s">
        <v>54</v>
      </c>
    </row>
    <row r="229" spans="1:12">
      <c r="A229">
        <v>253</v>
      </c>
      <c r="B229" t="s">
        <v>1198</v>
      </c>
      <c r="C229" t="s">
        <v>1129</v>
      </c>
      <c r="D229" t="s">
        <v>57</v>
      </c>
      <c r="E229" t="s">
        <v>75</v>
      </c>
      <c r="F229" t="s">
        <v>1021</v>
      </c>
      <c r="G229" t="s">
        <v>1199</v>
      </c>
      <c r="H229" t="s">
        <v>1021</v>
      </c>
      <c r="I229" t="s">
        <v>1200</v>
      </c>
      <c r="J229" t="s">
        <v>1192</v>
      </c>
      <c r="K229" t="s">
        <v>1201</v>
      </c>
      <c r="L229" t="s">
        <v>54</v>
      </c>
    </row>
    <row r="230" spans="1:12">
      <c r="A230">
        <v>254</v>
      </c>
      <c r="B230" t="s">
        <v>1202</v>
      </c>
      <c r="C230" t="s">
        <v>115</v>
      </c>
      <c r="D230" t="s">
        <v>47</v>
      </c>
      <c r="E230" t="s">
        <v>1203</v>
      </c>
      <c r="F230" t="s">
        <v>1021</v>
      </c>
      <c r="G230" t="s">
        <v>31</v>
      </c>
      <c r="H230" t="s">
        <v>1021</v>
      </c>
      <c r="I230" t="s">
        <v>1204</v>
      </c>
      <c r="J230" t="s">
        <v>1192</v>
      </c>
      <c r="K230" t="s">
        <v>1205</v>
      </c>
      <c r="L230" t="s">
        <v>36</v>
      </c>
    </row>
    <row r="231" spans="1:12">
      <c r="A231">
        <v>255</v>
      </c>
      <c r="B231" t="s">
        <v>1206</v>
      </c>
      <c r="C231" t="s">
        <v>99</v>
      </c>
      <c r="D231" t="s">
        <v>158</v>
      </c>
      <c r="E231" t="s">
        <v>648</v>
      </c>
      <c r="F231" t="s">
        <v>1021</v>
      </c>
      <c r="G231" t="s">
        <v>85</v>
      </c>
      <c r="H231" t="s">
        <v>1043</v>
      </c>
      <c r="I231" t="s">
        <v>1207</v>
      </c>
      <c r="J231" t="s">
        <v>1208</v>
      </c>
      <c r="K231" t="s">
        <v>1209</v>
      </c>
      <c r="L231" t="s">
        <v>54</v>
      </c>
    </row>
    <row r="232" spans="1:12">
      <c r="A232">
        <v>256</v>
      </c>
      <c r="B232" t="s">
        <v>1210</v>
      </c>
      <c r="C232" t="s">
        <v>46</v>
      </c>
      <c r="D232" t="s">
        <v>286</v>
      </c>
      <c r="E232" t="s">
        <v>643</v>
      </c>
      <c r="F232" t="s">
        <v>1021</v>
      </c>
      <c r="G232" t="s">
        <v>85</v>
      </c>
      <c r="H232" t="s">
        <v>1211</v>
      </c>
      <c r="I232" t="s">
        <v>1212</v>
      </c>
      <c r="J232" t="s">
        <v>1213</v>
      </c>
      <c r="K232" t="s">
        <v>1209</v>
      </c>
      <c r="L232" t="s">
        <v>54</v>
      </c>
    </row>
    <row r="233" spans="1:12">
      <c r="A233">
        <v>257</v>
      </c>
      <c r="B233" t="s">
        <v>1214</v>
      </c>
      <c r="C233" t="s">
        <v>195</v>
      </c>
      <c r="D233" t="s">
        <v>267</v>
      </c>
      <c r="E233" t="s">
        <v>287</v>
      </c>
      <c r="F233" t="s">
        <v>1021</v>
      </c>
      <c r="G233" t="s">
        <v>1215</v>
      </c>
      <c r="H233" t="s">
        <v>1216</v>
      </c>
      <c r="I233" t="s">
        <v>1217</v>
      </c>
      <c r="J233" t="s">
        <v>1218</v>
      </c>
      <c r="K233" t="s">
        <v>1219</v>
      </c>
      <c r="L233" t="s">
        <v>54</v>
      </c>
    </row>
    <row r="234" spans="1:12">
      <c r="A234">
        <v>258</v>
      </c>
      <c r="B234" t="s">
        <v>1220</v>
      </c>
      <c r="C234" t="s">
        <v>246</v>
      </c>
      <c r="D234" t="s">
        <v>286</v>
      </c>
      <c r="E234" t="s">
        <v>341</v>
      </c>
      <c r="F234" t="s">
        <v>1021</v>
      </c>
      <c r="G234" t="s">
        <v>1165</v>
      </c>
      <c r="H234" t="s">
        <v>1221</v>
      </c>
      <c r="I234" t="s">
        <v>1222</v>
      </c>
      <c r="J234" t="s">
        <v>1223</v>
      </c>
      <c r="K234" t="s">
        <v>1224</v>
      </c>
      <c r="L234" t="s">
        <v>36</v>
      </c>
    </row>
    <row r="235" spans="1:12">
      <c r="A235">
        <v>259</v>
      </c>
      <c r="B235" t="s">
        <v>1225</v>
      </c>
      <c r="C235" t="s">
        <v>230</v>
      </c>
      <c r="D235" t="s">
        <v>267</v>
      </c>
      <c r="E235" t="s">
        <v>174</v>
      </c>
      <c r="F235" t="s">
        <v>1021</v>
      </c>
      <c r="G235" t="s">
        <v>1226</v>
      </c>
      <c r="H235" t="s">
        <v>1227</v>
      </c>
      <c r="I235" t="s">
        <v>1228</v>
      </c>
      <c r="J235" t="s">
        <v>1229</v>
      </c>
      <c r="K235" t="s">
        <v>1230</v>
      </c>
      <c r="L235" t="s">
        <v>54</v>
      </c>
    </row>
    <row r="236" spans="1:12">
      <c r="A236">
        <v>260</v>
      </c>
      <c r="B236" t="s">
        <v>1231</v>
      </c>
      <c r="C236" t="s">
        <v>13</v>
      </c>
      <c r="D236" t="s">
        <v>13</v>
      </c>
      <c r="E236" t="s">
        <v>1232</v>
      </c>
      <c r="F236" t="s">
        <v>1233</v>
      </c>
      <c r="G236" t="s">
        <v>252</v>
      </c>
      <c r="H236" t="s">
        <v>1234</v>
      </c>
      <c r="I236" t="s">
        <v>1235</v>
      </c>
      <c r="J236" t="s">
        <v>1236</v>
      </c>
      <c r="K236" t="s">
        <v>1237</v>
      </c>
      <c r="L236" t="s">
        <v>21</v>
      </c>
    </row>
    <row r="237" spans="1:12">
      <c r="A237">
        <v>261</v>
      </c>
      <c r="B237" t="s">
        <v>1238</v>
      </c>
      <c r="C237" t="s">
        <v>13</v>
      </c>
      <c r="D237" t="s">
        <v>13</v>
      </c>
      <c r="E237" t="s">
        <v>1239</v>
      </c>
      <c r="F237" t="s">
        <v>1233</v>
      </c>
      <c r="G237" t="s">
        <v>31</v>
      </c>
      <c r="H237" t="s">
        <v>1233</v>
      </c>
      <c r="I237" t="s">
        <v>1240</v>
      </c>
      <c r="J237" t="s">
        <v>1236</v>
      </c>
      <c r="K237" t="s">
        <v>1241</v>
      </c>
      <c r="L237" t="s">
        <v>21</v>
      </c>
    </row>
    <row r="238" spans="1:12">
      <c r="A238">
        <v>262</v>
      </c>
      <c r="B238" t="s">
        <v>1242</v>
      </c>
      <c r="C238" t="s">
        <v>13</v>
      </c>
      <c r="D238" t="s">
        <v>13</v>
      </c>
      <c r="E238" t="s">
        <v>1243</v>
      </c>
      <c r="F238" t="s">
        <v>1233</v>
      </c>
      <c r="G238" t="s">
        <v>1244</v>
      </c>
      <c r="H238" t="s">
        <v>1245</v>
      </c>
      <c r="I238" t="s">
        <v>1246</v>
      </c>
      <c r="J238" t="s">
        <v>1236</v>
      </c>
      <c r="K238" t="s">
        <v>1247</v>
      </c>
      <c r="L238" t="s">
        <v>21</v>
      </c>
    </row>
    <row r="239" spans="1:12">
      <c r="A239">
        <v>263</v>
      </c>
      <c r="B239" t="s">
        <v>1248</v>
      </c>
      <c r="C239" t="s">
        <v>13</v>
      </c>
      <c r="D239" t="s">
        <v>13</v>
      </c>
      <c r="E239" t="s">
        <v>1249</v>
      </c>
      <c r="F239" t="s">
        <v>1233</v>
      </c>
      <c r="G239" t="s">
        <v>1244</v>
      </c>
      <c r="H239" t="s">
        <v>1250</v>
      </c>
      <c r="I239" t="s">
        <v>1251</v>
      </c>
      <c r="J239" t="s">
        <v>1236</v>
      </c>
      <c r="K239" t="s">
        <v>1252</v>
      </c>
      <c r="L239" t="s">
        <v>21</v>
      </c>
    </row>
    <row r="240" spans="1:12">
      <c r="A240">
        <v>264</v>
      </c>
      <c r="B240" t="s">
        <v>1253</v>
      </c>
      <c r="C240" t="s">
        <v>13</v>
      </c>
      <c r="D240" t="s">
        <v>13</v>
      </c>
      <c r="E240" t="s">
        <v>1254</v>
      </c>
      <c r="F240" t="s">
        <v>1233</v>
      </c>
      <c r="G240" t="s">
        <v>1255</v>
      </c>
      <c r="H240" t="s">
        <v>1250</v>
      </c>
      <c r="I240" t="s">
        <v>1256</v>
      </c>
      <c r="J240" t="s">
        <v>1257</v>
      </c>
      <c r="K240" t="s">
        <v>1258</v>
      </c>
      <c r="L240" t="s">
        <v>21</v>
      </c>
    </row>
    <row r="241" spans="1:12">
      <c r="A241">
        <v>265</v>
      </c>
      <c r="B241" t="s">
        <v>1259</v>
      </c>
      <c r="C241" t="s">
        <v>13</v>
      </c>
      <c r="D241" t="s">
        <v>13</v>
      </c>
      <c r="E241" t="s">
        <v>1260</v>
      </c>
      <c r="F241" t="s">
        <v>1233</v>
      </c>
      <c r="G241" t="s">
        <v>563</v>
      </c>
      <c r="H241" t="s">
        <v>1261</v>
      </c>
      <c r="I241" t="s">
        <v>1262</v>
      </c>
      <c r="J241" t="s">
        <v>1236</v>
      </c>
      <c r="K241" t="s">
        <v>1263</v>
      </c>
      <c r="L241" t="s">
        <v>36</v>
      </c>
    </row>
    <row r="242" spans="1:12">
      <c r="A242">
        <v>266</v>
      </c>
      <c r="B242" t="s">
        <v>1264</v>
      </c>
      <c r="C242" t="s">
        <v>13</v>
      </c>
      <c r="D242" t="s">
        <v>13</v>
      </c>
      <c r="E242" t="s">
        <v>1265</v>
      </c>
      <c r="F242" t="s">
        <v>1233</v>
      </c>
      <c r="G242" t="s">
        <v>356</v>
      </c>
      <c r="H242" t="s">
        <v>1266</v>
      </c>
      <c r="I242" t="s">
        <v>1267</v>
      </c>
      <c r="J242" t="s">
        <v>1268</v>
      </c>
      <c r="K242" t="s">
        <v>1269</v>
      </c>
      <c r="L242" t="s">
        <v>21</v>
      </c>
    </row>
    <row r="243" spans="1:12">
      <c r="A243">
        <v>267</v>
      </c>
      <c r="B243" t="s">
        <v>1270</v>
      </c>
      <c r="C243" t="s">
        <v>13</v>
      </c>
      <c r="D243" t="s">
        <v>13</v>
      </c>
      <c r="E243" t="s">
        <v>1271</v>
      </c>
      <c r="F243" t="s">
        <v>1233</v>
      </c>
      <c r="G243" t="s">
        <v>252</v>
      </c>
      <c r="H243" t="s">
        <v>1272</v>
      </c>
      <c r="I243" t="s">
        <v>1273</v>
      </c>
      <c r="J243" t="s">
        <v>1236</v>
      </c>
      <c r="K243" t="s">
        <v>1274</v>
      </c>
      <c r="L243" t="s">
        <v>36</v>
      </c>
    </row>
    <row r="244" spans="1:12">
      <c r="A244">
        <v>268</v>
      </c>
      <c r="B244" t="s">
        <v>1275</v>
      </c>
      <c r="C244" t="s">
        <v>13</v>
      </c>
      <c r="D244" t="s">
        <v>13</v>
      </c>
      <c r="E244" t="s">
        <v>1276</v>
      </c>
      <c r="F244" t="s">
        <v>1233</v>
      </c>
      <c r="G244" t="s">
        <v>801</v>
      </c>
      <c r="H244" t="s">
        <v>1277</v>
      </c>
      <c r="I244" t="s">
        <v>1278</v>
      </c>
      <c r="J244" t="s">
        <v>1236</v>
      </c>
      <c r="K244" t="s">
        <v>1279</v>
      </c>
      <c r="L244" t="s">
        <v>54</v>
      </c>
    </row>
    <row r="245" spans="1:12">
      <c r="A245">
        <v>269</v>
      </c>
      <c r="B245" t="s">
        <v>1280</v>
      </c>
      <c r="C245" t="s">
        <v>13</v>
      </c>
      <c r="D245" t="s">
        <v>13</v>
      </c>
      <c r="E245" t="s">
        <v>1281</v>
      </c>
      <c r="F245" t="s">
        <v>1233</v>
      </c>
      <c r="G245" t="s">
        <v>1282</v>
      </c>
      <c r="H245" t="s">
        <v>1283</v>
      </c>
      <c r="I245" t="s">
        <v>1284</v>
      </c>
      <c r="J245" t="s">
        <v>1285</v>
      </c>
      <c r="K245" t="s">
        <v>1286</v>
      </c>
      <c r="L245" t="s">
        <v>36</v>
      </c>
    </row>
    <row r="246" spans="1:12">
      <c r="A246">
        <v>270</v>
      </c>
      <c r="B246" t="s">
        <v>1287</v>
      </c>
      <c r="C246" t="s">
        <v>13</v>
      </c>
      <c r="D246" t="s">
        <v>13</v>
      </c>
      <c r="E246" t="s">
        <v>1288</v>
      </c>
      <c r="F246" t="s">
        <v>1233</v>
      </c>
      <c r="G246" t="s">
        <v>252</v>
      </c>
      <c r="H246" t="s">
        <v>1289</v>
      </c>
      <c r="I246" t="s">
        <v>1290</v>
      </c>
      <c r="J246" t="s">
        <v>1236</v>
      </c>
      <c r="K246" t="s">
        <v>1291</v>
      </c>
      <c r="L246" t="s">
        <v>21</v>
      </c>
    </row>
    <row r="247" spans="1:12">
      <c r="A247">
        <v>271</v>
      </c>
      <c r="B247" t="s">
        <v>1292</v>
      </c>
      <c r="C247" t="s">
        <v>13</v>
      </c>
      <c r="D247" t="s">
        <v>13</v>
      </c>
      <c r="E247" t="s">
        <v>1293</v>
      </c>
      <c r="F247" t="s">
        <v>1233</v>
      </c>
      <c r="G247" t="s">
        <v>31</v>
      </c>
      <c r="H247" t="s">
        <v>1294</v>
      </c>
      <c r="I247" t="s">
        <v>1295</v>
      </c>
      <c r="J247" t="s">
        <v>1236</v>
      </c>
      <c r="K247" t="s">
        <v>1296</v>
      </c>
      <c r="L247" t="s">
        <v>21</v>
      </c>
    </row>
    <row r="248" spans="1:12">
      <c r="A248">
        <v>272</v>
      </c>
      <c r="B248" t="s">
        <v>1297</v>
      </c>
      <c r="C248" t="s">
        <v>13</v>
      </c>
      <c r="D248" t="s">
        <v>13</v>
      </c>
      <c r="E248" t="s">
        <v>1298</v>
      </c>
      <c r="F248" t="s">
        <v>1233</v>
      </c>
      <c r="G248" t="s">
        <v>1299</v>
      </c>
      <c r="H248" t="s">
        <v>1233</v>
      </c>
      <c r="I248" t="s">
        <v>1300</v>
      </c>
      <c r="J248" t="s">
        <v>1236</v>
      </c>
      <c r="K248" t="s">
        <v>1301</v>
      </c>
      <c r="L248" t="s">
        <v>36</v>
      </c>
    </row>
    <row r="249" spans="1:12">
      <c r="A249">
        <v>273</v>
      </c>
      <c r="B249" t="s">
        <v>1302</v>
      </c>
      <c r="C249" t="s">
        <v>13</v>
      </c>
      <c r="D249" t="s">
        <v>13</v>
      </c>
      <c r="E249" t="s">
        <v>1303</v>
      </c>
      <c r="F249" t="s">
        <v>1233</v>
      </c>
      <c r="G249" t="s">
        <v>31</v>
      </c>
      <c r="H249" t="s">
        <v>1233</v>
      </c>
      <c r="I249" t="s">
        <v>1304</v>
      </c>
      <c r="J249" t="s">
        <v>1236</v>
      </c>
      <c r="K249" t="s">
        <v>1305</v>
      </c>
      <c r="L249" t="s">
        <v>21</v>
      </c>
    </row>
    <row r="250" spans="1:12">
      <c r="A250">
        <v>274</v>
      </c>
      <c r="B250" t="s">
        <v>1306</v>
      </c>
      <c r="C250" t="s">
        <v>13</v>
      </c>
      <c r="D250" t="s">
        <v>13</v>
      </c>
      <c r="E250" t="s">
        <v>1307</v>
      </c>
      <c r="F250" t="s">
        <v>1233</v>
      </c>
      <c r="G250" t="s">
        <v>138</v>
      </c>
      <c r="H250" t="s">
        <v>1308</v>
      </c>
      <c r="I250" t="s">
        <v>1309</v>
      </c>
      <c r="J250" t="s">
        <v>1310</v>
      </c>
      <c r="K250" t="s">
        <v>1311</v>
      </c>
      <c r="L250" t="s">
        <v>21</v>
      </c>
    </row>
    <row r="251" spans="1:12">
      <c r="A251">
        <v>275</v>
      </c>
      <c r="B251" t="s">
        <v>1059</v>
      </c>
      <c r="C251" t="s">
        <v>13</v>
      </c>
      <c r="D251" t="s">
        <v>13</v>
      </c>
      <c r="E251" t="s">
        <v>1060</v>
      </c>
      <c r="F251" t="s">
        <v>1233</v>
      </c>
      <c r="G251" t="s">
        <v>138</v>
      </c>
      <c r="H251" t="s">
        <v>1061</v>
      </c>
      <c r="I251" t="s">
        <v>1312</v>
      </c>
      <c r="J251" t="s">
        <v>1063</v>
      </c>
      <c r="K251" t="s">
        <v>1311</v>
      </c>
      <c r="L251" t="s">
        <v>21</v>
      </c>
    </row>
    <row r="252" spans="1:12">
      <c r="A252">
        <v>276</v>
      </c>
      <c r="B252" t="s">
        <v>1313</v>
      </c>
      <c r="C252" t="s">
        <v>13</v>
      </c>
      <c r="D252" t="s">
        <v>13</v>
      </c>
      <c r="E252" t="s">
        <v>1314</v>
      </c>
      <c r="F252" t="s">
        <v>1233</v>
      </c>
      <c r="G252" t="s">
        <v>31</v>
      </c>
      <c r="H252" t="s">
        <v>1233</v>
      </c>
      <c r="I252" t="s">
        <v>1315</v>
      </c>
      <c r="J252" t="s">
        <v>1236</v>
      </c>
      <c r="K252" t="s">
        <v>13</v>
      </c>
      <c r="L252" t="s">
        <v>36</v>
      </c>
    </row>
    <row r="253" spans="1:12">
      <c r="A253">
        <v>277</v>
      </c>
      <c r="B253" t="s">
        <v>1316</v>
      </c>
      <c r="C253" t="s">
        <v>195</v>
      </c>
      <c r="D253" t="s">
        <v>286</v>
      </c>
      <c r="E253" t="s">
        <v>732</v>
      </c>
      <c r="F253" t="s">
        <v>1233</v>
      </c>
      <c r="G253" t="s">
        <v>1029</v>
      </c>
      <c r="H253" t="s">
        <v>1317</v>
      </c>
      <c r="I253" t="s">
        <v>1318</v>
      </c>
      <c r="J253" t="s">
        <v>1319</v>
      </c>
      <c r="K253" t="s">
        <v>1320</v>
      </c>
      <c r="L253" t="s">
        <v>54</v>
      </c>
    </row>
    <row r="254" spans="1:12">
      <c r="A254">
        <v>278</v>
      </c>
      <c r="B254" t="s">
        <v>1321</v>
      </c>
      <c r="C254" t="s">
        <v>115</v>
      </c>
      <c r="D254" t="s">
        <v>211</v>
      </c>
      <c r="E254" t="s">
        <v>889</v>
      </c>
      <c r="F254" t="s">
        <v>1233</v>
      </c>
      <c r="G254" t="s">
        <v>138</v>
      </c>
      <c r="H254" t="s">
        <v>749</v>
      </c>
      <c r="I254" t="s">
        <v>1322</v>
      </c>
      <c r="J254" t="s">
        <v>1323</v>
      </c>
      <c r="K254" t="s">
        <v>1320</v>
      </c>
      <c r="L254" t="s">
        <v>54</v>
      </c>
    </row>
    <row r="255" spans="1:12">
      <c r="A255">
        <v>279</v>
      </c>
      <c r="B255" t="s">
        <v>1324</v>
      </c>
      <c r="C255" t="s">
        <v>1325</v>
      </c>
      <c r="D255" t="s">
        <v>57</v>
      </c>
      <c r="E255" t="s">
        <v>682</v>
      </c>
      <c r="F255" t="s">
        <v>1233</v>
      </c>
      <c r="G255" t="s">
        <v>1326</v>
      </c>
      <c r="H255" t="s">
        <v>1327</v>
      </c>
      <c r="I255" t="s">
        <v>1328</v>
      </c>
      <c r="J255" t="s">
        <v>1329</v>
      </c>
      <c r="K255" t="s">
        <v>1330</v>
      </c>
      <c r="L255" t="s">
        <v>54</v>
      </c>
    </row>
    <row r="256" spans="1:12">
      <c r="A256">
        <v>280</v>
      </c>
      <c r="B256" t="s">
        <v>1331</v>
      </c>
      <c r="C256" t="s">
        <v>298</v>
      </c>
      <c r="D256" t="s">
        <v>211</v>
      </c>
      <c r="E256" t="s">
        <v>1332</v>
      </c>
      <c r="F256" t="s">
        <v>1233</v>
      </c>
      <c r="G256" t="s">
        <v>489</v>
      </c>
      <c r="H256" t="s">
        <v>1333</v>
      </c>
      <c r="I256" t="s">
        <v>1334</v>
      </c>
      <c r="J256" t="s">
        <v>1236</v>
      </c>
      <c r="K256" t="s">
        <v>1335</v>
      </c>
      <c r="L256" t="s">
        <v>36</v>
      </c>
    </row>
    <row r="257" spans="1:12">
      <c r="A257">
        <v>281</v>
      </c>
      <c r="B257" t="s">
        <v>1336</v>
      </c>
      <c r="C257" t="s">
        <v>13</v>
      </c>
      <c r="D257" t="s">
        <v>13</v>
      </c>
      <c r="E257" t="s">
        <v>1303</v>
      </c>
      <c r="F257" t="s">
        <v>1233</v>
      </c>
      <c r="G257" t="s">
        <v>801</v>
      </c>
      <c r="H257" t="s">
        <v>1233</v>
      </c>
      <c r="I257" t="s">
        <v>1337</v>
      </c>
      <c r="J257" t="s">
        <v>1236</v>
      </c>
      <c r="K257" t="s">
        <v>1338</v>
      </c>
      <c r="L257" t="s">
        <v>21</v>
      </c>
    </row>
    <row r="258" spans="1:12">
      <c r="A258">
        <v>282</v>
      </c>
      <c r="B258" t="s">
        <v>1339</v>
      </c>
      <c r="C258" t="s">
        <v>13</v>
      </c>
      <c r="D258" t="s">
        <v>13</v>
      </c>
      <c r="E258" t="s">
        <v>1340</v>
      </c>
      <c r="F258" t="s">
        <v>1233</v>
      </c>
      <c r="G258" t="s">
        <v>1341</v>
      </c>
      <c r="H258" t="s">
        <v>1342</v>
      </c>
      <c r="I258" t="s">
        <v>1343</v>
      </c>
      <c r="J258" t="s">
        <v>1236</v>
      </c>
      <c r="K258" t="s">
        <v>1344</v>
      </c>
      <c r="L258" t="s">
        <v>21</v>
      </c>
    </row>
    <row r="259" spans="1:12">
      <c r="A259">
        <v>283</v>
      </c>
      <c r="B259" t="s">
        <v>1345</v>
      </c>
      <c r="C259" t="s">
        <v>13</v>
      </c>
      <c r="D259" t="s">
        <v>13</v>
      </c>
      <c r="E259" t="s">
        <v>1346</v>
      </c>
      <c r="F259" t="s">
        <v>1233</v>
      </c>
      <c r="G259" t="s">
        <v>919</v>
      </c>
      <c r="H259" t="s">
        <v>1266</v>
      </c>
      <c r="I259" t="s">
        <v>1347</v>
      </c>
      <c r="J259" t="s">
        <v>1348</v>
      </c>
      <c r="K259" t="s">
        <v>1349</v>
      </c>
      <c r="L259" t="s">
        <v>54</v>
      </c>
    </row>
    <row r="260" spans="1:12">
      <c r="A260">
        <v>284</v>
      </c>
      <c r="B260" t="s">
        <v>1350</v>
      </c>
      <c r="C260" t="s">
        <v>13</v>
      </c>
      <c r="D260" t="s">
        <v>13</v>
      </c>
      <c r="E260" t="s">
        <v>1307</v>
      </c>
      <c r="F260" t="s">
        <v>1233</v>
      </c>
      <c r="G260" t="s">
        <v>138</v>
      </c>
      <c r="H260" t="s">
        <v>1308</v>
      </c>
      <c r="I260" t="s">
        <v>1351</v>
      </c>
      <c r="J260" t="s">
        <v>1310</v>
      </c>
      <c r="K260" t="s">
        <v>1311</v>
      </c>
      <c r="L260" t="s">
        <v>21</v>
      </c>
    </row>
    <row r="261" spans="1:12">
      <c r="A261">
        <v>285</v>
      </c>
      <c r="B261" t="s">
        <v>1352</v>
      </c>
      <c r="C261" t="s">
        <v>325</v>
      </c>
      <c r="D261" t="s">
        <v>57</v>
      </c>
      <c r="E261" t="s">
        <v>1353</v>
      </c>
      <c r="F261" t="s">
        <v>1233</v>
      </c>
      <c r="G261" t="s">
        <v>581</v>
      </c>
      <c r="H261" t="s">
        <v>1354</v>
      </c>
      <c r="I261" t="s">
        <v>1355</v>
      </c>
      <c r="J261" t="s">
        <v>1356</v>
      </c>
      <c r="K261" t="s">
        <v>1357</v>
      </c>
      <c r="L261" t="s">
        <v>54</v>
      </c>
    </row>
    <row r="262" spans="1:12">
      <c r="A262">
        <v>286</v>
      </c>
      <c r="B262" t="s">
        <v>1358</v>
      </c>
      <c r="C262" t="s">
        <v>13</v>
      </c>
      <c r="D262" t="s">
        <v>13</v>
      </c>
      <c r="E262" t="s">
        <v>387</v>
      </c>
      <c r="F262" t="s">
        <v>1233</v>
      </c>
      <c r="G262" t="s">
        <v>489</v>
      </c>
      <c r="H262" t="s">
        <v>1359</v>
      </c>
      <c r="I262" t="s">
        <v>1360</v>
      </c>
      <c r="J262" t="s">
        <v>79</v>
      </c>
      <c r="K262" t="s">
        <v>1361</v>
      </c>
      <c r="L262" t="s">
        <v>21</v>
      </c>
    </row>
    <row r="263" spans="1:12">
      <c r="A263">
        <v>287</v>
      </c>
      <c r="B263" t="s">
        <v>1362</v>
      </c>
      <c r="C263" t="s">
        <v>195</v>
      </c>
      <c r="D263" t="s">
        <v>286</v>
      </c>
      <c r="E263" t="s">
        <v>732</v>
      </c>
      <c r="F263" t="s">
        <v>1233</v>
      </c>
      <c r="G263" t="s">
        <v>1363</v>
      </c>
      <c r="H263" t="s">
        <v>1317</v>
      </c>
      <c r="I263" t="s">
        <v>1364</v>
      </c>
      <c r="J263" t="s">
        <v>1319</v>
      </c>
      <c r="K263" t="s">
        <v>1320</v>
      </c>
      <c r="L263" t="s">
        <v>54</v>
      </c>
    </row>
    <row r="264" spans="1:12">
      <c r="A264">
        <v>288</v>
      </c>
      <c r="B264" t="s">
        <v>1365</v>
      </c>
      <c r="C264" t="s">
        <v>115</v>
      </c>
      <c r="D264" t="s">
        <v>211</v>
      </c>
      <c r="E264" t="s">
        <v>889</v>
      </c>
      <c r="F264" t="s">
        <v>1233</v>
      </c>
      <c r="G264" t="s">
        <v>138</v>
      </c>
      <c r="H264" t="s">
        <v>1366</v>
      </c>
      <c r="I264" t="s">
        <v>1367</v>
      </c>
      <c r="J264" t="s">
        <v>1319</v>
      </c>
      <c r="K264" t="s">
        <v>1368</v>
      </c>
      <c r="L264" t="s">
        <v>54</v>
      </c>
    </row>
    <row r="265" spans="1:12">
      <c r="A265">
        <v>289</v>
      </c>
      <c r="B265" t="s">
        <v>1369</v>
      </c>
      <c r="C265" t="s">
        <v>331</v>
      </c>
      <c r="D265" t="s">
        <v>286</v>
      </c>
      <c r="E265" t="s">
        <v>682</v>
      </c>
      <c r="F265" t="s">
        <v>1233</v>
      </c>
      <c r="G265" t="s">
        <v>1370</v>
      </c>
      <c r="H265" t="s">
        <v>1371</v>
      </c>
      <c r="I265" t="s">
        <v>1372</v>
      </c>
      <c r="J265" t="s">
        <v>1373</v>
      </c>
      <c r="K265" t="s">
        <v>1374</v>
      </c>
      <c r="L265" t="s">
        <v>54</v>
      </c>
    </row>
    <row r="266" spans="1:12">
      <c r="A266">
        <v>290</v>
      </c>
      <c r="B266" t="s">
        <v>1375</v>
      </c>
      <c r="C266" t="s">
        <v>298</v>
      </c>
      <c r="D266" t="s">
        <v>286</v>
      </c>
      <c r="E266" t="s">
        <v>185</v>
      </c>
      <c r="F266" t="s">
        <v>1233</v>
      </c>
      <c r="G266" t="s">
        <v>1094</v>
      </c>
      <c r="H266" t="s">
        <v>1376</v>
      </c>
      <c r="I266" t="s">
        <v>1377</v>
      </c>
      <c r="J266" t="s">
        <v>1373</v>
      </c>
      <c r="K266" t="s">
        <v>1378</v>
      </c>
      <c r="L266" t="s">
        <v>21</v>
      </c>
    </row>
    <row r="267" spans="1:12">
      <c r="A267">
        <v>291</v>
      </c>
      <c r="B267" t="s">
        <v>1379</v>
      </c>
      <c r="C267" t="s">
        <v>195</v>
      </c>
      <c r="D267" t="s">
        <v>66</v>
      </c>
      <c r="E267" t="s">
        <v>494</v>
      </c>
      <c r="F267" t="s">
        <v>1233</v>
      </c>
      <c r="G267" t="s">
        <v>489</v>
      </c>
      <c r="H267" t="s">
        <v>490</v>
      </c>
      <c r="I267" t="s">
        <v>1380</v>
      </c>
      <c r="J267" t="s">
        <v>345</v>
      </c>
      <c r="K267" t="s">
        <v>1381</v>
      </c>
      <c r="L267" t="s">
        <v>21</v>
      </c>
    </row>
    <row r="268" spans="1:12">
      <c r="A268">
        <v>292</v>
      </c>
      <c r="B268" t="s">
        <v>1382</v>
      </c>
      <c r="C268" t="s">
        <v>13</v>
      </c>
      <c r="D268" t="s">
        <v>13</v>
      </c>
      <c r="E268" t="s">
        <v>123</v>
      </c>
      <c r="F268" t="s">
        <v>1233</v>
      </c>
      <c r="G268" t="s">
        <v>213</v>
      </c>
      <c r="H268" t="s">
        <v>1233</v>
      </c>
      <c r="I268" t="s">
        <v>1383</v>
      </c>
      <c r="J268" t="s">
        <v>1384</v>
      </c>
      <c r="K268" t="s">
        <v>1385</v>
      </c>
      <c r="L268" t="s">
        <v>21</v>
      </c>
    </row>
    <row r="269" spans="1:12">
      <c r="A269">
        <v>293</v>
      </c>
      <c r="B269" t="s">
        <v>1386</v>
      </c>
      <c r="C269" t="s">
        <v>107</v>
      </c>
      <c r="D269" t="s">
        <v>158</v>
      </c>
      <c r="E269" t="s">
        <v>1387</v>
      </c>
      <c r="F269" t="s">
        <v>1233</v>
      </c>
      <c r="G269" t="s">
        <v>827</v>
      </c>
      <c r="H269" t="s">
        <v>1388</v>
      </c>
      <c r="I269" t="s">
        <v>1389</v>
      </c>
      <c r="J269" t="s">
        <v>830</v>
      </c>
      <c r="K269" t="s">
        <v>1381</v>
      </c>
      <c r="L269" t="s">
        <v>21</v>
      </c>
    </row>
    <row r="270" spans="1:12">
      <c r="A270">
        <v>294</v>
      </c>
      <c r="B270" t="s">
        <v>1390</v>
      </c>
      <c r="C270" t="s">
        <v>56</v>
      </c>
      <c r="D270" t="s">
        <v>267</v>
      </c>
      <c r="E270" t="s">
        <v>1391</v>
      </c>
      <c r="F270" t="s">
        <v>1233</v>
      </c>
      <c r="G270" t="s">
        <v>1392</v>
      </c>
      <c r="H270" t="s">
        <v>1393</v>
      </c>
      <c r="I270" t="s">
        <v>1394</v>
      </c>
      <c r="J270" t="s">
        <v>997</v>
      </c>
      <c r="K270" t="s">
        <v>1381</v>
      </c>
      <c r="L270" t="s">
        <v>21</v>
      </c>
    </row>
    <row r="271" spans="1:12">
      <c r="A271">
        <v>295</v>
      </c>
      <c r="B271" t="s">
        <v>1395</v>
      </c>
      <c r="C271" t="s">
        <v>158</v>
      </c>
      <c r="D271" t="s">
        <v>13</v>
      </c>
      <c r="E271" t="s">
        <v>1396</v>
      </c>
      <c r="F271" t="s">
        <v>1233</v>
      </c>
      <c r="G271" t="s">
        <v>1199</v>
      </c>
      <c r="H271" t="s">
        <v>1233</v>
      </c>
      <c r="I271" t="s">
        <v>1397</v>
      </c>
      <c r="J271" t="s">
        <v>1398</v>
      </c>
      <c r="K271" t="s">
        <v>1381</v>
      </c>
      <c r="L271" t="s">
        <v>36</v>
      </c>
    </row>
    <row r="272" spans="1:12">
      <c r="A272">
        <v>296</v>
      </c>
      <c r="B272" t="s">
        <v>1399</v>
      </c>
      <c r="C272" t="s">
        <v>633</v>
      </c>
      <c r="D272" t="s">
        <v>286</v>
      </c>
      <c r="E272" t="s">
        <v>591</v>
      </c>
      <c r="F272" t="s">
        <v>1233</v>
      </c>
      <c r="G272" t="s">
        <v>1400</v>
      </c>
      <c r="H272" t="s">
        <v>828</v>
      </c>
      <c r="I272" t="s">
        <v>1401</v>
      </c>
      <c r="J272" t="s">
        <v>1402</v>
      </c>
      <c r="K272" t="s">
        <v>1403</v>
      </c>
      <c r="L272" t="s">
        <v>21</v>
      </c>
    </row>
    <row r="273" spans="1:12">
      <c r="A273">
        <v>298</v>
      </c>
      <c r="B273" t="s">
        <v>1404</v>
      </c>
      <c r="C273" t="s">
        <v>298</v>
      </c>
      <c r="D273" t="s">
        <v>260</v>
      </c>
      <c r="E273" t="s">
        <v>966</v>
      </c>
      <c r="F273" t="s">
        <v>1233</v>
      </c>
      <c r="G273" t="s">
        <v>1405</v>
      </c>
      <c r="H273" t="s">
        <v>1233</v>
      </c>
      <c r="I273" t="s">
        <v>1406</v>
      </c>
      <c r="J273" t="s">
        <v>1373</v>
      </c>
      <c r="K273" t="s">
        <v>1407</v>
      </c>
      <c r="L273" t="s">
        <v>21</v>
      </c>
    </row>
    <row r="274" spans="1:12">
      <c r="A274">
        <v>299</v>
      </c>
      <c r="B274" t="s">
        <v>1408</v>
      </c>
      <c r="C274" t="s">
        <v>1129</v>
      </c>
      <c r="D274" t="s">
        <v>260</v>
      </c>
      <c r="E274" t="s">
        <v>1409</v>
      </c>
      <c r="F274" t="s">
        <v>1233</v>
      </c>
      <c r="G274" t="s">
        <v>280</v>
      </c>
      <c r="H274" t="s">
        <v>1410</v>
      </c>
      <c r="I274" t="s">
        <v>1411</v>
      </c>
      <c r="J274" t="s">
        <v>1412</v>
      </c>
      <c r="K274" t="s">
        <v>13</v>
      </c>
      <c r="L274" t="s">
        <v>54</v>
      </c>
    </row>
    <row r="275" spans="1:12">
      <c r="A275">
        <v>300</v>
      </c>
      <c r="B275" t="s">
        <v>1413</v>
      </c>
      <c r="C275" t="s">
        <v>91</v>
      </c>
      <c r="D275" t="s">
        <v>267</v>
      </c>
      <c r="E275" t="s">
        <v>1409</v>
      </c>
      <c r="F275" t="s">
        <v>1233</v>
      </c>
      <c r="G275" t="s">
        <v>85</v>
      </c>
      <c r="H275" t="s">
        <v>1388</v>
      </c>
      <c r="I275" t="s">
        <v>1414</v>
      </c>
      <c r="J275" t="s">
        <v>1415</v>
      </c>
      <c r="K275" t="s">
        <v>1416</v>
      </c>
      <c r="L275" t="s">
        <v>54</v>
      </c>
    </row>
    <row r="276" spans="1:12">
      <c r="A276">
        <v>302</v>
      </c>
      <c r="B276" t="s">
        <v>1417</v>
      </c>
      <c r="C276" t="s">
        <v>56</v>
      </c>
      <c r="D276" t="s">
        <v>57</v>
      </c>
      <c r="E276" t="s">
        <v>1409</v>
      </c>
      <c r="F276" t="s">
        <v>1233</v>
      </c>
      <c r="G276" t="s">
        <v>1418</v>
      </c>
      <c r="H276" t="s">
        <v>1233</v>
      </c>
      <c r="I276" t="s">
        <v>1419</v>
      </c>
      <c r="J276" t="s">
        <v>1420</v>
      </c>
      <c r="K276" t="s">
        <v>1421</v>
      </c>
      <c r="L276" t="s">
        <v>21</v>
      </c>
    </row>
    <row r="277" spans="1:12">
      <c r="A277">
        <v>303</v>
      </c>
      <c r="B277" t="s">
        <v>1422</v>
      </c>
      <c r="C277" t="s">
        <v>74</v>
      </c>
      <c r="D277" t="s">
        <v>66</v>
      </c>
      <c r="E277" t="s">
        <v>600</v>
      </c>
      <c r="F277" t="s">
        <v>1233</v>
      </c>
      <c r="G277" t="s">
        <v>581</v>
      </c>
      <c r="H277" t="s">
        <v>1277</v>
      </c>
      <c r="I277" t="s">
        <v>1423</v>
      </c>
      <c r="J277" t="s">
        <v>345</v>
      </c>
      <c r="K277" t="s">
        <v>1424</v>
      </c>
      <c r="L277" t="s">
        <v>21</v>
      </c>
    </row>
    <row r="278" spans="1:12">
      <c r="A278">
        <v>305</v>
      </c>
      <c r="B278" t="s">
        <v>1425</v>
      </c>
      <c r="C278" t="s">
        <v>74</v>
      </c>
      <c r="D278" t="s">
        <v>267</v>
      </c>
      <c r="E278" t="s">
        <v>1426</v>
      </c>
      <c r="F278" t="s">
        <v>1233</v>
      </c>
      <c r="G278" t="s">
        <v>1179</v>
      </c>
      <c r="H278" t="s">
        <v>1427</v>
      </c>
      <c r="I278" t="s">
        <v>1428</v>
      </c>
      <c r="J278" t="s">
        <v>1429</v>
      </c>
      <c r="K278" t="s">
        <v>1430</v>
      </c>
      <c r="L278" t="s">
        <v>54</v>
      </c>
    </row>
    <row r="279" spans="1:12">
      <c r="A279">
        <v>306</v>
      </c>
      <c r="B279" t="s">
        <v>1431</v>
      </c>
      <c r="C279" t="s">
        <v>362</v>
      </c>
      <c r="D279" t="s">
        <v>66</v>
      </c>
      <c r="E279" t="s">
        <v>341</v>
      </c>
      <c r="F279" t="s">
        <v>1233</v>
      </c>
      <c r="G279" t="s">
        <v>1400</v>
      </c>
      <c r="H279" t="s">
        <v>1432</v>
      </c>
      <c r="I279" t="s">
        <v>1433</v>
      </c>
      <c r="J279" t="s">
        <v>1434</v>
      </c>
      <c r="K279" t="s">
        <v>1435</v>
      </c>
      <c r="L279" t="s">
        <v>36</v>
      </c>
    </row>
    <row r="280" spans="1:12">
      <c r="A280">
        <v>307</v>
      </c>
      <c r="B280" t="s">
        <v>1436</v>
      </c>
      <c r="C280" t="s">
        <v>246</v>
      </c>
      <c r="D280" t="s">
        <v>39</v>
      </c>
      <c r="E280" t="s">
        <v>235</v>
      </c>
      <c r="F280" t="s">
        <v>1233</v>
      </c>
      <c r="G280" t="s">
        <v>1437</v>
      </c>
      <c r="H280" t="s">
        <v>1388</v>
      </c>
      <c r="I280" t="s">
        <v>1438</v>
      </c>
      <c r="J280" t="s">
        <v>1373</v>
      </c>
      <c r="K280" t="s">
        <v>1407</v>
      </c>
      <c r="L280" t="s">
        <v>21</v>
      </c>
    </row>
    <row r="281" spans="1:12">
      <c r="A281">
        <v>308</v>
      </c>
      <c r="B281" t="s">
        <v>1439</v>
      </c>
      <c r="C281" t="s">
        <v>218</v>
      </c>
      <c r="D281" t="s">
        <v>267</v>
      </c>
      <c r="E281" t="s">
        <v>166</v>
      </c>
      <c r="F281" t="s">
        <v>1233</v>
      </c>
      <c r="G281" t="s">
        <v>827</v>
      </c>
      <c r="H281" t="s">
        <v>1388</v>
      </c>
      <c r="I281" t="s">
        <v>1440</v>
      </c>
      <c r="J281" t="s">
        <v>1441</v>
      </c>
      <c r="K281" t="s">
        <v>1442</v>
      </c>
      <c r="L281" t="s">
        <v>36</v>
      </c>
    </row>
    <row r="282" spans="1:12">
      <c r="A282">
        <v>309</v>
      </c>
      <c r="B282" t="s">
        <v>1443</v>
      </c>
      <c r="C282" t="s">
        <v>46</v>
      </c>
      <c r="D282" t="s">
        <v>47</v>
      </c>
      <c r="E282" t="s">
        <v>235</v>
      </c>
      <c r="F282" t="s">
        <v>1233</v>
      </c>
      <c r="G282" t="s">
        <v>1405</v>
      </c>
      <c r="H282" t="s">
        <v>1233</v>
      </c>
      <c r="I282" t="s">
        <v>1444</v>
      </c>
      <c r="J282" t="s">
        <v>1373</v>
      </c>
      <c r="K282" t="s">
        <v>1445</v>
      </c>
      <c r="L282" t="s">
        <v>21</v>
      </c>
    </row>
    <row r="283" spans="1:12">
      <c r="A283">
        <v>310</v>
      </c>
      <c r="B283" t="s">
        <v>1446</v>
      </c>
      <c r="C283" t="s">
        <v>82</v>
      </c>
      <c r="D283" t="s">
        <v>260</v>
      </c>
      <c r="E283" t="s">
        <v>1447</v>
      </c>
      <c r="F283" t="s">
        <v>1448</v>
      </c>
      <c r="G283" t="s">
        <v>1449</v>
      </c>
      <c r="H283" t="s">
        <v>1450</v>
      </c>
      <c r="I283" t="s">
        <v>1451</v>
      </c>
      <c r="J283" t="s">
        <v>1452</v>
      </c>
      <c r="K283" t="s">
        <v>1453</v>
      </c>
      <c r="L283" t="s">
        <v>36</v>
      </c>
    </row>
    <row r="284" spans="1:12">
      <c r="A284">
        <v>311</v>
      </c>
      <c r="B284" t="s">
        <v>1454</v>
      </c>
      <c r="C284" t="s">
        <v>13</v>
      </c>
      <c r="D284" t="s">
        <v>13</v>
      </c>
      <c r="E284" t="s">
        <v>1455</v>
      </c>
      <c r="F284" t="s">
        <v>1448</v>
      </c>
      <c r="G284" t="s">
        <v>1456</v>
      </c>
      <c r="H284" t="s">
        <v>1457</v>
      </c>
      <c r="I284" t="s">
        <v>1458</v>
      </c>
      <c r="J284" t="s">
        <v>1459</v>
      </c>
      <c r="K284" t="s">
        <v>1460</v>
      </c>
      <c r="L284" t="s">
        <v>54</v>
      </c>
    </row>
    <row r="285" spans="1:12">
      <c r="A285">
        <v>312</v>
      </c>
      <c r="B285" t="s">
        <v>1461</v>
      </c>
      <c r="C285" t="s">
        <v>13</v>
      </c>
      <c r="D285" t="s">
        <v>13</v>
      </c>
      <c r="E285" t="s">
        <v>1462</v>
      </c>
      <c r="F285" t="s">
        <v>1448</v>
      </c>
      <c r="G285" t="s">
        <v>1463</v>
      </c>
      <c r="H285" t="s">
        <v>1464</v>
      </c>
      <c r="I285" t="s">
        <v>1465</v>
      </c>
      <c r="J285" t="s">
        <v>1466</v>
      </c>
      <c r="K285" t="s">
        <v>1467</v>
      </c>
      <c r="L285" t="s">
        <v>21</v>
      </c>
    </row>
    <row r="286" spans="1:12">
      <c r="A286">
        <v>313</v>
      </c>
      <c r="B286" t="s">
        <v>1468</v>
      </c>
      <c r="C286" t="s">
        <v>65</v>
      </c>
      <c r="D286" t="s">
        <v>66</v>
      </c>
      <c r="E286" t="s">
        <v>1469</v>
      </c>
      <c r="F286" t="s">
        <v>1448</v>
      </c>
      <c r="G286" t="s">
        <v>1470</v>
      </c>
      <c r="H286" t="s">
        <v>1471</v>
      </c>
      <c r="I286" t="s">
        <v>1472</v>
      </c>
      <c r="J286" t="s">
        <v>1473</v>
      </c>
      <c r="K286" t="s">
        <v>1474</v>
      </c>
      <c r="L286" t="s">
        <v>21</v>
      </c>
    </row>
    <row r="287" spans="1:12">
      <c r="A287">
        <v>314</v>
      </c>
      <c r="B287" t="s">
        <v>1475</v>
      </c>
      <c r="C287" t="s">
        <v>46</v>
      </c>
      <c r="D287" t="s">
        <v>260</v>
      </c>
      <c r="E287" t="s">
        <v>1476</v>
      </c>
      <c r="F287" t="s">
        <v>1448</v>
      </c>
      <c r="G287" t="s">
        <v>1477</v>
      </c>
      <c r="H287" t="s">
        <v>1478</v>
      </c>
      <c r="I287" t="s">
        <v>1479</v>
      </c>
      <c r="J287" t="s">
        <v>1480</v>
      </c>
      <c r="K287" t="s">
        <v>1481</v>
      </c>
      <c r="L287" t="s">
        <v>21</v>
      </c>
    </row>
    <row r="288" spans="1:12">
      <c r="A288">
        <v>315</v>
      </c>
      <c r="B288" t="s">
        <v>1482</v>
      </c>
      <c r="C288" t="s">
        <v>200</v>
      </c>
      <c r="D288" t="s">
        <v>39</v>
      </c>
      <c r="E288" t="s">
        <v>1483</v>
      </c>
      <c r="F288" t="s">
        <v>1448</v>
      </c>
      <c r="G288" t="s">
        <v>356</v>
      </c>
      <c r="H288" t="s">
        <v>1484</v>
      </c>
      <c r="I288" t="s">
        <v>1485</v>
      </c>
      <c r="J288" t="s">
        <v>1486</v>
      </c>
      <c r="K288" t="s">
        <v>13</v>
      </c>
      <c r="L288" t="s">
        <v>54</v>
      </c>
    </row>
    <row r="289" spans="1:12">
      <c r="A289">
        <v>316</v>
      </c>
      <c r="B289" t="s">
        <v>1487</v>
      </c>
      <c r="C289" t="s">
        <v>13</v>
      </c>
      <c r="D289" t="s">
        <v>13</v>
      </c>
      <c r="E289" t="s">
        <v>1066</v>
      </c>
      <c r="F289" t="s">
        <v>1448</v>
      </c>
      <c r="G289" t="s">
        <v>1488</v>
      </c>
      <c r="H289" t="s">
        <v>1489</v>
      </c>
      <c r="I289" t="s">
        <v>1490</v>
      </c>
      <c r="J289" t="s">
        <v>1491</v>
      </c>
      <c r="K289" t="s">
        <v>1492</v>
      </c>
      <c r="L289" t="s">
        <v>36</v>
      </c>
    </row>
    <row r="290" spans="1:12">
      <c r="A290">
        <v>317</v>
      </c>
      <c r="B290" t="s">
        <v>1493</v>
      </c>
      <c r="C290" t="s">
        <v>13</v>
      </c>
      <c r="D290" t="s">
        <v>13</v>
      </c>
      <c r="E290" t="s">
        <v>1494</v>
      </c>
      <c r="F290" t="s">
        <v>1448</v>
      </c>
      <c r="G290" t="s">
        <v>31</v>
      </c>
      <c r="H290" t="s">
        <v>1478</v>
      </c>
      <c r="I290" t="s">
        <v>1495</v>
      </c>
      <c r="J290" t="s">
        <v>1496</v>
      </c>
      <c r="K290" t="s">
        <v>1497</v>
      </c>
      <c r="L290" t="s">
        <v>21</v>
      </c>
    </row>
    <row r="291" spans="1:12">
      <c r="A291">
        <v>318</v>
      </c>
      <c r="B291" t="s">
        <v>1498</v>
      </c>
      <c r="C291" t="s">
        <v>13</v>
      </c>
      <c r="D291" t="s">
        <v>13</v>
      </c>
      <c r="E291" t="s">
        <v>1109</v>
      </c>
      <c r="F291" t="s">
        <v>1448</v>
      </c>
      <c r="G291" t="s">
        <v>1199</v>
      </c>
      <c r="H291" t="s">
        <v>1478</v>
      </c>
      <c r="I291" t="s">
        <v>1499</v>
      </c>
      <c r="J291" t="s">
        <v>1480</v>
      </c>
      <c r="K291" t="s">
        <v>13</v>
      </c>
      <c r="L291" t="s">
        <v>54</v>
      </c>
    </row>
    <row r="292" spans="1:12">
      <c r="A292">
        <v>319</v>
      </c>
      <c r="B292" t="s">
        <v>1500</v>
      </c>
      <c r="C292" t="s">
        <v>580</v>
      </c>
      <c r="D292" t="s">
        <v>267</v>
      </c>
      <c r="E292" t="s">
        <v>1501</v>
      </c>
      <c r="F292" t="s">
        <v>1448</v>
      </c>
      <c r="G292" t="s">
        <v>175</v>
      </c>
      <c r="H292" t="s">
        <v>1489</v>
      </c>
      <c r="I292" t="s">
        <v>1502</v>
      </c>
      <c r="J292" t="s">
        <v>1503</v>
      </c>
      <c r="K292" t="s">
        <v>1504</v>
      </c>
      <c r="L292" t="s">
        <v>21</v>
      </c>
    </row>
    <row r="293" spans="1:12">
      <c r="A293">
        <v>320</v>
      </c>
      <c r="B293" t="s">
        <v>1505</v>
      </c>
      <c r="C293" t="s">
        <v>13</v>
      </c>
      <c r="D293" t="s">
        <v>13</v>
      </c>
      <c r="E293" t="s">
        <v>947</v>
      </c>
      <c r="F293" t="s">
        <v>1448</v>
      </c>
      <c r="G293" t="s">
        <v>313</v>
      </c>
      <c r="H293" t="s">
        <v>1478</v>
      </c>
      <c r="I293" t="s">
        <v>1506</v>
      </c>
      <c r="J293" t="s">
        <v>1507</v>
      </c>
      <c r="K293" t="s">
        <v>1508</v>
      </c>
      <c r="L293" t="s">
        <v>21</v>
      </c>
    </row>
    <row r="294" spans="1:12">
      <c r="A294">
        <v>321</v>
      </c>
      <c r="B294" t="s">
        <v>1509</v>
      </c>
      <c r="C294" t="s">
        <v>580</v>
      </c>
      <c r="D294" t="s">
        <v>173</v>
      </c>
      <c r="E294" t="s">
        <v>411</v>
      </c>
      <c r="F294" t="s">
        <v>1448</v>
      </c>
      <c r="G294" t="s">
        <v>356</v>
      </c>
      <c r="H294" t="s">
        <v>1510</v>
      </c>
      <c r="I294" t="s">
        <v>1511</v>
      </c>
      <c r="J294" t="s">
        <v>1512</v>
      </c>
      <c r="K294" t="s">
        <v>1513</v>
      </c>
      <c r="L294" t="s">
        <v>54</v>
      </c>
    </row>
    <row r="295" spans="1:12">
      <c r="A295">
        <v>322</v>
      </c>
      <c r="B295" t="s">
        <v>1514</v>
      </c>
      <c r="C295" t="s">
        <v>13</v>
      </c>
      <c r="D295" t="s">
        <v>13</v>
      </c>
      <c r="E295" t="s">
        <v>411</v>
      </c>
      <c r="F295" t="s">
        <v>1448</v>
      </c>
      <c r="G295" t="s">
        <v>356</v>
      </c>
      <c r="H295" t="s">
        <v>1515</v>
      </c>
      <c r="I295" t="s">
        <v>1516</v>
      </c>
      <c r="J295" t="s">
        <v>1517</v>
      </c>
      <c r="K295" t="s">
        <v>1518</v>
      </c>
      <c r="L295" t="s">
        <v>21</v>
      </c>
    </row>
    <row r="296" spans="1:12">
      <c r="A296">
        <v>323</v>
      </c>
      <c r="B296" t="s">
        <v>1519</v>
      </c>
      <c r="C296" t="s">
        <v>65</v>
      </c>
      <c r="D296" t="s">
        <v>286</v>
      </c>
      <c r="E296" t="s">
        <v>1117</v>
      </c>
      <c r="F296" t="s">
        <v>1448</v>
      </c>
      <c r="G296" t="s">
        <v>356</v>
      </c>
      <c r="H296" t="s">
        <v>1520</v>
      </c>
      <c r="I296" t="s">
        <v>1521</v>
      </c>
      <c r="J296" t="s">
        <v>1522</v>
      </c>
      <c r="K296" t="s">
        <v>1523</v>
      </c>
      <c r="L296" t="s">
        <v>36</v>
      </c>
    </row>
    <row r="297" spans="1:12">
      <c r="A297">
        <v>324</v>
      </c>
      <c r="B297" t="s">
        <v>1524</v>
      </c>
      <c r="C297" t="s">
        <v>107</v>
      </c>
      <c r="D297" t="s">
        <v>100</v>
      </c>
      <c r="E297" t="s">
        <v>1525</v>
      </c>
      <c r="F297" t="s">
        <v>1448</v>
      </c>
      <c r="G297" t="s">
        <v>376</v>
      </c>
      <c r="H297" t="s">
        <v>1526</v>
      </c>
      <c r="I297" t="s">
        <v>1527</v>
      </c>
      <c r="J297" t="s">
        <v>1528</v>
      </c>
      <c r="K297" t="s">
        <v>1529</v>
      </c>
      <c r="L297" t="s">
        <v>54</v>
      </c>
    </row>
    <row r="298" spans="1:12">
      <c r="A298">
        <v>325</v>
      </c>
      <c r="B298" t="s">
        <v>1530</v>
      </c>
      <c r="C298" t="s">
        <v>246</v>
      </c>
      <c r="D298" t="s">
        <v>57</v>
      </c>
      <c r="E298" t="s">
        <v>1531</v>
      </c>
      <c r="F298" t="s">
        <v>1448</v>
      </c>
      <c r="G298" t="s">
        <v>1532</v>
      </c>
      <c r="H298" t="s">
        <v>1533</v>
      </c>
      <c r="I298" t="s">
        <v>1534</v>
      </c>
      <c r="J298" t="s">
        <v>1535</v>
      </c>
      <c r="K298" t="s">
        <v>1536</v>
      </c>
      <c r="L298" t="s">
        <v>36</v>
      </c>
    </row>
    <row r="299" spans="1:12">
      <c r="A299">
        <v>326</v>
      </c>
      <c r="B299" t="s">
        <v>1537</v>
      </c>
      <c r="C299" t="s">
        <v>13</v>
      </c>
      <c r="D299" t="s">
        <v>13</v>
      </c>
      <c r="E299" t="s">
        <v>1538</v>
      </c>
      <c r="F299" t="s">
        <v>1448</v>
      </c>
      <c r="G299" t="s">
        <v>1488</v>
      </c>
      <c r="H299" t="s">
        <v>1539</v>
      </c>
      <c r="I299" t="s">
        <v>1540</v>
      </c>
      <c r="J299" t="s">
        <v>1541</v>
      </c>
      <c r="K299" t="s">
        <v>1542</v>
      </c>
      <c r="L299" t="s">
        <v>36</v>
      </c>
    </row>
    <row r="300" spans="1:12">
      <c r="A300">
        <v>327</v>
      </c>
      <c r="B300" t="s">
        <v>1543</v>
      </c>
      <c r="C300" t="s">
        <v>46</v>
      </c>
      <c r="D300" t="s">
        <v>260</v>
      </c>
      <c r="E300" t="s">
        <v>1476</v>
      </c>
      <c r="F300" t="s">
        <v>1448</v>
      </c>
      <c r="G300" t="s">
        <v>31</v>
      </c>
      <c r="H300" t="s">
        <v>1478</v>
      </c>
      <c r="I300" t="s">
        <v>1544</v>
      </c>
      <c r="J300" t="s">
        <v>1545</v>
      </c>
      <c r="K300" t="s">
        <v>1481</v>
      </c>
      <c r="L300" t="s">
        <v>21</v>
      </c>
    </row>
    <row r="301" spans="1:12">
      <c r="A301">
        <v>328</v>
      </c>
      <c r="B301" t="s">
        <v>1546</v>
      </c>
      <c r="C301" t="s">
        <v>13</v>
      </c>
      <c r="D301" t="s">
        <v>13</v>
      </c>
      <c r="E301" t="s">
        <v>1547</v>
      </c>
      <c r="F301" t="s">
        <v>1448</v>
      </c>
      <c r="G301" t="s">
        <v>1548</v>
      </c>
      <c r="H301" t="s">
        <v>1448</v>
      </c>
      <c r="I301" t="s">
        <v>1549</v>
      </c>
      <c r="J301" t="s">
        <v>1550</v>
      </c>
      <c r="K301" t="s">
        <v>1508</v>
      </c>
      <c r="L301" t="s">
        <v>36</v>
      </c>
    </row>
    <row r="302" spans="1:12">
      <c r="A302">
        <v>329</v>
      </c>
      <c r="B302" t="s">
        <v>1551</v>
      </c>
      <c r="C302" t="s">
        <v>224</v>
      </c>
      <c r="D302" t="s">
        <v>260</v>
      </c>
      <c r="E302" t="s">
        <v>1117</v>
      </c>
      <c r="F302" t="s">
        <v>1448</v>
      </c>
      <c r="G302" t="s">
        <v>280</v>
      </c>
      <c r="H302" t="s">
        <v>1552</v>
      </c>
      <c r="I302" t="s">
        <v>1553</v>
      </c>
      <c r="J302" t="s">
        <v>1554</v>
      </c>
      <c r="K302" t="s">
        <v>13</v>
      </c>
      <c r="L302" t="s">
        <v>54</v>
      </c>
    </row>
    <row r="303" spans="1:12">
      <c r="A303">
        <v>330</v>
      </c>
      <c r="B303" t="s">
        <v>1555</v>
      </c>
      <c r="C303" t="s">
        <v>46</v>
      </c>
      <c r="D303" t="s">
        <v>286</v>
      </c>
      <c r="E303" t="s">
        <v>185</v>
      </c>
      <c r="F303" t="s">
        <v>1448</v>
      </c>
      <c r="G303" t="s">
        <v>489</v>
      </c>
      <c r="H303" t="s">
        <v>1376</v>
      </c>
      <c r="I303" t="s">
        <v>1556</v>
      </c>
      <c r="J303" t="s">
        <v>1557</v>
      </c>
      <c r="K303" t="s">
        <v>1523</v>
      </c>
      <c r="L303" t="s">
        <v>21</v>
      </c>
    </row>
    <row r="304" spans="1:12">
      <c r="A304">
        <v>331</v>
      </c>
      <c r="B304" t="s">
        <v>1558</v>
      </c>
      <c r="C304" t="s">
        <v>65</v>
      </c>
      <c r="D304" t="s">
        <v>100</v>
      </c>
      <c r="E304" t="s">
        <v>893</v>
      </c>
      <c r="F304" t="s">
        <v>1448</v>
      </c>
      <c r="G304" t="s">
        <v>1559</v>
      </c>
      <c r="H304" t="s">
        <v>1560</v>
      </c>
      <c r="I304" t="s">
        <v>1561</v>
      </c>
      <c r="J304" t="s">
        <v>1562</v>
      </c>
      <c r="K304" t="s">
        <v>1563</v>
      </c>
      <c r="L304" t="s">
        <v>21</v>
      </c>
    </row>
    <row r="305" spans="1:12">
      <c r="A305">
        <v>332</v>
      </c>
      <c r="B305" t="s">
        <v>1564</v>
      </c>
      <c r="C305" t="s">
        <v>13</v>
      </c>
      <c r="D305" t="s">
        <v>13</v>
      </c>
      <c r="E305" t="s">
        <v>201</v>
      </c>
      <c r="F305" t="s">
        <v>1448</v>
      </c>
      <c r="G305" t="s">
        <v>717</v>
      </c>
      <c r="H305" t="s">
        <v>300</v>
      </c>
      <c r="I305" t="s">
        <v>1565</v>
      </c>
      <c r="J305" t="s">
        <v>1557</v>
      </c>
      <c r="K305" t="s">
        <v>1566</v>
      </c>
      <c r="L305" t="s">
        <v>21</v>
      </c>
    </row>
    <row r="306" spans="1:12">
      <c r="A306">
        <v>333</v>
      </c>
      <c r="B306" t="s">
        <v>1567</v>
      </c>
      <c r="C306" t="s">
        <v>91</v>
      </c>
      <c r="D306" t="s">
        <v>158</v>
      </c>
      <c r="E306" t="s">
        <v>1396</v>
      </c>
      <c r="F306" t="s">
        <v>1448</v>
      </c>
      <c r="G306" t="s">
        <v>1568</v>
      </c>
      <c r="H306" t="s">
        <v>1489</v>
      </c>
      <c r="I306" t="s">
        <v>1569</v>
      </c>
      <c r="J306" t="s">
        <v>1570</v>
      </c>
      <c r="K306" t="s">
        <v>1571</v>
      </c>
      <c r="L306" t="s">
        <v>21</v>
      </c>
    </row>
    <row r="307" spans="1:12">
      <c r="A307">
        <v>334</v>
      </c>
      <c r="B307" t="s">
        <v>1572</v>
      </c>
      <c r="C307" t="s">
        <v>522</v>
      </c>
      <c r="D307" t="s">
        <v>47</v>
      </c>
      <c r="E307" t="s">
        <v>737</v>
      </c>
      <c r="F307" t="s">
        <v>1448</v>
      </c>
      <c r="G307" t="s">
        <v>1573</v>
      </c>
      <c r="H307" t="s">
        <v>300</v>
      </c>
      <c r="I307" t="s">
        <v>1574</v>
      </c>
      <c r="J307" t="s">
        <v>1575</v>
      </c>
      <c r="K307" t="s">
        <v>1576</v>
      </c>
      <c r="L307" t="s">
        <v>21</v>
      </c>
    </row>
    <row r="308" spans="1:12">
      <c r="A308">
        <v>335</v>
      </c>
      <c r="B308" t="s">
        <v>1577</v>
      </c>
      <c r="C308" t="s">
        <v>13</v>
      </c>
      <c r="D308" t="s">
        <v>13</v>
      </c>
      <c r="E308" t="s">
        <v>189</v>
      </c>
      <c r="F308" t="s">
        <v>1448</v>
      </c>
      <c r="G308" t="s">
        <v>138</v>
      </c>
      <c r="H308" t="s">
        <v>1578</v>
      </c>
      <c r="I308" t="s">
        <v>1579</v>
      </c>
      <c r="J308" t="s">
        <v>1580</v>
      </c>
      <c r="K308" t="s">
        <v>1523</v>
      </c>
      <c r="L308" t="s">
        <v>36</v>
      </c>
    </row>
    <row r="309" spans="1:12">
      <c r="A309">
        <v>336</v>
      </c>
      <c r="B309" t="s">
        <v>1581</v>
      </c>
      <c r="C309" t="s">
        <v>74</v>
      </c>
      <c r="D309" t="s">
        <v>83</v>
      </c>
      <c r="E309" t="s">
        <v>201</v>
      </c>
      <c r="F309" t="s">
        <v>1448</v>
      </c>
      <c r="G309" t="s">
        <v>1049</v>
      </c>
      <c r="H309" t="s">
        <v>1582</v>
      </c>
      <c r="I309" t="s">
        <v>1583</v>
      </c>
      <c r="J309" t="s">
        <v>1557</v>
      </c>
      <c r="K309" t="s">
        <v>1584</v>
      </c>
      <c r="L309" t="s">
        <v>54</v>
      </c>
    </row>
    <row r="310" spans="1:12">
      <c r="A310">
        <v>337</v>
      </c>
      <c r="B310" t="s">
        <v>1585</v>
      </c>
      <c r="C310" t="s">
        <v>362</v>
      </c>
      <c r="D310" t="s">
        <v>39</v>
      </c>
      <c r="E310" t="s">
        <v>1586</v>
      </c>
      <c r="F310" t="s">
        <v>1448</v>
      </c>
      <c r="G310" t="s">
        <v>1587</v>
      </c>
      <c r="H310" t="s">
        <v>1588</v>
      </c>
      <c r="I310" t="s">
        <v>1589</v>
      </c>
      <c r="J310" t="s">
        <v>1557</v>
      </c>
      <c r="K310" t="s">
        <v>1590</v>
      </c>
      <c r="L310" t="s">
        <v>21</v>
      </c>
    </row>
    <row r="311" spans="1:12">
      <c r="A311">
        <v>338</v>
      </c>
      <c r="B311" t="s">
        <v>1591</v>
      </c>
      <c r="C311" t="s">
        <v>65</v>
      </c>
      <c r="D311" t="s">
        <v>267</v>
      </c>
      <c r="E311" t="s">
        <v>613</v>
      </c>
      <c r="F311" t="s">
        <v>1448</v>
      </c>
      <c r="G311" t="s">
        <v>1592</v>
      </c>
      <c r="H311" t="s">
        <v>1593</v>
      </c>
      <c r="I311" t="s">
        <v>1594</v>
      </c>
      <c r="J311" t="s">
        <v>1557</v>
      </c>
      <c r="K311" t="s">
        <v>1595</v>
      </c>
      <c r="L311" t="s">
        <v>21</v>
      </c>
    </row>
    <row r="312" spans="1:12">
      <c r="A312">
        <v>339</v>
      </c>
      <c r="B312" t="s">
        <v>1596</v>
      </c>
      <c r="C312" t="s">
        <v>224</v>
      </c>
      <c r="D312" t="s">
        <v>173</v>
      </c>
      <c r="E312" t="s">
        <v>84</v>
      </c>
      <c r="F312" t="s">
        <v>1448</v>
      </c>
      <c r="G312" t="s">
        <v>31</v>
      </c>
      <c r="H312" t="s">
        <v>1582</v>
      </c>
      <c r="I312" t="s">
        <v>1597</v>
      </c>
      <c r="J312" t="s">
        <v>1562</v>
      </c>
      <c r="K312" t="s">
        <v>1598</v>
      </c>
      <c r="L312" t="s">
        <v>21</v>
      </c>
    </row>
    <row r="313" spans="1:12">
      <c r="A313">
        <v>340</v>
      </c>
      <c r="B313" t="s">
        <v>1599</v>
      </c>
      <c r="C313" t="s">
        <v>13</v>
      </c>
      <c r="D313" t="s">
        <v>13</v>
      </c>
      <c r="E313" t="s">
        <v>438</v>
      </c>
      <c r="F313" t="s">
        <v>1448</v>
      </c>
      <c r="G313" t="s">
        <v>138</v>
      </c>
      <c r="H313" t="s">
        <v>1354</v>
      </c>
      <c r="I313" t="s">
        <v>1600</v>
      </c>
      <c r="J313" t="s">
        <v>1601</v>
      </c>
      <c r="K313" t="s">
        <v>1508</v>
      </c>
      <c r="L313" t="s">
        <v>36</v>
      </c>
    </row>
    <row r="314" spans="1:12">
      <c r="A314">
        <v>341</v>
      </c>
      <c r="B314" t="s">
        <v>1602</v>
      </c>
      <c r="C314" t="s">
        <v>46</v>
      </c>
      <c r="D314" t="s">
        <v>286</v>
      </c>
      <c r="E314" t="s">
        <v>185</v>
      </c>
      <c r="F314" t="s">
        <v>1448</v>
      </c>
      <c r="G314" t="s">
        <v>489</v>
      </c>
      <c r="H314" t="s">
        <v>1376</v>
      </c>
      <c r="I314" t="s">
        <v>1603</v>
      </c>
      <c r="J314" t="s">
        <v>1557</v>
      </c>
      <c r="K314" t="s">
        <v>1604</v>
      </c>
      <c r="L314" t="s">
        <v>21</v>
      </c>
    </row>
    <row r="315" spans="1:12">
      <c r="A315">
        <v>342</v>
      </c>
      <c r="B315" t="s">
        <v>1605</v>
      </c>
      <c r="C315" t="s">
        <v>13</v>
      </c>
      <c r="D315" t="s">
        <v>13</v>
      </c>
      <c r="E315" t="s">
        <v>189</v>
      </c>
      <c r="F315" t="s">
        <v>1448</v>
      </c>
      <c r="G315" t="s">
        <v>138</v>
      </c>
      <c r="H315" t="s">
        <v>1578</v>
      </c>
      <c r="I315" t="s">
        <v>1606</v>
      </c>
      <c r="J315" t="s">
        <v>1607</v>
      </c>
      <c r="K315" t="s">
        <v>1508</v>
      </c>
      <c r="L315" t="s">
        <v>54</v>
      </c>
    </row>
    <row r="316" spans="1:12">
      <c r="A316">
        <v>343</v>
      </c>
      <c r="B316" t="s">
        <v>1608</v>
      </c>
      <c r="C316" t="s">
        <v>13</v>
      </c>
      <c r="D316" t="s">
        <v>13</v>
      </c>
      <c r="E316" t="s">
        <v>1609</v>
      </c>
      <c r="F316" t="s">
        <v>1448</v>
      </c>
      <c r="G316" t="s">
        <v>1610</v>
      </c>
      <c r="H316" t="s">
        <v>1611</v>
      </c>
      <c r="I316" t="s">
        <v>1612</v>
      </c>
      <c r="J316" t="s">
        <v>1562</v>
      </c>
      <c r="K316" t="s">
        <v>1508</v>
      </c>
      <c r="L316" t="s">
        <v>21</v>
      </c>
    </row>
    <row r="317" spans="1:12">
      <c r="A317">
        <v>344</v>
      </c>
      <c r="B317" t="s">
        <v>1567</v>
      </c>
      <c r="C317" t="s">
        <v>91</v>
      </c>
      <c r="D317" t="s">
        <v>158</v>
      </c>
      <c r="E317" t="s">
        <v>1396</v>
      </c>
      <c r="F317" t="s">
        <v>1448</v>
      </c>
      <c r="G317" t="s">
        <v>1568</v>
      </c>
      <c r="H317" t="s">
        <v>1489</v>
      </c>
      <c r="I317" t="s">
        <v>1613</v>
      </c>
      <c r="J317" t="s">
        <v>1614</v>
      </c>
      <c r="K317" t="s">
        <v>1615</v>
      </c>
      <c r="L317" t="s">
        <v>21</v>
      </c>
    </row>
    <row r="318" spans="1:12">
      <c r="A318">
        <v>345</v>
      </c>
      <c r="B318" t="s">
        <v>1616</v>
      </c>
      <c r="C318" t="s">
        <v>74</v>
      </c>
      <c r="D318" t="s">
        <v>83</v>
      </c>
      <c r="E318" t="s">
        <v>201</v>
      </c>
      <c r="F318" t="s">
        <v>1448</v>
      </c>
      <c r="G318" t="s">
        <v>1049</v>
      </c>
      <c r="H318" t="s">
        <v>1582</v>
      </c>
      <c r="I318" t="s">
        <v>1617</v>
      </c>
      <c r="J318" t="s">
        <v>1557</v>
      </c>
      <c r="K318" t="s">
        <v>1584</v>
      </c>
      <c r="L318" t="s">
        <v>54</v>
      </c>
    </row>
    <row r="319" spans="1:12">
      <c r="A319">
        <v>346</v>
      </c>
      <c r="B319" t="s">
        <v>1618</v>
      </c>
      <c r="C319" t="s">
        <v>13</v>
      </c>
      <c r="D319" t="s">
        <v>13</v>
      </c>
      <c r="E319" t="s">
        <v>613</v>
      </c>
      <c r="F319" t="s">
        <v>1448</v>
      </c>
      <c r="G319" t="s">
        <v>1619</v>
      </c>
      <c r="H319" t="s">
        <v>1620</v>
      </c>
      <c r="I319" t="s">
        <v>1621</v>
      </c>
      <c r="J319" t="s">
        <v>1557</v>
      </c>
      <c r="K319" t="s">
        <v>1508</v>
      </c>
      <c r="L319" t="s">
        <v>21</v>
      </c>
    </row>
    <row r="320" spans="1:12">
      <c r="A320">
        <v>347</v>
      </c>
      <c r="B320" t="s">
        <v>1622</v>
      </c>
      <c r="C320" t="s">
        <v>65</v>
      </c>
      <c r="D320" t="s">
        <v>100</v>
      </c>
      <c r="E320" t="s">
        <v>893</v>
      </c>
      <c r="F320" t="s">
        <v>1448</v>
      </c>
      <c r="G320" t="s">
        <v>1559</v>
      </c>
      <c r="H320" t="s">
        <v>1448</v>
      </c>
      <c r="I320" t="s">
        <v>1623</v>
      </c>
      <c r="J320" t="s">
        <v>1562</v>
      </c>
      <c r="K320" t="s">
        <v>1563</v>
      </c>
      <c r="L320" t="s">
        <v>21</v>
      </c>
    </row>
    <row r="321" spans="1:12">
      <c r="A321">
        <v>348</v>
      </c>
      <c r="B321" t="s">
        <v>1585</v>
      </c>
      <c r="C321" t="s">
        <v>362</v>
      </c>
      <c r="D321" t="s">
        <v>39</v>
      </c>
      <c r="E321" t="s">
        <v>1586</v>
      </c>
      <c r="F321" t="s">
        <v>1448</v>
      </c>
      <c r="G321" t="s">
        <v>1587</v>
      </c>
      <c r="H321" t="s">
        <v>1588</v>
      </c>
      <c r="I321" t="s">
        <v>1589</v>
      </c>
      <c r="J321" t="s">
        <v>1557</v>
      </c>
      <c r="K321" t="s">
        <v>1624</v>
      </c>
      <c r="L321" t="s">
        <v>21</v>
      </c>
    </row>
    <row r="322" spans="1:12">
      <c r="A322">
        <v>349</v>
      </c>
      <c r="B322" t="s">
        <v>1625</v>
      </c>
      <c r="C322" t="s">
        <v>56</v>
      </c>
      <c r="D322" t="s">
        <v>286</v>
      </c>
      <c r="E322" t="s">
        <v>1203</v>
      </c>
      <c r="F322" t="s">
        <v>1448</v>
      </c>
      <c r="G322" t="s">
        <v>827</v>
      </c>
      <c r="H322" t="s">
        <v>1489</v>
      </c>
      <c r="I322" t="s">
        <v>1626</v>
      </c>
      <c r="J322" t="s">
        <v>830</v>
      </c>
      <c r="K322" t="s">
        <v>1508</v>
      </c>
      <c r="L322" t="s">
        <v>21</v>
      </c>
    </row>
    <row r="323" spans="1:12">
      <c r="A323">
        <v>350</v>
      </c>
      <c r="B323" t="s">
        <v>1627</v>
      </c>
      <c r="C323" t="s">
        <v>224</v>
      </c>
      <c r="D323" t="s">
        <v>173</v>
      </c>
      <c r="E323" t="s">
        <v>84</v>
      </c>
      <c r="F323" t="s">
        <v>1448</v>
      </c>
      <c r="G323" t="s">
        <v>31</v>
      </c>
      <c r="H323" t="s">
        <v>1582</v>
      </c>
      <c r="I323" t="s">
        <v>1628</v>
      </c>
      <c r="J323" t="s">
        <v>1562</v>
      </c>
      <c r="K323" t="s">
        <v>1629</v>
      </c>
      <c r="L323" t="s">
        <v>21</v>
      </c>
    </row>
    <row r="324" spans="1:12">
      <c r="A324">
        <v>351</v>
      </c>
      <c r="B324" t="s">
        <v>1630</v>
      </c>
      <c r="C324" t="s">
        <v>46</v>
      </c>
      <c r="D324" t="s">
        <v>211</v>
      </c>
      <c r="E324" t="s">
        <v>1203</v>
      </c>
      <c r="F324" t="s">
        <v>1448</v>
      </c>
      <c r="G324" t="s">
        <v>213</v>
      </c>
      <c r="H324" t="s">
        <v>1448</v>
      </c>
      <c r="I324" t="s">
        <v>1631</v>
      </c>
      <c r="J324" t="s">
        <v>1632</v>
      </c>
      <c r="K324" t="s">
        <v>1624</v>
      </c>
      <c r="L324" t="s">
        <v>36</v>
      </c>
    </row>
    <row r="325" spans="1:12">
      <c r="A325">
        <v>352</v>
      </c>
      <c r="B325" t="s">
        <v>1633</v>
      </c>
      <c r="C325" t="s">
        <v>115</v>
      </c>
      <c r="D325" t="s">
        <v>66</v>
      </c>
      <c r="E325" t="s">
        <v>348</v>
      </c>
      <c r="F325" t="s">
        <v>1448</v>
      </c>
      <c r="G325" t="s">
        <v>1634</v>
      </c>
      <c r="H325" t="s">
        <v>1448</v>
      </c>
      <c r="I325" t="s">
        <v>1635</v>
      </c>
      <c r="J325" t="s">
        <v>1636</v>
      </c>
      <c r="K325" t="s">
        <v>1637</v>
      </c>
      <c r="L325" t="s">
        <v>21</v>
      </c>
    </row>
    <row r="326" spans="1:12">
      <c r="A326">
        <v>353</v>
      </c>
      <c r="B326" t="s">
        <v>1638</v>
      </c>
      <c r="C326" t="s">
        <v>13</v>
      </c>
      <c r="D326" t="s">
        <v>57</v>
      </c>
      <c r="E326" t="s">
        <v>225</v>
      </c>
      <c r="F326" t="s">
        <v>1448</v>
      </c>
      <c r="G326" t="s">
        <v>1639</v>
      </c>
      <c r="H326" t="s">
        <v>1640</v>
      </c>
      <c r="I326" t="s">
        <v>1641</v>
      </c>
      <c r="J326" t="s">
        <v>1642</v>
      </c>
      <c r="K326" t="s">
        <v>1624</v>
      </c>
      <c r="L326" t="s">
        <v>54</v>
      </c>
    </row>
    <row r="327" spans="1:12">
      <c r="A327">
        <v>354</v>
      </c>
      <c r="B327" t="s">
        <v>1643</v>
      </c>
      <c r="C327" t="s">
        <v>115</v>
      </c>
      <c r="D327" t="s">
        <v>173</v>
      </c>
      <c r="E327" t="s">
        <v>231</v>
      </c>
      <c r="F327" t="s">
        <v>1448</v>
      </c>
      <c r="G327" t="s">
        <v>280</v>
      </c>
      <c r="H327" t="s">
        <v>1552</v>
      </c>
      <c r="I327" t="s">
        <v>1644</v>
      </c>
      <c r="J327" t="s">
        <v>1554</v>
      </c>
      <c r="K327" t="s">
        <v>1645</v>
      </c>
      <c r="L327" t="s">
        <v>54</v>
      </c>
    </row>
    <row r="328" spans="1:12">
      <c r="A328">
        <v>355</v>
      </c>
      <c r="B328" t="s">
        <v>1646</v>
      </c>
      <c r="C328" t="s">
        <v>1129</v>
      </c>
      <c r="D328" t="s">
        <v>211</v>
      </c>
      <c r="E328" t="s">
        <v>287</v>
      </c>
      <c r="F328" t="s">
        <v>1448</v>
      </c>
      <c r="G328" t="s">
        <v>1647</v>
      </c>
      <c r="H328" t="s">
        <v>1448</v>
      </c>
      <c r="I328" t="s">
        <v>1648</v>
      </c>
      <c r="J328" t="s">
        <v>1557</v>
      </c>
      <c r="K328" t="s">
        <v>1649</v>
      </c>
      <c r="L328" t="s">
        <v>54</v>
      </c>
    </row>
    <row r="329" spans="1:12">
      <c r="A329">
        <v>356</v>
      </c>
      <c r="B329" t="s">
        <v>1650</v>
      </c>
      <c r="C329" t="s">
        <v>13</v>
      </c>
      <c r="D329" t="s">
        <v>13</v>
      </c>
      <c r="E329" t="s">
        <v>279</v>
      </c>
      <c r="F329" t="s">
        <v>1448</v>
      </c>
      <c r="G329" t="s">
        <v>1651</v>
      </c>
      <c r="H329" t="s">
        <v>1448</v>
      </c>
      <c r="I329" t="s">
        <v>1652</v>
      </c>
      <c r="J329" t="s">
        <v>1653</v>
      </c>
      <c r="K329" t="s">
        <v>1508</v>
      </c>
      <c r="L329" t="s">
        <v>21</v>
      </c>
    </row>
    <row r="330" spans="1:12">
      <c r="A330">
        <v>357</v>
      </c>
      <c r="B330" t="s">
        <v>1654</v>
      </c>
      <c r="C330" t="s">
        <v>218</v>
      </c>
      <c r="D330" t="s">
        <v>100</v>
      </c>
      <c r="E330" t="s">
        <v>623</v>
      </c>
      <c r="F330" t="s">
        <v>1448</v>
      </c>
      <c r="G330" t="s">
        <v>1655</v>
      </c>
      <c r="H330" t="s">
        <v>1448</v>
      </c>
      <c r="I330" t="s">
        <v>1656</v>
      </c>
      <c r="J330" t="s">
        <v>1557</v>
      </c>
      <c r="K330" t="s">
        <v>1657</v>
      </c>
      <c r="L330" t="s">
        <v>21</v>
      </c>
    </row>
    <row r="331" spans="1:12">
      <c r="A331">
        <v>358</v>
      </c>
      <c r="B331" t="s">
        <v>1658</v>
      </c>
      <c r="C331" t="s">
        <v>321</v>
      </c>
      <c r="D331" t="s">
        <v>173</v>
      </c>
      <c r="E331" t="s">
        <v>1659</v>
      </c>
      <c r="F331" t="s">
        <v>1660</v>
      </c>
      <c r="G331" t="s">
        <v>1661</v>
      </c>
      <c r="H331" t="s">
        <v>1662</v>
      </c>
      <c r="I331" t="s">
        <v>1663</v>
      </c>
      <c r="J331" t="s">
        <v>1664</v>
      </c>
      <c r="K331" t="s">
        <v>1665</v>
      </c>
      <c r="L331" t="s">
        <v>36</v>
      </c>
    </row>
    <row r="332" spans="1:12">
      <c r="A332">
        <v>359</v>
      </c>
      <c r="B332" t="s">
        <v>1666</v>
      </c>
      <c r="C332" t="s">
        <v>13</v>
      </c>
      <c r="D332" t="s">
        <v>13</v>
      </c>
      <c r="E332" t="s">
        <v>1667</v>
      </c>
      <c r="F332" t="s">
        <v>1660</v>
      </c>
      <c r="G332" t="s">
        <v>138</v>
      </c>
      <c r="H332" t="s">
        <v>1668</v>
      </c>
      <c r="I332" t="s">
        <v>1669</v>
      </c>
      <c r="J332" t="s">
        <v>1664</v>
      </c>
      <c r="K332" t="s">
        <v>1670</v>
      </c>
      <c r="L332" t="s">
        <v>54</v>
      </c>
    </row>
    <row r="333" spans="1:12">
      <c r="A333">
        <v>360</v>
      </c>
      <c r="B333" t="s">
        <v>1461</v>
      </c>
      <c r="C333" t="s">
        <v>13</v>
      </c>
      <c r="D333" t="s">
        <v>13</v>
      </c>
      <c r="E333" t="s">
        <v>1671</v>
      </c>
      <c r="F333" t="s">
        <v>1660</v>
      </c>
      <c r="G333" t="s">
        <v>1672</v>
      </c>
      <c r="H333" t="s">
        <v>1673</v>
      </c>
      <c r="I333" t="s">
        <v>1674</v>
      </c>
      <c r="J333" t="s">
        <v>1675</v>
      </c>
      <c r="K333" t="s">
        <v>13</v>
      </c>
      <c r="L333" t="s">
        <v>21</v>
      </c>
    </row>
    <row r="334" spans="1:12">
      <c r="A334">
        <v>361</v>
      </c>
      <c r="B334" t="s">
        <v>1676</v>
      </c>
      <c r="C334" t="s">
        <v>13</v>
      </c>
      <c r="D334" t="s">
        <v>13</v>
      </c>
      <c r="E334" t="s">
        <v>1677</v>
      </c>
      <c r="F334" t="s">
        <v>1660</v>
      </c>
      <c r="G334" t="s">
        <v>1678</v>
      </c>
      <c r="H334" t="s">
        <v>13</v>
      </c>
      <c r="I334" t="s">
        <v>1679</v>
      </c>
      <c r="J334" t="s">
        <v>1680</v>
      </c>
      <c r="K334" t="s">
        <v>1681</v>
      </c>
      <c r="L334" t="s">
        <v>21</v>
      </c>
    </row>
    <row r="335" spans="1:12">
      <c r="A335">
        <v>362</v>
      </c>
      <c r="B335" t="s">
        <v>1493</v>
      </c>
      <c r="C335" t="s">
        <v>580</v>
      </c>
      <c r="D335" t="s">
        <v>286</v>
      </c>
      <c r="E335" t="s">
        <v>1682</v>
      </c>
      <c r="F335" t="s">
        <v>1660</v>
      </c>
      <c r="G335" t="s">
        <v>1683</v>
      </c>
      <c r="H335" t="s">
        <v>13</v>
      </c>
      <c r="I335" t="s">
        <v>1684</v>
      </c>
      <c r="J335" t="s">
        <v>1685</v>
      </c>
      <c r="K335" t="s">
        <v>1686</v>
      </c>
      <c r="L335" t="s">
        <v>21</v>
      </c>
    </row>
    <row r="336" spans="1:12">
      <c r="A336">
        <v>363</v>
      </c>
      <c r="B336" t="s">
        <v>1687</v>
      </c>
      <c r="C336" t="s">
        <v>13</v>
      </c>
      <c r="D336" t="s">
        <v>13</v>
      </c>
      <c r="E336" t="s">
        <v>1077</v>
      </c>
      <c r="F336" t="s">
        <v>1660</v>
      </c>
      <c r="G336" t="s">
        <v>1688</v>
      </c>
      <c r="H336" t="s">
        <v>13</v>
      </c>
      <c r="I336" t="s">
        <v>1689</v>
      </c>
      <c r="J336" t="s">
        <v>1680</v>
      </c>
      <c r="K336" t="s">
        <v>1690</v>
      </c>
      <c r="L336" t="s">
        <v>21</v>
      </c>
    </row>
    <row r="337" spans="1:12">
      <c r="A337">
        <v>364</v>
      </c>
      <c r="B337" t="s">
        <v>1691</v>
      </c>
      <c r="C337" t="s">
        <v>13</v>
      </c>
      <c r="D337" t="s">
        <v>13</v>
      </c>
      <c r="E337" t="s">
        <v>1692</v>
      </c>
      <c r="F337" t="s">
        <v>1660</v>
      </c>
      <c r="G337" t="s">
        <v>1693</v>
      </c>
      <c r="H337" t="s">
        <v>13</v>
      </c>
      <c r="I337" t="s">
        <v>1694</v>
      </c>
      <c r="J337" t="s">
        <v>1695</v>
      </c>
      <c r="K337" t="s">
        <v>1696</v>
      </c>
      <c r="L337" t="s">
        <v>21</v>
      </c>
    </row>
    <row r="338" spans="1:12">
      <c r="A338">
        <v>365</v>
      </c>
      <c r="B338" t="s">
        <v>1697</v>
      </c>
      <c r="C338" t="s">
        <v>107</v>
      </c>
      <c r="D338" t="s">
        <v>100</v>
      </c>
      <c r="E338" t="s">
        <v>1698</v>
      </c>
      <c r="F338" t="s">
        <v>1660</v>
      </c>
      <c r="G338" t="s">
        <v>280</v>
      </c>
      <c r="H338" t="s">
        <v>1699</v>
      </c>
      <c r="I338" t="s">
        <v>1700</v>
      </c>
      <c r="J338" t="s">
        <v>1701</v>
      </c>
      <c r="K338" t="s">
        <v>13</v>
      </c>
      <c r="L338" t="s">
        <v>54</v>
      </c>
    </row>
    <row r="339" spans="1:12">
      <c r="A339">
        <v>366</v>
      </c>
      <c r="B339" t="s">
        <v>1702</v>
      </c>
      <c r="C339" t="s">
        <v>13</v>
      </c>
      <c r="D339" t="s">
        <v>13</v>
      </c>
      <c r="E339" t="s">
        <v>1703</v>
      </c>
      <c r="F339" t="s">
        <v>1660</v>
      </c>
      <c r="G339" t="s">
        <v>1704</v>
      </c>
      <c r="H339" t="s">
        <v>13</v>
      </c>
      <c r="I339" t="s">
        <v>1705</v>
      </c>
      <c r="J339" t="s">
        <v>1706</v>
      </c>
      <c r="K339" t="s">
        <v>1707</v>
      </c>
      <c r="L339" t="s">
        <v>21</v>
      </c>
    </row>
    <row r="340" spans="1:12">
      <c r="A340">
        <v>367</v>
      </c>
      <c r="B340" t="s">
        <v>1708</v>
      </c>
      <c r="C340" t="s">
        <v>200</v>
      </c>
      <c r="D340" t="s">
        <v>39</v>
      </c>
      <c r="E340" t="s">
        <v>1483</v>
      </c>
      <c r="F340" t="s">
        <v>1660</v>
      </c>
      <c r="G340" t="s">
        <v>1709</v>
      </c>
      <c r="H340" t="s">
        <v>1484</v>
      </c>
      <c r="I340" t="s">
        <v>1710</v>
      </c>
      <c r="J340" t="s">
        <v>1486</v>
      </c>
      <c r="K340" t="s">
        <v>13</v>
      </c>
      <c r="L340" t="s">
        <v>54</v>
      </c>
    </row>
    <row r="341" spans="1:12">
      <c r="A341">
        <v>368</v>
      </c>
      <c r="B341" t="s">
        <v>1711</v>
      </c>
      <c r="C341" t="s">
        <v>13</v>
      </c>
      <c r="D341" t="s">
        <v>13</v>
      </c>
      <c r="E341" t="s">
        <v>443</v>
      </c>
      <c r="F341" t="s">
        <v>1660</v>
      </c>
      <c r="G341" t="s">
        <v>1712</v>
      </c>
      <c r="H341" t="s">
        <v>13</v>
      </c>
      <c r="I341" t="s">
        <v>1713</v>
      </c>
      <c r="J341" t="s">
        <v>1680</v>
      </c>
      <c r="K341" t="s">
        <v>1714</v>
      </c>
      <c r="L341" t="s">
        <v>21</v>
      </c>
    </row>
    <row r="342" spans="1:12">
      <c r="A342">
        <v>369</v>
      </c>
      <c r="B342" t="s">
        <v>1715</v>
      </c>
      <c r="C342" t="s">
        <v>13</v>
      </c>
      <c r="D342" t="s">
        <v>13</v>
      </c>
      <c r="E342" t="s">
        <v>381</v>
      </c>
      <c r="F342" t="s">
        <v>1660</v>
      </c>
      <c r="G342" t="s">
        <v>1716</v>
      </c>
      <c r="H342" t="s">
        <v>13</v>
      </c>
      <c r="I342" t="s">
        <v>1717</v>
      </c>
      <c r="J342" t="s">
        <v>1695</v>
      </c>
      <c r="K342" t="s">
        <v>1718</v>
      </c>
      <c r="L342" t="s">
        <v>21</v>
      </c>
    </row>
    <row r="343" spans="1:12">
      <c r="A343">
        <v>370</v>
      </c>
      <c r="B343" t="s">
        <v>1719</v>
      </c>
      <c r="C343" t="s">
        <v>13</v>
      </c>
      <c r="D343" t="s">
        <v>13</v>
      </c>
      <c r="E343" t="s">
        <v>1077</v>
      </c>
      <c r="F343" t="s">
        <v>1660</v>
      </c>
      <c r="G343" t="s">
        <v>1720</v>
      </c>
      <c r="H343" t="s">
        <v>13</v>
      </c>
      <c r="I343" t="s">
        <v>1721</v>
      </c>
      <c r="J343" t="s">
        <v>1680</v>
      </c>
      <c r="K343" t="s">
        <v>1722</v>
      </c>
      <c r="L343" t="s">
        <v>21</v>
      </c>
    </row>
    <row r="344" spans="1:12">
      <c r="A344">
        <v>371</v>
      </c>
      <c r="B344" t="s">
        <v>1723</v>
      </c>
      <c r="C344" t="s">
        <v>13</v>
      </c>
      <c r="D344" t="s">
        <v>13</v>
      </c>
      <c r="E344" t="s">
        <v>1117</v>
      </c>
      <c r="F344" t="s">
        <v>1660</v>
      </c>
      <c r="G344" t="s">
        <v>138</v>
      </c>
      <c r="H344" t="s">
        <v>1724</v>
      </c>
      <c r="I344" t="s">
        <v>1725</v>
      </c>
      <c r="J344" t="s">
        <v>1726</v>
      </c>
      <c r="K344" t="s">
        <v>1696</v>
      </c>
      <c r="L344" t="s">
        <v>36</v>
      </c>
    </row>
    <row r="345" spans="1:12">
      <c r="A345">
        <v>372</v>
      </c>
      <c r="B345" t="s">
        <v>1727</v>
      </c>
      <c r="C345" t="s">
        <v>13</v>
      </c>
      <c r="D345" t="s">
        <v>13</v>
      </c>
      <c r="E345" t="s">
        <v>1076</v>
      </c>
      <c r="F345" t="s">
        <v>1660</v>
      </c>
      <c r="G345" t="s">
        <v>1728</v>
      </c>
      <c r="H345" t="s">
        <v>13</v>
      </c>
      <c r="I345" t="s">
        <v>1729</v>
      </c>
      <c r="J345" t="s">
        <v>1680</v>
      </c>
      <c r="K345" t="s">
        <v>1730</v>
      </c>
      <c r="L345" t="s">
        <v>21</v>
      </c>
    </row>
    <row r="346" spans="1:12">
      <c r="A346">
        <v>373</v>
      </c>
      <c r="B346" t="s">
        <v>1731</v>
      </c>
      <c r="C346" t="s">
        <v>13</v>
      </c>
      <c r="D346" t="s">
        <v>13</v>
      </c>
      <c r="E346" t="s">
        <v>889</v>
      </c>
      <c r="F346" t="s">
        <v>1660</v>
      </c>
      <c r="G346" t="s">
        <v>1732</v>
      </c>
      <c r="H346" t="s">
        <v>13</v>
      </c>
      <c r="I346" t="s">
        <v>1733</v>
      </c>
      <c r="J346" t="s">
        <v>621</v>
      </c>
      <c r="K346" t="s">
        <v>1722</v>
      </c>
      <c r="L346" t="s">
        <v>21</v>
      </c>
    </row>
    <row r="347" spans="1:12">
      <c r="A347">
        <v>374</v>
      </c>
      <c r="B347" t="s">
        <v>1734</v>
      </c>
      <c r="C347" t="s">
        <v>13</v>
      </c>
      <c r="D347" t="s">
        <v>13</v>
      </c>
      <c r="E347" t="s">
        <v>811</v>
      </c>
      <c r="F347" t="s">
        <v>1660</v>
      </c>
      <c r="G347" t="s">
        <v>1735</v>
      </c>
      <c r="H347" t="s">
        <v>1662</v>
      </c>
      <c r="I347" t="s">
        <v>1736</v>
      </c>
      <c r="J347" t="s">
        <v>1680</v>
      </c>
      <c r="K347" t="s">
        <v>1696</v>
      </c>
      <c r="L347" t="s">
        <v>21</v>
      </c>
    </row>
    <row r="348" spans="1:12">
      <c r="A348">
        <v>375</v>
      </c>
      <c r="B348" t="s">
        <v>1737</v>
      </c>
      <c r="C348" t="s">
        <v>13</v>
      </c>
      <c r="D348" t="s">
        <v>13</v>
      </c>
      <c r="E348" t="s">
        <v>443</v>
      </c>
      <c r="F348" t="s">
        <v>1660</v>
      </c>
      <c r="G348" t="s">
        <v>1738</v>
      </c>
      <c r="H348" t="s">
        <v>13</v>
      </c>
      <c r="I348" t="s">
        <v>1739</v>
      </c>
      <c r="J348" t="s">
        <v>1680</v>
      </c>
      <c r="K348" t="s">
        <v>1714</v>
      </c>
      <c r="L348" t="s">
        <v>21</v>
      </c>
    </row>
    <row r="349" spans="1:12">
      <c r="A349">
        <v>376</v>
      </c>
      <c r="B349" t="s">
        <v>1740</v>
      </c>
      <c r="C349" t="s">
        <v>13</v>
      </c>
      <c r="D349" t="s">
        <v>13</v>
      </c>
      <c r="E349" t="s">
        <v>947</v>
      </c>
      <c r="F349" t="s">
        <v>1660</v>
      </c>
      <c r="G349" t="s">
        <v>1741</v>
      </c>
      <c r="H349" t="s">
        <v>13</v>
      </c>
      <c r="I349" t="s">
        <v>1742</v>
      </c>
      <c r="J349" t="s">
        <v>1743</v>
      </c>
      <c r="K349" t="s">
        <v>1696</v>
      </c>
      <c r="L349" t="s">
        <v>36</v>
      </c>
    </row>
    <row r="350" spans="1:12">
      <c r="A350">
        <v>377</v>
      </c>
      <c r="B350" t="s">
        <v>1744</v>
      </c>
      <c r="C350" t="s">
        <v>13</v>
      </c>
      <c r="D350" t="s">
        <v>13</v>
      </c>
      <c r="E350" t="s">
        <v>438</v>
      </c>
      <c r="F350" t="s">
        <v>1660</v>
      </c>
      <c r="G350" t="s">
        <v>692</v>
      </c>
      <c r="H350" t="s">
        <v>1745</v>
      </c>
      <c r="I350" t="s">
        <v>1746</v>
      </c>
      <c r="J350" t="s">
        <v>1747</v>
      </c>
      <c r="K350" t="s">
        <v>1696</v>
      </c>
      <c r="L350" t="s">
        <v>21</v>
      </c>
    </row>
    <row r="351" spans="1:12">
      <c r="A351">
        <v>378</v>
      </c>
      <c r="B351" t="s">
        <v>1748</v>
      </c>
      <c r="C351" t="s">
        <v>13</v>
      </c>
      <c r="D351" t="s">
        <v>13</v>
      </c>
      <c r="E351" t="s">
        <v>201</v>
      </c>
      <c r="F351" t="s">
        <v>1660</v>
      </c>
      <c r="G351" t="s">
        <v>1610</v>
      </c>
      <c r="H351" t="s">
        <v>1660</v>
      </c>
      <c r="I351" t="s">
        <v>1749</v>
      </c>
      <c r="J351" t="s">
        <v>1750</v>
      </c>
      <c r="K351" t="s">
        <v>1696</v>
      </c>
      <c r="L351" t="s">
        <v>21</v>
      </c>
    </row>
    <row r="352" spans="1:12">
      <c r="A352">
        <v>379</v>
      </c>
      <c r="B352" t="s">
        <v>1751</v>
      </c>
      <c r="C352" t="s">
        <v>13</v>
      </c>
      <c r="D352" t="s">
        <v>13</v>
      </c>
      <c r="E352" t="s">
        <v>613</v>
      </c>
      <c r="F352" t="s">
        <v>1660</v>
      </c>
      <c r="G352" t="s">
        <v>489</v>
      </c>
      <c r="H352" t="s">
        <v>1660</v>
      </c>
      <c r="I352" t="s">
        <v>1752</v>
      </c>
      <c r="J352" t="s">
        <v>1680</v>
      </c>
      <c r="K352" t="s">
        <v>1753</v>
      </c>
      <c r="L352" t="s">
        <v>21</v>
      </c>
    </row>
    <row r="353" spans="1:12">
      <c r="A353">
        <v>380</v>
      </c>
      <c r="B353" t="s">
        <v>1754</v>
      </c>
      <c r="C353" t="s">
        <v>298</v>
      </c>
      <c r="D353" t="s">
        <v>100</v>
      </c>
      <c r="E353" t="s">
        <v>698</v>
      </c>
      <c r="F353" t="s">
        <v>1660</v>
      </c>
      <c r="G353" t="s">
        <v>1755</v>
      </c>
      <c r="H353" t="s">
        <v>1660</v>
      </c>
      <c r="I353" t="s">
        <v>1756</v>
      </c>
      <c r="J353" t="s">
        <v>1680</v>
      </c>
      <c r="K353" t="s">
        <v>1696</v>
      </c>
      <c r="L353" t="s">
        <v>21</v>
      </c>
    </row>
    <row r="354" spans="1:12">
      <c r="A354">
        <v>381</v>
      </c>
      <c r="B354" t="s">
        <v>1757</v>
      </c>
      <c r="C354" t="s">
        <v>240</v>
      </c>
      <c r="D354" t="s">
        <v>211</v>
      </c>
      <c r="E354" t="s">
        <v>613</v>
      </c>
      <c r="F354" t="s">
        <v>1660</v>
      </c>
      <c r="G354" t="s">
        <v>1688</v>
      </c>
      <c r="H354" t="s">
        <v>1660</v>
      </c>
      <c r="I354" t="s">
        <v>1758</v>
      </c>
      <c r="J354" t="s">
        <v>1759</v>
      </c>
      <c r="K354" t="s">
        <v>1696</v>
      </c>
      <c r="L354" t="s">
        <v>21</v>
      </c>
    </row>
    <row r="355" spans="1:12">
      <c r="A355">
        <v>382</v>
      </c>
      <c r="B355" t="s">
        <v>1760</v>
      </c>
      <c r="C355" t="s">
        <v>13</v>
      </c>
      <c r="D355" t="s">
        <v>13</v>
      </c>
      <c r="E355" t="s">
        <v>130</v>
      </c>
      <c r="F355" t="s">
        <v>1660</v>
      </c>
      <c r="G355" t="s">
        <v>213</v>
      </c>
      <c r="H355" t="s">
        <v>1660</v>
      </c>
      <c r="I355" t="s">
        <v>1761</v>
      </c>
      <c r="J355" t="s">
        <v>1680</v>
      </c>
      <c r="K355" t="s">
        <v>1762</v>
      </c>
      <c r="L355" t="s">
        <v>36</v>
      </c>
    </row>
    <row r="356" spans="1:12">
      <c r="A356">
        <v>383</v>
      </c>
      <c r="B356" t="s">
        <v>1763</v>
      </c>
      <c r="C356" t="s">
        <v>13</v>
      </c>
      <c r="D356" t="s">
        <v>13</v>
      </c>
      <c r="E356" t="s">
        <v>212</v>
      </c>
      <c r="F356" t="s">
        <v>1660</v>
      </c>
      <c r="G356" t="s">
        <v>1764</v>
      </c>
      <c r="H356" t="s">
        <v>1660</v>
      </c>
      <c r="I356" t="s">
        <v>1765</v>
      </c>
      <c r="J356" t="s">
        <v>1680</v>
      </c>
      <c r="K356" t="s">
        <v>1696</v>
      </c>
      <c r="L356" t="s">
        <v>21</v>
      </c>
    </row>
    <row r="357" spans="1:12">
      <c r="A357">
        <v>384</v>
      </c>
      <c r="B357" t="s">
        <v>1766</v>
      </c>
      <c r="C357" t="s">
        <v>13</v>
      </c>
      <c r="D357" t="s">
        <v>13</v>
      </c>
      <c r="E357" t="s">
        <v>1767</v>
      </c>
      <c r="F357" t="s">
        <v>1660</v>
      </c>
      <c r="G357" t="s">
        <v>1768</v>
      </c>
      <c r="H357" t="s">
        <v>1660</v>
      </c>
      <c r="I357" t="s">
        <v>1769</v>
      </c>
      <c r="J357" t="s">
        <v>1770</v>
      </c>
      <c r="K357" t="s">
        <v>1771</v>
      </c>
      <c r="L357" t="s">
        <v>36</v>
      </c>
    </row>
    <row r="358" spans="1:12">
      <c r="A358">
        <v>385</v>
      </c>
      <c r="B358" t="s">
        <v>1772</v>
      </c>
      <c r="C358" t="s">
        <v>13</v>
      </c>
      <c r="D358" t="s">
        <v>13</v>
      </c>
      <c r="E358" t="s">
        <v>201</v>
      </c>
      <c r="F358" t="s">
        <v>1660</v>
      </c>
      <c r="G358" t="s">
        <v>1773</v>
      </c>
      <c r="H358" t="s">
        <v>1660</v>
      </c>
      <c r="I358" t="s">
        <v>1774</v>
      </c>
      <c r="J358" t="s">
        <v>1695</v>
      </c>
      <c r="K358" t="s">
        <v>1696</v>
      </c>
      <c r="L358" t="s">
        <v>21</v>
      </c>
    </row>
    <row r="359" spans="1:12">
      <c r="A359">
        <v>386</v>
      </c>
      <c r="B359" t="s">
        <v>1775</v>
      </c>
      <c r="C359" t="s">
        <v>325</v>
      </c>
      <c r="D359" t="s">
        <v>173</v>
      </c>
      <c r="E359" t="s">
        <v>1426</v>
      </c>
      <c r="F359" t="s">
        <v>1660</v>
      </c>
      <c r="G359" t="s">
        <v>280</v>
      </c>
      <c r="H359" t="s">
        <v>1776</v>
      </c>
      <c r="I359" t="s">
        <v>1777</v>
      </c>
      <c r="J359" t="s">
        <v>1778</v>
      </c>
      <c r="K359" t="s">
        <v>13</v>
      </c>
      <c r="L359" t="s">
        <v>54</v>
      </c>
    </row>
    <row r="360" spans="1:12">
      <c r="A360">
        <v>387</v>
      </c>
      <c r="B360" t="s">
        <v>1779</v>
      </c>
      <c r="C360" t="s">
        <v>13</v>
      </c>
      <c r="D360" t="s">
        <v>13</v>
      </c>
      <c r="E360" t="s">
        <v>643</v>
      </c>
      <c r="F360" t="s">
        <v>1660</v>
      </c>
      <c r="G360" t="s">
        <v>1610</v>
      </c>
      <c r="H360" t="s">
        <v>1660</v>
      </c>
      <c r="I360" t="s">
        <v>1780</v>
      </c>
      <c r="J360" t="s">
        <v>1750</v>
      </c>
      <c r="K360" t="s">
        <v>1696</v>
      </c>
      <c r="L360" t="s">
        <v>36</v>
      </c>
    </row>
    <row r="361" spans="1:12">
      <c r="A361">
        <v>388</v>
      </c>
      <c r="B361" t="s">
        <v>1781</v>
      </c>
      <c r="C361" t="s">
        <v>165</v>
      </c>
      <c r="D361" t="s">
        <v>66</v>
      </c>
      <c r="E361" t="s">
        <v>600</v>
      </c>
      <c r="F361" t="s">
        <v>1660</v>
      </c>
      <c r="G361" t="s">
        <v>1655</v>
      </c>
      <c r="H361" t="s">
        <v>1660</v>
      </c>
      <c r="I361" t="s">
        <v>1782</v>
      </c>
      <c r="J361" t="s">
        <v>1680</v>
      </c>
      <c r="K361" t="s">
        <v>1783</v>
      </c>
      <c r="L361" t="s">
        <v>21</v>
      </c>
    </row>
    <row r="362" spans="1:12">
      <c r="A362">
        <v>389</v>
      </c>
      <c r="B362" t="s">
        <v>1784</v>
      </c>
      <c r="C362" t="s">
        <v>13</v>
      </c>
      <c r="D362" t="s">
        <v>13</v>
      </c>
      <c r="E362" t="s">
        <v>698</v>
      </c>
      <c r="F362" t="s">
        <v>1660</v>
      </c>
      <c r="G362" t="s">
        <v>1785</v>
      </c>
      <c r="H362" t="s">
        <v>1660</v>
      </c>
      <c r="I362" t="s">
        <v>1786</v>
      </c>
      <c r="J362" t="s">
        <v>1680</v>
      </c>
      <c r="K362" t="s">
        <v>1696</v>
      </c>
      <c r="L362" t="s">
        <v>21</v>
      </c>
    </row>
    <row r="363" spans="1:12">
      <c r="A363">
        <v>390</v>
      </c>
      <c r="B363" t="s">
        <v>1787</v>
      </c>
      <c r="C363" t="s">
        <v>13</v>
      </c>
      <c r="D363" t="s">
        <v>13</v>
      </c>
      <c r="E363" t="s">
        <v>201</v>
      </c>
      <c r="F363" t="s">
        <v>1660</v>
      </c>
      <c r="G363" t="s">
        <v>1788</v>
      </c>
      <c r="H363" t="s">
        <v>1745</v>
      </c>
      <c r="I363" t="s">
        <v>1789</v>
      </c>
      <c r="J363" t="s">
        <v>1790</v>
      </c>
      <c r="K363" t="s">
        <v>1791</v>
      </c>
      <c r="L363" t="s">
        <v>21</v>
      </c>
    </row>
    <row r="364" spans="1:12">
      <c r="A364">
        <v>391</v>
      </c>
      <c r="B364" t="s">
        <v>1792</v>
      </c>
      <c r="C364" t="s">
        <v>13</v>
      </c>
      <c r="D364" t="s">
        <v>13</v>
      </c>
      <c r="E364" t="s">
        <v>1195</v>
      </c>
      <c r="F364" t="s">
        <v>1660</v>
      </c>
      <c r="G364" t="s">
        <v>1793</v>
      </c>
      <c r="H364" t="s">
        <v>1660</v>
      </c>
      <c r="I364" t="s">
        <v>1794</v>
      </c>
      <c r="J364" t="s">
        <v>1795</v>
      </c>
      <c r="K364" t="s">
        <v>1696</v>
      </c>
      <c r="L364" t="s">
        <v>21</v>
      </c>
    </row>
    <row r="365" spans="1:12">
      <c r="A365">
        <v>392</v>
      </c>
      <c r="B365" t="s">
        <v>1796</v>
      </c>
      <c r="C365" t="s">
        <v>13</v>
      </c>
      <c r="D365" t="s">
        <v>13</v>
      </c>
      <c r="E365" t="s">
        <v>75</v>
      </c>
      <c r="F365" t="s">
        <v>1660</v>
      </c>
      <c r="G365" t="s">
        <v>581</v>
      </c>
      <c r="H365" t="s">
        <v>1797</v>
      </c>
      <c r="I365" t="s">
        <v>1798</v>
      </c>
      <c r="J365" t="s">
        <v>1680</v>
      </c>
      <c r="K365" t="s">
        <v>1696</v>
      </c>
      <c r="L365" t="s">
        <v>21</v>
      </c>
    </row>
    <row r="366" spans="1:12">
      <c r="A366">
        <v>393</v>
      </c>
      <c r="B366" t="s">
        <v>1799</v>
      </c>
      <c r="C366" t="s">
        <v>13</v>
      </c>
      <c r="D366" t="s">
        <v>13</v>
      </c>
      <c r="E366" t="s">
        <v>698</v>
      </c>
      <c r="F366" t="s">
        <v>1660</v>
      </c>
      <c r="G366" t="s">
        <v>1800</v>
      </c>
      <c r="H366" t="s">
        <v>1660</v>
      </c>
      <c r="I366" t="s">
        <v>1801</v>
      </c>
      <c r="J366" t="s">
        <v>1680</v>
      </c>
      <c r="K366" t="s">
        <v>1696</v>
      </c>
      <c r="L366" t="s">
        <v>21</v>
      </c>
    </row>
    <row r="367" spans="1:12">
      <c r="A367">
        <v>394</v>
      </c>
      <c r="B367" t="s">
        <v>1802</v>
      </c>
      <c r="C367" t="s">
        <v>13</v>
      </c>
      <c r="D367" t="s">
        <v>13</v>
      </c>
      <c r="E367" t="s">
        <v>627</v>
      </c>
      <c r="F367" t="s">
        <v>1660</v>
      </c>
      <c r="G367" t="s">
        <v>1803</v>
      </c>
      <c r="H367" t="s">
        <v>1660</v>
      </c>
      <c r="I367" t="s">
        <v>1804</v>
      </c>
      <c r="J367" t="s">
        <v>1680</v>
      </c>
      <c r="K367" t="s">
        <v>1696</v>
      </c>
      <c r="L367" t="s">
        <v>21</v>
      </c>
    </row>
    <row r="368" spans="1:12">
      <c r="A368">
        <v>395</v>
      </c>
      <c r="B368" t="s">
        <v>1805</v>
      </c>
      <c r="C368" t="s">
        <v>13</v>
      </c>
      <c r="D368" t="s">
        <v>13</v>
      </c>
      <c r="E368" t="s">
        <v>643</v>
      </c>
      <c r="F368" t="s">
        <v>1660</v>
      </c>
      <c r="G368" t="s">
        <v>1806</v>
      </c>
      <c r="H368" t="s">
        <v>1660</v>
      </c>
      <c r="I368" t="s">
        <v>1807</v>
      </c>
      <c r="J368" t="s">
        <v>1808</v>
      </c>
      <c r="K368" t="s">
        <v>1809</v>
      </c>
      <c r="L368" t="s">
        <v>21</v>
      </c>
    </row>
    <row r="369" spans="1:12">
      <c r="A369">
        <v>396</v>
      </c>
      <c r="B369" t="s">
        <v>1810</v>
      </c>
      <c r="C369" t="s">
        <v>13</v>
      </c>
      <c r="D369" t="s">
        <v>13</v>
      </c>
      <c r="E369" t="s">
        <v>698</v>
      </c>
      <c r="F369" t="s">
        <v>1660</v>
      </c>
      <c r="G369" t="s">
        <v>1811</v>
      </c>
      <c r="H369" t="s">
        <v>1660</v>
      </c>
      <c r="I369" t="s">
        <v>1812</v>
      </c>
      <c r="J369" t="s">
        <v>1750</v>
      </c>
      <c r="K369" t="s">
        <v>1696</v>
      </c>
      <c r="L369" t="s">
        <v>21</v>
      </c>
    </row>
    <row r="370" spans="1:12">
      <c r="A370">
        <v>397</v>
      </c>
      <c r="B370" t="s">
        <v>1813</v>
      </c>
      <c r="C370" t="s">
        <v>13</v>
      </c>
      <c r="D370" t="s">
        <v>13</v>
      </c>
      <c r="E370" t="s">
        <v>613</v>
      </c>
      <c r="F370" t="s">
        <v>1660</v>
      </c>
      <c r="G370" t="s">
        <v>1688</v>
      </c>
      <c r="H370" t="s">
        <v>1660</v>
      </c>
      <c r="I370" t="s">
        <v>1814</v>
      </c>
      <c r="J370" t="s">
        <v>1759</v>
      </c>
      <c r="K370" t="s">
        <v>1696</v>
      </c>
      <c r="L370" t="s">
        <v>21</v>
      </c>
    </row>
    <row r="371" spans="1:12">
      <c r="A371">
        <v>398</v>
      </c>
      <c r="B371" t="s">
        <v>1815</v>
      </c>
      <c r="C371" t="s">
        <v>13</v>
      </c>
      <c r="D371" t="s">
        <v>13</v>
      </c>
      <c r="E371" t="s">
        <v>1816</v>
      </c>
      <c r="F371" t="s">
        <v>1354</v>
      </c>
      <c r="G371" t="s">
        <v>778</v>
      </c>
      <c r="H371" t="s">
        <v>1817</v>
      </c>
      <c r="I371" t="s">
        <v>1818</v>
      </c>
      <c r="J371" t="s">
        <v>1819</v>
      </c>
      <c r="K371" t="s">
        <v>1820</v>
      </c>
      <c r="L371" t="s">
        <v>21</v>
      </c>
    </row>
    <row r="372" spans="1:12">
      <c r="A372">
        <v>399</v>
      </c>
      <c r="B372" t="s">
        <v>1821</v>
      </c>
      <c r="C372" t="s">
        <v>13</v>
      </c>
      <c r="D372" t="s">
        <v>13</v>
      </c>
      <c r="E372" t="s">
        <v>1822</v>
      </c>
      <c r="F372" t="s">
        <v>1354</v>
      </c>
      <c r="G372" t="s">
        <v>1029</v>
      </c>
      <c r="H372" t="s">
        <v>1817</v>
      </c>
      <c r="I372" t="s">
        <v>1823</v>
      </c>
      <c r="J372" t="s">
        <v>1819</v>
      </c>
      <c r="K372" t="s">
        <v>785</v>
      </c>
      <c r="L372" t="s">
        <v>54</v>
      </c>
    </row>
    <row r="373" spans="1:12">
      <c r="A373">
        <v>400</v>
      </c>
      <c r="B373" t="s">
        <v>1824</v>
      </c>
      <c r="C373" t="s">
        <v>13</v>
      </c>
      <c r="D373" t="s">
        <v>13</v>
      </c>
      <c r="E373" t="s">
        <v>1825</v>
      </c>
      <c r="F373" t="s">
        <v>1354</v>
      </c>
      <c r="G373" t="s">
        <v>778</v>
      </c>
      <c r="H373" t="s">
        <v>1817</v>
      </c>
      <c r="I373" t="s">
        <v>1826</v>
      </c>
      <c r="J373" t="s">
        <v>1819</v>
      </c>
      <c r="K373" t="s">
        <v>1827</v>
      </c>
      <c r="L373" t="s">
        <v>21</v>
      </c>
    </row>
    <row r="374" spans="1:12">
      <c r="A374">
        <v>401</v>
      </c>
      <c r="B374" t="s">
        <v>1828</v>
      </c>
      <c r="C374" t="s">
        <v>13</v>
      </c>
      <c r="D374" t="s">
        <v>13</v>
      </c>
      <c r="E374" t="s">
        <v>1829</v>
      </c>
      <c r="F374" t="s">
        <v>1354</v>
      </c>
      <c r="G374" t="s">
        <v>138</v>
      </c>
      <c r="H374" t="s">
        <v>1817</v>
      </c>
      <c r="I374" t="s">
        <v>1830</v>
      </c>
      <c r="J374" t="s">
        <v>1819</v>
      </c>
      <c r="K374" t="s">
        <v>1831</v>
      </c>
      <c r="L374" t="s">
        <v>36</v>
      </c>
    </row>
    <row r="375" spans="1:12">
      <c r="A375">
        <v>402</v>
      </c>
      <c r="B375" t="s">
        <v>1832</v>
      </c>
      <c r="C375" t="s">
        <v>13</v>
      </c>
      <c r="D375" t="s">
        <v>13</v>
      </c>
      <c r="E375" t="s">
        <v>1833</v>
      </c>
      <c r="F375" t="s">
        <v>1354</v>
      </c>
      <c r="G375" t="s">
        <v>1029</v>
      </c>
      <c r="H375" t="s">
        <v>1817</v>
      </c>
      <c r="I375" t="s">
        <v>1834</v>
      </c>
      <c r="J375" t="s">
        <v>1819</v>
      </c>
      <c r="K375" t="s">
        <v>1835</v>
      </c>
      <c r="L375" t="s">
        <v>54</v>
      </c>
    </row>
    <row r="376" spans="1:12">
      <c r="A376">
        <v>403</v>
      </c>
      <c r="B376" t="s">
        <v>1836</v>
      </c>
      <c r="C376" t="s">
        <v>13</v>
      </c>
      <c r="D376" t="s">
        <v>13</v>
      </c>
      <c r="E376" t="s">
        <v>1307</v>
      </c>
      <c r="F376" t="s">
        <v>1354</v>
      </c>
      <c r="G376" t="s">
        <v>1837</v>
      </c>
      <c r="H376" t="s">
        <v>1817</v>
      </c>
      <c r="I376" t="s">
        <v>1838</v>
      </c>
      <c r="J376" t="s">
        <v>1819</v>
      </c>
      <c r="K376" t="s">
        <v>1839</v>
      </c>
      <c r="L376" t="s">
        <v>36</v>
      </c>
    </row>
    <row r="377" spans="1:12">
      <c r="A377">
        <v>404</v>
      </c>
      <c r="B377" t="s">
        <v>1840</v>
      </c>
      <c r="C377" t="s">
        <v>298</v>
      </c>
      <c r="D377" t="s">
        <v>158</v>
      </c>
      <c r="E377" t="s">
        <v>1841</v>
      </c>
      <c r="F377" t="s">
        <v>1354</v>
      </c>
      <c r="G377" t="s">
        <v>1842</v>
      </c>
      <c r="H377" t="s">
        <v>1843</v>
      </c>
      <c r="I377" t="s">
        <v>1844</v>
      </c>
      <c r="J377" t="s">
        <v>1845</v>
      </c>
      <c r="K377" t="s">
        <v>1846</v>
      </c>
      <c r="L377" t="s">
        <v>54</v>
      </c>
    </row>
    <row r="378" spans="1:12">
      <c r="A378">
        <v>405</v>
      </c>
      <c r="B378" t="s">
        <v>1847</v>
      </c>
      <c r="C378" t="s">
        <v>353</v>
      </c>
      <c r="D378" t="s">
        <v>158</v>
      </c>
      <c r="E378" t="s">
        <v>1848</v>
      </c>
      <c r="F378" t="s">
        <v>1354</v>
      </c>
      <c r="G378" t="s">
        <v>1712</v>
      </c>
      <c r="H378" t="s">
        <v>1817</v>
      </c>
      <c r="I378" t="s">
        <v>1849</v>
      </c>
      <c r="J378" t="s">
        <v>1819</v>
      </c>
      <c r="K378" t="s">
        <v>1850</v>
      </c>
      <c r="L378" t="s">
        <v>21</v>
      </c>
    </row>
    <row r="379" spans="1:12">
      <c r="A379">
        <v>406</v>
      </c>
      <c r="B379" t="s">
        <v>1059</v>
      </c>
      <c r="C379" t="s">
        <v>13</v>
      </c>
      <c r="D379" t="s">
        <v>13</v>
      </c>
      <c r="E379" t="s">
        <v>1060</v>
      </c>
      <c r="F379" t="s">
        <v>1354</v>
      </c>
      <c r="G379" t="s">
        <v>795</v>
      </c>
      <c r="H379" t="s">
        <v>1851</v>
      </c>
      <c r="I379" t="s">
        <v>1852</v>
      </c>
      <c r="J379" t="s">
        <v>1819</v>
      </c>
      <c r="K379" t="s">
        <v>1853</v>
      </c>
      <c r="L379" t="s">
        <v>54</v>
      </c>
    </row>
    <row r="380" spans="1:12">
      <c r="A380">
        <v>407</v>
      </c>
      <c r="B380" t="s">
        <v>1352</v>
      </c>
      <c r="C380" t="s">
        <v>325</v>
      </c>
      <c r="D380" t="s">
        <v>57</v>
      </c>
      <c r="E380" t="s">
        <v>1353</v>
      </c>
      <c r="F380" t="s">
        <v>1354</v>
      </c>
      <c r="G380" t="s">
        <v>1854</v>
      </c>
      <c r="H380" t="s">
        <v>1817</v>
      </c>
      <c r="I380" t="s">
        <v>1855</v>
      </c>
      <c r="J380" t="s">
        <v>1819</v>
      </c>
      <c r="K380" t="s">
        <v>1357</v>
      </c>
      <c r="L380" t="s">
        <v>54</v>
      </c>
    </row>
    <row r="381" spans="1:12">
      <c r="A381">
        <v>408</v>
      </c>
      <c r="B381" t="s">
        <v>1856</v>
      </c>
      <c r="C381" t="s">
        <v>46</v>
      </c>
      <c r="D381" t="s">
        <v>267</v>
      </c>
      <c r="E381" t="s">
        <v>375</v>
      </c>
      <c r="F381" t="s">
        <v>1354</v>
      </c>
      <c r="G381" t="s">
        <v>1857</v>
      </c>
      <c r="H381" t="s">
        <v>1817</v>
      </c>
      <c r="I381" t="s">
        <v>1858</v>
      </c>
      <c r="J381" t="s">
        <v>1819</v>
      </c>
      <c r="K381" t="s">
        <v>1859</v>
      </c>
      <c r="L381" t="s">
        <v>36</v>
      </c>
    </row>
    <row r="382" spans="1:12">
      <c r="A382">
        <v>409</v>
      </c>
      <c r="B382" t="s">
        <v>1860</v>
      </c>
      <c r="C382" t="s">
        <v>74</v>
      </c>
      <c r="D382" t="s">
        <v>39</v>
      </c>
      <c r="E382" t="s">
        <v>375</v>
      </c>
      <c r="F382" t="s">
        <v>1354</v>
      </c>
      <c r="G382" t="s">
        <v>1861</v>
      </c>
      <c r="H382" t="s">
        <v>1862</v>
      </c>
      <c r="I382" t="s">
        <v>1863</v>
      </c>
      <c r="J382" t="s">
        <v>1819</v>
      </c>
      <c r="K382" t="s">
        <v>1864</v>
      </c>
      <c r="L382" t="s">
        <v>21</v>
      </c>
    </row>
    <row r="383" spans="1:12">
      <c r="A383">
        <v>410</v>
      </c>
      <c r="B383" t="s">
        <v>1865</v>
      </c>
      <c r="C383" t="s">
        <v>56</v>
      </c>
      <c r="D383" t="s">
        <v>57</v>
      </c>
      <c r="E383" t="s">
        <v>682</v>
      </c>
      <c r="F383" t="s">
        <v>1354</v>
      </c>
      <c r="G383" t="s">
        <v>1866</v>
      </c>
      <c r="H383" t="s">
        <v>1817</v>
      </c>
      <c r="I383" t="s">
        <v>1867</v>
      </c>
      <c r="J383" t="s">
        <v>1819</v>
      </c>
      <c r="K383" t="s">
        <v>1868</v>
      </c>
      <c r="L383" t="s">
        <v>21</v>
      </c>
    </row>
    <row r="384" spans="1:12">
      <c r="A384">
        <v>411</v>
      </c>
      <c r="B384" t="s">
        <v>1869</v>
      </c>
      <c r="C384" t="s">
        <v>13</v>
      </c>
      <c r="D384" t="s">
        <v>13</v>
      </c>
      <c r="E384" t="s">
        <v>682</v>
      </c>
      <c r="F384" t="s">
        <v>1354</v>
      </c>
      <c r="G384" t="s">
        <v>1870</v>
      </c>
      <c r="H384" t="s">
        <v>1871</v>
      </c>
      <c r="I384" t="s">
        <v>1872</v>
      </c>
      <c r="J384" t="s">
        <v>1819</v>
      </c>
      <c r="K384" t="s">
        <v>1873</v>
      </c>
      <c r="L384" t="s">
        <v>54</v>
      </c>
    </row>
    <row r="385" spans="1:12">
      <c r="A385">
        <v>412</v>
      </c>
      <c r="B385" t="s">
        <v>1874</v>
      </c>
      <c r="C385" t="s">
        <v>56</v>
      </c>
      <c r="D385" t="s">
        <v>57</v>
      </c>
      <c r="E385" t="s">
        <v>656</v>
      </c>
      <c r="F385" t="s">
        <v>1875</v>
      </c>
      <c r="G385" t="s">
        <v>1876</v>
      </c>
      <c r="H385" t="s">
        <v>1432</v>
      </c>
      <c r="I385" t="s">
        <v>1877</v>
      </c>
      <c r="J385" t="s">
        <v>1878</v>
      </c>
      <c r="K385" t="s">
        <v>1879</v>
      </c>
      <c r="L385" t="s">
        <v>21</v>
      </c>
    </row>
    <row r="386" spans="1:12">
      <c r="A386">
        <v>413</v>
      </c>
      <c r="B386" t="s">
        <v>1880</v>
      </c>
      <c r="C386" t="s">
        <v>240</v>
      </c>
      <c r="D386" t="s">
        <v>286</v>
      </c>
      <c r="E386" t="s">
        <v>656</v>
      </c>
      <c r="F386" t="s">
        <v>1881</v>
      </c>
      <c r="G386" t="s">
        <v>1876</v>
      </c>
      <c r="H386" t="s">
        <v>1882</v>
      </c>
      <c r="I386" t="s">
        <v>1883</v>
      </c>
      <c r="J386" t="s">
        <v>1884</v>
      </c>
      <c r="K386" t="s">
        <v>1885</v>
      </c>
      <c r="L386" t="s">
        <v>54</v>
      </c>
    </row>
    <row r="387" spans="1:12">
      <c r="A387">
        <v>414</v>
      </c>
      <c r="B387" t="s">
        <v>1886</v>
      </c>
      <c r="C387" t="s">
        <v>13</v>
      </c>
      <c r="D387" t="s">
        <v>13</v>
      </c>
      <c r="E387" t="s">
        <v>656</v>
      </c>
      <c r="F387" t="s">
        <v>1875</v>
      </c>
      <c r="G387" t="s">
        <v>1768</v>
      </c>
      <c r="H387" t="s">
        <v>1887</v>
      </c>
      <c r="I387" t="s">
        <v>1888</v>
      </c>
      <c r="J387" t="s">
        <v>1889</v>
      </c>
      <c r="K387" t="s">
        <v>1890</v>
      </c>
      <c r="L387" t="s">
        <v>54</v>
      </c>
    </row>
    <row r="388" spans="1:12">
      <c r="A388">
        <v>415</v>
      </c>
      <c r="B388" t="s">
        <v>1891</v>
      </c>
      <c r="C388" t="s">
        <v>200</v>
      </c>
      <c r="D388" t="s">
        <v>100</v>
      </c>
      <c r="E388" t="s">
        <v>438</v>
      </c>
      <c r="F388" t="s">
        <v>1354</v>
      </c>
      <c r="G388" t="s">
        <v>138</v>
      </c>
      <c r="H388" t="s">
        <v>1817</v>
      </c>
      <c r="I388" t="s">
        <v>1892</v>
      </c>
      <c r="J388" t="s">
        <v>1893</v>
      </c>
      <c r="K388" t="s">
        <v>1894</v>
      </c>
      <c r="L388" t="s">
        <v>54</v>
      </c>
    </row>
    <row r="389" spans="1:12">
      <c r="A389">
        <v>416</v>
      </c>
      <c r="B389" t="s">
        <v>1895</v>
      </c>
      <c r="C389" t="s">
        <v>13</v>
      </c>
      <c r="D389" t="s">
        <v>13</v>
      </c>
      <c r="E389" t="s">
        <v>682</v>
      </c>
      <c r="F389" t="s">
        <v>1875</v>
      </c>
      <c r="G389" t="s">
        <v>1896</v>
      </c>
      <c r="H389" t="s">
        <v>1875</v>
      </c>
      <c r="I389" t="s">
        <v>1897</v>
      </c>
      <c r="J389" t="s">
        <v>1878</v>
      </c>
      <c r="K389" t="s">
        <v>1330</v>
      </c>
      <c r="L389" t="s">
        <v>36</v>
      </c>
    </row>
    <row r="390" spans="1:12">
      <c r="A390">
        <v>417</v>
      </c>
      <c r="B390" t="s">
        <v>1898</v>
      </c>
      <c r="C390" t="s">
        <v>13</v>
      </c>
      <c r="D390" t="s">
        <v>13</v>
      </c>
      <c r="E390" t="s">
        <v>682</v>
      </c>
      <c r="F390" t="s">
        <v>1881</v>
      </c>
      <c r="G390" t="s">
        <v>1896</v>
      </c>
      <c r="H390" t="s">
        <v>1881</v>
      </c>
      <c r="I390" t="s">
        <v>1899</v>
      </c>
      <c r="J390" t="s">
        <v>1884</v>
      </c>
      <c r="K390" t="s">
        <v>1079</v>
      </c>
      <c r="L390" t="s">
        <v>36</v>
      </c>
    </row>
    <row r="391" spans="1:12">
      <c r="A391">
        <v>418</v>
      </c>
      <c r="B391" t="s">
        <v>1891</v>
      </c>
      <c r="C391" t="s">
        <v>200</v>
      </c>
      <c r="D391" t="s">
        <v>100</v>
      </c>
      <c r="E391" t="s">
        <v>438</v>
      </c>
      <c r="F391" t="s">
        <v>1881</v>
      </c>
      <c r="G391" t="s">
        <v>138</v>
      </c>
      <c r="H391" t="s">
        <v>1817</v>
      </c>
      <c r="I391" t="s">
        <v>1900</v>
      </c>
      <c r="J391" t="s">
        <v>1819</v>
      </c>
      <c r="K391" t="s">
        <v>1885</v>
      </c>
      <c r="L391" t="s">
        <v>36</v>
      </c>
    </row>
    <row r="392" spans="1:12">
      <c r="A392">
        <v>419</v>
      </c>
      <c r="B392" t="s">
        <v>1901</v>
      </c>
      <c r="C392" t="s">
        <v>522</v>
      </c>
      <c r="D392" t="s">
        <v>211</v>
      </c>
      <c r="E392" t="s">
        <v>1146</v>
      </c>
      <c r="F392" t="s">
        <v>1881</v>
      </c>
      <c r="G392" t="s">
        <v>1902</v>
      </c>
      <c r="H392" t="s">
        <v>1903</v>
      </c>
      <c r="I392" t="s">
        <v>1904</v>
      </c>
      <c r="J392" t="s">
        <v>1819</v>
      </c>
      <c r="K392" t="s">
        <v>1905</v>
      </c>
      <c r="L392" t="s">
        <v>21</v>
      </c>
    </row>
    <row r="393" spans="1:12">
      <c r="A393">
        <v>420</v>
      </c>
      <c r="B393" t="s">
        <v>1906</v>
      </c>
      <c r="C393" t="s">
        <v>13</v>
      </c>
      <c r="D393" t="s">
        <v>13</v>
      </c>
      <c r="E393" t="s">
        <v>1907</v>
      </c>
      <c r="F393" t="s">
        <v>1881</v>
      </c>
      <c r="G393" t="s">
        <v>1908</v>
      </c>
      <c r="H393" t="s">
        <v>1882</v>
      </c>
      <c r="I393" t="s">
        <v>1909</v>
      </c>
      <c r="J393" t="s">
        <v>1910</v>
      </c>
      <c r="K393" t="s">
        <v>1885</v>
      </c>
      <c r="L393" t="s">
        <v>36</v>
      </c>
    </row>
    <row r="394" spans="1:12">
      <c r="A394">
        <v>421</v>
      </c>
      <c r="B394" t="s">
        <v>1911</v>
      </c>
      <c r="C394" t="s">
        <v>99</v>
      </c>
      <c r="D394" t="s">
        <v>260</v>
      </c>
      <c r="E394" t="s">
        <v>1164</v>
      </c>
      <c r="F394" t="s">
        <v>1881</v>
      </c>
      <c r="G394" t="s">
        <v>1912</v>
      </c>
      <c r="H394" t="s">
        <v>1913</v>
      </c>
      <c r="I394" t="s">
        <v>1914</v>
      </c>
      <c r="J394" t="s">
        <v>1915</v>
      </c>
      <c r="K394" t="s">
        <v>1885</v>
      </c>
      <c r="L394" t="s">
        <v>54</v>
      </c>
    </row>
    <row r="395" spans="1:12">
      <c r="A395">
        <v>422</v>
      </c>
      <c r="B395" t="s">
        <v>1916</v>
      </c>
      <c r="C395" t="s">
        <v>298</v>
      </c>
      <c r="D395" t="s">
        <v>211</v>
      </c>
      <c r="E395" t="s">
        <v>1917</v>
      </c>
      <c r="F395" t="s">
        <v>1881</v>
      </c>
      <c r="G395" t="s">
        <v>31</v>
      </c>
      <c r="H395" t="s">
        <v>1882</v>
      </c>
      <c r="I395" t="s">
        <v>1918</v>
      </c>
      <c r="J395" t="s">
        <v>1910</v>
      </c>
      <c r="K395" t="s">
        <v>13</v>
      </c>
      <c r="L395" t="s">
        <v>54</v>
      </c>
    </row>
    <row r="396" spans="1:12">
      <c r="A396">
        <v>423</v>
      </c>
      <c r="B396" t="s">
        <v>1919</v>
      </c>
      <c r="C396" t="s">
        <v>240</v>
      </c>
      <c r="D396" t="s">
        <v>158</v>
      </c>
      <c r="E396" t="s">
        <v>603</v>
      </c>
      <c r="F396" t="s">
        <v>1881</v>
      </c>
      <c r="G396" t="s">
        <v>76</v>
      </c>
      <c r="H396" t="s">
        <v>1920</v>
      </c>
      <c r="I396" t="s">
        <v>1921</v>
      </c>
      <c r="J396" t="s">
        <v>79</v>
      </c>
      <c r="K396" t="s">
        <v>1922</v>
      </c>
      <c r="L396" t="s">
        <v>54</v>
      </c>
    </row>
    <row r="397" spans="1:12">
      <c r="A397">
        <v>424</v>
      </c>
      <c r="B397" t="s">
        <v>1923</v>
      </c>
      <c r="C397" t="s">
        <v>580</v>
      </c>
      <c r="D397" t="s">
        <v>39</v>
      </c>
      <c r="E397" t="s">
        <v>123</v>
      </c>
      <c r="F397" t="s">
        <v>1875</v>
      </c>
      <c r="G397" t="s">
        <v>1924</v>
      </c>
      <c r="H397" t="s">
        <v>1432</v>
      </c>
      <c r="I397" t="s">
        <v>1925</v>
      </c>
      <c r="J397" t="s">
        <v>1926</v>
      </c>
      <c r="K397" t="s">
        <v>1927</v>
      </c>
      <c r="L397" t="s">
        <v>21</v>
      </c>
    </row>
    <row r="398" spans="1:12">
      <c r="A398">
        <v>425</v>
      </c>
      <c r="B398" t="s">
        <v>1928</v>
      </c>
      <c r="C398" t="s">
        <v>150</v>
      </c>
      <c r="D398" t="s">
        <v>47</v>
      </c>
      <c r="E398" t="s">
        <v>1929</v>
      </c>
      <c r="F398" t="s">
        <v>1875</v>
      </c>
      <c r="G398" t="s">
        <v>1930</v>
      </c>
      <c r="H398" t="s">
        <v>1432</v>
      </c>
      <c r="I398" t="s">
        <v>1931</v>
      </c>
      <c r="J398" t="s">
        <v>1926</v>
      </c>
      <c r="K398" t="s">
        <v>1932</v>
      </c>
      <c r="L398" t="s">
        <v>21</v>
      </c>
    </row>
    <row r="399" spans="1:12">
      <c r="A399">
        <v>426</v>
      </c>
      <c r="B399" t="s">
        <v>1933</v>
      </c>
      <c r="C399" t="s">
        <v>195</v>
      </c>
      <c r="D399" t="s">
        <v>47</v>
      </c>
      <c r="E399" t="s">
        <v>455</v>
      </c>
      <c r="F399" t="s">
        <v>1875</v>
      </c>
      <c r="G399" t="s">
        <v>1934</v>
      </c>
      <c r="H399" t="s">
        <v>1935</v>
      </c>
      <c r="I399" t="s">
        <v>1936</v>
      </c>
      <c r="J399" t="s">
        <v>1937</v>
      </c>
      <c r="K399" t="s">
        <v>1938</v>
      </c>
      <c r="L399" t="s">
        <v>21</v>
      </c>
    </row>
    <row r="400" spans="1:12">
      <c r="A400">
        <v>427</v>
      </c>
      <c r="B400" t="s">
        <v>1939</v>
      </c>
      <c r="C400" t="s">
        <v>1129</v>
      </c>
      <c r="D400" t="s">
        <v>286</v>
      </c>
      <c r="E400" t="s">
        <v>460</v>
      </c>
      <c r="F400" t="s">
        <v>1875</v>
      </c>
      <c r="G400" t="s">
        <v>827</v>
      </c>
      <c r="H400" t="s">
        <v>1432</v>
      </c>
      <c r="I400" t="s">
        <v>1940</v>
      </c>
      <c r="J400" t="s">
        <v>1941</v>
      </c>
      <c r="K400" t="s">
        <v>1942</v>
      </c>
      <c r="L400" t="s">
        <v>21</v>
      </c>
    </row>
    <row r="401" spans="1:12">
      <c r="A401">
        <v>428</v>
      </c>
      <c r="B401" t="s">
        <v>1943</v>
      </c>
      <c r="C401" t="s">
        <v>13</v>
      </c>
      <c r="D401" t="s">
        <v>13</v>
      </c>
      <c r="E401" t="s">
        <v>627</v>
      </c>
      <c r="F401" t="s">
        <v>1875</v>
      </c>
      <c r="G401" t="s">
        <v>1944</v>
      </c>
      <c r="H401" t="s">
        <v>1817</v>
      </c>
      <c r="I401" t="s">
        <v>1945</v>
      </c>
      <c r="J401" t="s">
        <v>1946</v>
      </c>
      <c r="K401" t="s">
        <v>1947</v>
      </c>
      <c r="L401" t="s">
        <v>21</v>
      </c>
    </row>
    <row r="402" spans="1:12">
      <c r="A402">
        <v>429</v>
      </c>
      <c r="B402" t="s">
        <v>1948</v>
      </c>
      <c r="C402" t="s">
        <v>251</v>
      </c>
      <c r="D402" t="s">
        <v>47</v>
      </c>
      <c r="E402" t="s">
        <v>648</v>
      </c>
      <c r="F402" t="s">
        <v>1875</v>
      </c>
      <c r="G402" t="s">
        <v>827</v>
      </c>
      <c r="H402" t="s">
        <v>1949</v>
      </c>
      <c r="I402" t="s">
        <v>1950</v>
      </c>
      <c r="J402" t="s">
        <v>830</v>
      </c>
      <c r="K402" t="s">
        <v>1951</v>
      </c>
      <c r="L402" t="s">
        <v>21</v>
      </c>
    </row>
    <row r="403" spans="1:12">
      <c r="A403">
        <v>430</v>
      </c>
      <c r="B403" t="s">
        <v>1952</v>
      </c>
      <c r="C403" t="s">
        <v>353</v>
      </c>
      <c r="D403" t="s">
        <v>267</v>
      </c>
      <c r="E403" t="s">
        <v>643</v>
      </c>
      <c r="F403" t="s">
        <v>1875</v>
      </c>
      <c r="G403" t="s">
        <v>31</v>
      </c>
      <c r="H403" t="s">
        <v>1432</v>
      </c>
      <c r="I403" t="s">
        <v>1953</v>
      </c>
      <c r="J403" t="s">
        <v>1926</v>
      </c>
      <c r="K403" t="s">
        <v>1954</v>
      </c>
      <c r="L403" t="s">
        <v>36</v>
      </c>
    </row>
    <row r="404" spans="1:12">
      <c r="A404">
        <v>431</v>
      </c>
      <c r="B404" t="s">
        <v>1955</v>
      </c>
      <c r="C404" t="s">
        <v>13</v>
      </c>
      <c r="D404" t="s">
        <v>13</v>
      </c>
      <c r="E404" t="s">
        <v>348</v>
      </c>
      <c r="F404" t="s">
        <v>1875</v>
      </c>
      <c r="G404" t="s">
        <v>563</v>
      </c>
      <c r="H404" t="s">
        <v>1956</v>
      </c>
      <c r="I404" t="s">
        <v>1957</v>
      </c>
      <c r="J404" t="s">
        <v>1958</v>
      </c>
      <c r="K404" t="s">
        <v>1959</v>
      </c>
      <c r="L404" t="s">
        <v>54</v>
      </c>
    </row>
    <row r="405" spans="1:12">
      <c r="A405">
        <v>432</v>
      </c>
      <c r="B405" t="s">
        <v>1960</v>
      </c>
      <c r="C405" t="s">
        <v>522</v>
      </c>
      <c r="D405" t="s">
        <v>39</v>
      </c>
      <c r="E405" t="s">
        <v>174</v>
      </c>
      <c r="F405" t="s">
        <v>1875</v>
      </c>
      <c r="G405" t="s">
        <v>1961</v>
      </c>
      <c r="H405" t="s">
        <v>1903</v>
      </c>
      <c r="I405" t="s">
        <v>1962</v>
      </c>
      <c r="J405" t="s">
        <v>1946</v>
      </c>
      <c r="K405" t="s">
        <v>1963</v>
      </c>
      <c r="L405" t="s">
        <v>21</v>
      </c>
    </row>
    <row r="406" spans="1:12">
      <c r="A406">
        <v>433</v>
      </c>
      <c r="B406" t="s">
        <v>1964</v>
      </c>
      <c r="C406" t="s">
        <v>200</v>
      </c>
      <c r="D406" t="s">
        <v>47</v>
      </c>
      <c r="E406" t="s">
        <v>231</v>
      </c>
      <c r="F406" t="s">
        <v>1881</v>
      </c>
      <c r="G406" t="s">
        <v>76</v>
      </c>
      <c r="H406" t="s">
        <v>1881</v>
      </c>
      <c r="I406" t="s">
        <v>1965</v>
      </c>
      <c r="J406" t="s">
        <v>79</v>
      </c>
      <c r="K406" t="s">
        <v>1922</v>
      </c>
      <c r="L406" t="s">
        <v>54</v>
      </c>
    </row>
    <row r="407" spans="1:12">
      <c r="A407">
        <v>434</v>
      </c>
      <c r="B407" t="s">
        <v>1966</v>
      </c>
      <c r="C407" t="s">
        <v>1129</v>
      </c>
      <c r="D407" t="s">
        <v>66</v>
      </c>
      <c r="E407" t="s">
        <v>1426</v>
      </c>
      <c r="F407" t="s">
        <v>1881</v>
      </c>
      <c r="G407" t="s">
        <v>1967</v>
      </c>
      <c r="H407" t="s">
        <v>1882</v>
      </c>
      <c r="I407" t="s">
        <v>1968</v>
      </c>
      <c r="J407" t="s">
        <v>1910</v>
      </c>
      <c r="K407" t="s">
        <v>13</v>
      </c>
      <c r="L407" t="s">
        <v>36</v>
      </c>
    </row>
    <row r="408" spans="1:12">
      <c r="A408">
        <v>435</v>
      </c>
      <c r="B408" t="s">
        <v>1969</v>
      </c>
      <c r="C408" t="s">
        <v>13</v>
      </c>
      <c r="D408" t="s">
        <v>13</v>
      </c>
      <c r="E408" t="s">
        <v>151</v>
      </c>
      <c r="F408" t="s">
        <v>1881</v>
      </c>
      <c r="G408" t="s">
        <v>31</v>
      </c>
      <c r="H408" t="s">
        <v>1881</v>
      </c>
      <c r="I408" t="s">
        <v>1970</v>
      </c>
      <c r="J408" t="s">
        <v>1910</v>
      </c>
      <c r="K408" t="s">
        <v>1971</v>
      </c>
      <c r="L408" t="s">
        <v>36</v>
      </c>
    </row>
    <row r="409" spans="1:12">
      <c r="A409">
        <v>436</v>
      </c>
      <c r="B409" t="s">
        <v>1972</v>
      </c>
      <c r="C409" t="s">
        <v>115</v>
      </c>
      <c r="D409" t="s">
        <v>47</v>
      </c>
      <c r="E409" t="s">
        <v>1973</v>
      </c>
      <c r="F409" t="s">
        <v>1578</v>
      </c>
      <c r="G409" t="s">
        <v>1123</v>
      </c>
      <c r="H409" t="s">
        <v>1974</v>
      </c>
      <c r="I409" t="s">
        <v>1975</v>
      </c>
      <c r="J409" t="s">
        <v>1976</v>
      </c>
      <c r="K409" t="s">
        <v>1977</v>
      </c>
      <c r="L409" t="s">
        <v>21</v>
      </c>
    </row>
    <row r="410" spans="1:12">
      <c r="A410">
        <v>437</v>
      </c>
      <c r="B410" t="s">
        <v>1978</v>
      </c>
      <c r="C410" t="s">
        <v>38</v>
      </c>
      <c r="D410" t="s">
        <v>211</v>
      </c>
      <c r="E410" t="s">
        <v>1973</v>
      </c>
      <c r="F410" t="s">
        <v>1578</v>
      </c>
      <c r="G410" t="s">
        <v>1400</v>
      </c>
      <c r="H410" t="s">
        <v>974</v>
      </c>
      <c r="I410" t="s">
        <v>1979</v>
      </c>
      <c r="J410" t="s">
        <v>1980</v>
      </c>
      <c r="K410" t="s">
        <v>79</v>
      </c>
      <c r="L410" t="s">
        <v>36</v>
      </c>
    </row>
    <row r="411" spans="1:12">
      <c r="A411">
        <v>438</v>
      </c>
      <c r="B411" t="s">
        <v>1981</v>
      </c>
      <c r="C411" t="s">
        <v>13</v>
      </c>
      <c r="D411" t="s">
        <v>13</v>
      </c>
      <c r="E411" t="s">
        <v>123</v>
      </c>
      <c r="F411" t="s">
        <v>1578</v>
      </c>
      <c r="G411" t="s">
        <v>1982</v>
      </c>
      <c r="H411" t="s">
        <v>1983</v>
      </c>
      <c r="I411" t="s">
        <v>1984</v>
      </c>
      <c r="J411" t="s">
        <v>1985</v>
      </c>
      <c r="K411" t="s">
        <v>1986</v>
      </c>
      <c r="L411" t="s">
        <v>36</v>
      </c>
    </row>
    <row r="412" spans="1:12">
      <c r="A412">
        <v>439</v>
      </c>
      <c r="B412" t="s">
        <v>1987</v>
      </c>
      <c r="C412" t="s">
        <v>331</v>
      </c>
      <c r="D412" t="s">
        <v>57</v>
      </c>
      <c r="E412" t="s">
        <v>1387</v>
      </c>
      <c r="F412" t="s">
        <v>1578</v>
      </c>
      <c r="G412" t="s">
        <v>1988</v>
      </c>
      <c r="H412" t="s">
        <v>1989</v>
      </c>
      <c r="I412" t="s">
        <v>1990</v>
      </c>
      <c r="J412" t="s">
        <v>1991</v>
      </c>
      <c r="K412" t="s">
        <v>1992</v>
      </c>
      <c r="L412" t="s">
        <v>54</v>
      </c>
    </row>
    <row r="413" spans="1:12">
      <c r="A413">
        <v>440</v>
      </c>
      <c r="B413" t="s">
        <v>1993</v>
      </c>
      <c r="C413" t="s">
        <v>246</v>
      </c>
      <c r="D413" t="s">
        <v>260</v>
      </c>
      <c r="E413" t="s">
        <v>1164</v>
      </c>
      <c r="F413" t="s">
        <v>1578</v>
      </c>
      <c r="G413" t="s">
        <v>1994</v>
      </c>
      <c r="H413" t="s">
        <v>1983</v>
      </c>
      <c r="I413" t="s">
        <v>1995</v>
      </c>
      <c r="J413" t="s">
        <v>1996</v>
      </c>
      <c r="K413" t="s">
        <v>1997</v>
      </c>
      <c r="L413" t="s">
        <v>36</v>
      </c>
    </row>
    <row r="414" spans="1:12">
      <c r="A414">
        <v>441</v>
      </c>
      <c r="B414" t="s">
        <v>1998</v>
      </c>
      <c r="C414" t="s">
        <v>522</v>
      </c>
      <c r="D414" t="s">
        <v>260</v>
      </c>
      <c r="E414" t="s">
        <v>1396</v>
      </c>
      <c r="F414" t="s">
        <v>1578</v>
      </c>
      <c r="G414" t="s">
        <v>1400</v>
      </c>
      <c r="H414" t="s">
        <v>1999</v>
      </c>
      <c r="I414" t="s">
        <v>2000</v>
      </c>
      <c r="J414" t="s">
        <v>1991</v>
      </c>
      <c r="K414" t="s">
        <v>2001</v>
      </c>
      <c r="L414" t="s">
        <v>36</v>
      </c>
    </row>
    <row r="415" spans="1:12">
      <c r="A415">
        <v>442</v>
      </c>
      <c r="B415" t="s">
        <v>2002</v>
      </c>
      <c r="C415" t="s">
        <v>246</v>
      </c>
      <c r="D415" t="s">
        <v>39</v>
      </c>
      <c r="E415" t="s">
        <v>201</v>
      </c>
      <c r="F415" t="s">
        <v>1578</v>
      </c>
      <c r="G415" t="s">
        <v>2003</v>
      </c>
      <c r="H415" t="s">
        <v>2004</v>
      </c>
      <c r="I415" t="s">
        <v>2005</v>
      </c>
      <c r="J415" t="s">
        <v>2006</v>
      </c>
      <c r="K415" t="s">
        <v>2007</v>
      </c>
      <c r="L415" t="s">
        <v>21</v>
      </c>
    </row>
    <row r="416" spans="1:12">
      <c r="A416">
        <v>443</v>
      </c>
      <c r="B416" t="s">
        <v>2008</v>
      </c>
      <c r="C416" t="s">
        <v>331</v>
      </c>
      <c r="D416" t="s">
        <v>211</v>
      </c>
      <c r="E416" t="s">
        <v>1609</v>
      </c>
      <c r="F416" t="s">
        <v>1578</v>
      </c>
      <c r="G416" t="s">
        <v>31</v>
      </c>
      <c r="H416" t="s">
        <v>1578</v>
      </c>
      <c r="I416" t="s">
        <v>2009</v>
      </c>
      <c r="J416" t="s">
        <v>1980</v>
      </c>
      <c r="K416" t="s">
        <v>2010</v>
      </c>
      <c r="L416" t="s">
        <v>21</v>
      </c>
    </row>
    <row r="417" spans="1:12">
      <c r="A417">
        <v>446</v>
      </c>
      <c r="B417" t="s">
        <v>2011</v>
      </c>
      <c r="C417" t="s">
        <v>74</v>
      </c>
      <c r="D417" t="s">
        <v>211</v>
      </c>
      <c r="E417" t="s">
        <v>1409</v>
      </c>
      <c r="F417" t="s">
        <v>1578</v>
      </c>
      <c r="G417" t="s">
        <v>1961</v>
      </c>
      <c r="H417" t="s">
        <v>2012</v>
      </c>
      <c r="I417" t="s">
        <v>2013</v>
      </c>
      <c r="J417" t="s">
        <v>2014</v>
      </c>
      <c r="K417" t="s">
        <v>2015</v>
      </c>
      <c r="L417" t="s">
        <v>21</v>
      </c>
    </row>
    <row r="418" spans="1:12">
      <c r="A418">
        <v>447</v>
      </c>
      <c r="B418" t="s">
        <v>2016</v>
      </c>
      <c r="C418" t="s">
        <v>362</v>
      </c>
      <c r="D418" t="s">
        <v>211</v>
      </c>
      <c r="E418" t="s">
        <v>1409</v>
      </c>
      <c r="F418" t="s">
        <v>1578</v>
      </c>
      <c r="G418" t="s">
        <v>2017</v>
      </c>
      <c r="H418" t="s">
        <v>2018</v>
      </c>
      <c r="I418" t="s">
        <v>2019</v>
      </c>
      <c r="J418" t="s">
        <v>1980</v>
      </c>
      <c r="K418" t="s">
        <v>2020</v>
      </c>
      <c r="L418" t="s">
        <v>21</v>
      </c>
    </row>
    <row r="419" spans="1:12">
      <c r="A419">
        <v>448</v>
      </c>
      <c r="B419" t="s">
        <v>2021</v>
      </c>
      <c r="C419" t="s">
        <v>74</v>
      </c>
      <c r="D419" t="s">
        <v>260</v>
      </c>
      <c r="E419" t="s">
        <v>294</v>
      </c>
      <c r="F419" t="s">
        <v>1578</v>
      </c>
      <c r="G419" t="s">
        <v>2022</v>
      </c>
      <c r="H419" t="s">
        <v>974</v>
      </c>
      <c r="I419" t="s">
        <v>2023</v>
      </c>
      <c r="J419" t="s">
        <v>2024</v>
      </c>
      <c r="K419" t="s">
        <v>2025</v>
      </c>
      <c r="L419" t="s">
        <v>21</v>
      </c>
    </row>
    <row r="420" spans="1:12">
      <c r="A420">
        <v>449</v>
      </c>
      <c r="B420" t="s">
        <v>2026</v>
      </c>
      <c r="C420" t="s">
        <v>107</v>
      </c>
      <c r="D420" t="s">
        <v>158</v>
      </c>
      <c r="E420" t="s">
        <v>623</v>
      </c>
      <c r="F420" t="s">
        <v>1578</v>
      </c>
      <c r="G420" t="s">
        <v>2027</v>
      </c>
      <c r="H420" t="s">
        <v>2028</v>
      </c>
      <c r="I420" t="s">
        <v>2029</v>
      </c>
      <c r="J420" t="s">
        <v>1980</v>
      </c>
      <c r="K420" t="s">
        <v>2030</v>
      </c>
      <c r="L420" t="s">
        <v>21</v>
      </c>
    </row>
    <row r="421" spans="1:12">
      <c r="A421">
        <v>450</v>
      </c>
      <c r="B421" t="s">
        <v>2031</v>
      </c>
      <c r="C421" t="s">
        <v>321</v>
      </c>
      <c r="D421" t="s">
        <v>83</v>
      </c>
      <c r="E421" t="s">
        <v>348</v>
      </c>
      <c r="F421" t="s">
        <v>1578</v>
      </c>
      <c r="G421" t="s">
        <v>2032</v>
      </c>
      <c r="H421" t="s">
        <v>2033</v>
      </c>
      <c r="I421" t="s">
        <v>2034</v>
      </c>
      <c r="J421" t="s">
        <v>2035</v>
      </c>
      <c r="K421" t="s">
        <v>2030</v>
      </c>
      <c r="L421" t="s">
        <v>21</v>
      </c>
    </row>
    <row r="422" spans="1:12">
      <c r="A422">
        <v>451</v>
      </c>
      <c r="B422" t="s">
        <v>2036</v>
      </c>
      <c r="C422" t="s">
        <v>13</v>
      </c>
      <c r="D422" t="s">
        <v>13</v>
      </c>
      <c r="E422" t="s">
        <v>294</v>
      </c>
      <c r="F422" t="s">
        <v>1578</v>
      </c>
      <c r="G422" t="s">
        <v>1647</v>
      </c>
      <c r="H422" t="s">
        <v>1578</v>
      </c>
      <c r="I422" t="s">
        <v>2037</v>
      </c>
      <c r="J422" t="s">
        <v>1980</v>
      </c>
      <c r="K422" t="s">
        <v>2038</v>
      </c>
      <c r="L422" t="s">
        <v>21</v>
      </c>
    </row>
    <row r="423" spans="1:12">
      <c r="A423">
        <v>452</v>
      </c>
      <c r="B423" t="s">
        <v>2039</v>
      </c>
      <c r="C423" t="s">
        <v>580</v>
      </c>
      <c r="D423" t="s">
        <v>39</v>
      </c>
      <c r="E423" t="s">
        <v>84</v>
      </c>
      <c r="F423" t="s">
        <v>1578</v>
      </c>
      <c r="G423" t="s">
        <v>2040</v>
      </c>
      <c r="H423" t="s">
        <v>2041</v>
      </c>
      <c r="I423" t="s">
        <v>2042</v>
      </c>
      <c r="J423" t="s">
        <v>1980</v>
      </c>
      <c r="K423" t="s">
        <v>2030</v>
      </c>
      <c r="L423" t="s">
        <v>21</v>
      </c>
    </row>
    <row r="424" spans="1:12">
      <c r="A424">
        <v>453</v>
      </c>
      <c r="B424" t="s">
        <v>2043</v>
      </c>
      <c r="C424" t="s">
        <v>38</v>
      </c>
      <c r="D424" t="s">
        <v>47</v>
      </c>
      <c r="E424" t="s">
        <v>299</v>
      </c>
      <c r="F424" t="s">
        <v>1578</v>
      </c>
      <c r="G424" t="s">
        <v>1961</v>
      </c>
      <c r="H424" t="s">
        <v>2044</v>
      </c>
      <c r="I424" t="s">
        <v>2045</v>
      </c>
      <c r="J424" t="s">
        <v>2014</v>
      </c>
      <c r="K424" t="s">
        <v>2046</v>
      </c>
      <c r="L424" t="s">
        <v>21</v>
      </c>
    </row>
    <row r="425" spans="1:12">
      <c r="A425">
        <v>454</v>
      </c>
      <c r="B425" t="s">
        <v>2047</v>
      </c>
      <c r="C425" t="s">
        <v>13</v>
      </c>
      <c r="D425" t="s">
        <v>13</v>
      </c>
      <c r="E425" t="s">
        <v>166</v>
      </c>
      <c r="F425" t="s">
        <v>1578</v>
      </c>
      <c r="G425" t="s">
        <v>984</v>
      </c>
      <c r="H425" t="s">
        <v>1578</v>
      </c>
      <c r="I425" t="s">
        <v>2048</v>
      </c>
      <c r="J425" t="s">
        <v>1980</v>
      </c>
      <c r="K425" t="s">
        <v>2049</v>
      </c>
      <c r="L425" t="s">
        <v>21</v>
      </c>
    </row>
    <row r="426" spans="1:12">
      <c r="A426">
        <v>455</v>
      </c>
      <c r="B426" t="s">
        <v>2050</v>
      </c>
      <c r="C426" t="s">
        <v>230</v>
      </c>
      <c r="D426" t="s">
        <v>83</v>
      </c>
      <c r="E426" t="s">
        <v>348</v>
      </c>
      <c r="F426" t="s">
        <v>1578</v>
      </c>
      <c r="G426" t="s">
        <v>280</v>
      </c>
      <c r="H426" t="s">
        <v>1578</v>
      </c>
      <c r="I426" t="s">
        <v>2051</v>
      </c>
      <c r="J426" t="s">
        <v>2052</v>
      </c>
      <c r="K426" t="s">
        <v>13</v>
      </c>
      <c r="L426" t="s">
        <v>54</v>
      </c>
    </row>
    <row r="427" spans="1:12">
      <c r="A427">
        <v>456</v>
      </c>
      <c r="B427" t="s">
        <v>2053</v>
      </c>
      <c r="C427" t="s">
        <v>13</v>
      </c>
      <c r="D427" t="s">
        <v>13</v>
      </c>
      <c r="E427" t="s">
        <v>2054</v>
      </c>
      <c r="F427" t="s">
        <v>1578</v>
      </c>
      <c r="G427" t="s">
        <v>1022</v>
      </c>
      <c r="H427" t="s">
        <v>2055</v>
      </c>
      <c r="I427" t="s">
        <v>2056</v>
      </c>
      <c r="J427" t="s">
        <v>1980</v>
      </c>
      <c r="K427" t="s">
        <v>2057</v>
      </c>
      <c r="L427" t="s">
        <v>21</v>
      </c>
    </row>
    <row r="428" spans="1:12">
      <c r="A428">
        <v>457</v>
      </c>
      <c r="B428" t="s">
        <v>2058</v>
      </c>
      <c r="C428" t="s">
        <v>13</v>
      </c>
      <c r="D428" t="s">
        <v>13</v>
      </c>
      <c r="E428" t="s">
        <v>2059</v>
      </c>
      <c r="F428" t="s">
        <v>1578</v>
      </c>
      <c r="G428" t="s">
        <v>778</v>
      </c>
      <c r="H428" t="s">
        <v>2028</v>
      </c>
      <c r="I428" t="s">
        <v>2060</v>
      </c>
      <c r="J428" t="s">
        <v>1980</v>
      </c>
      <c r="K428" t="s">
        <v>2061</v>
      </c>
      <c r="L428" t="s">
        <v>21</v>
      </c>
    </row>
    <row r="429" spans="1:12">
      <c r="A429">
        <v>458</v>
      </c>
      <c r="B429" t="s">
        <v>2062</v>
      </c>
      <c r="C429" t="s">
        <v>13</v>
      </c>
      <c r="D429" t="s">
        <v>13</v>
      </c>
      <c r="E429" t="s">
        <v>2063</v>
      </c>
      <c r="F429" t="s">
        <v>1578</v>
      </c>
      <c r="G429" t="s">
        <v>2064</v>
      </c>
      <c r="H429" t="s">
        <v>2055</v>
      </c>
      <c r="I429" t="s">
        <v>2065</v>
      </c>
      <c r="J429" t="s">
        <v>1980</v>
      </c>
      <c r="K429" t="s">
        <v>2066</v>
      </c>
      <c r="L429" t="s">
        <v>21</v>
      </c>
    </row>
    <row r="430" spans="1:12">
      <c r="A430">
        <v>459</v>
      </c>
      <c r="B430" t="s">
        <v>2067</v>
      </c>
      <c r="C430" t="s">
        <v>13</v>
      </c>
      <c r="D430" t="s">
        <v>13</v>
      </c>
      <c r="E430" t="s">
        <v>2068</v>
      </c>
      <c r="F430" t="s">
        <v>1578</v>
      </c>
      <c r="G430" t="s">
        <v>2069</v>
      </c>
      <c r="H430" t="s">
        <v>1578</v>
      </c>
      <c r="I430" t="s">
        <v>2070</v>
      </c>
      <c r="J430" t="s">
        <v>1980</v>
      </c>
      <c r="K430" t="s">
        <v>2071</v>
      </c>
      <c r="L430" t="s">
        <v>36</v>
      </c>
    </row>
    <row r="431" spans="1:12">
      <c r="A431">
        <v>460</v>
      </c>
      <c r="B431" t="s">
        <v>2072</v>
      </c>
      <c r="C431" t="s">
        <v>13</v>
      </c>
      <c r="D431" t="s">
        <v>13</v>
      </c>
      <c r="E431" t="s">
        <v>2073</v>
      </c>
      <c r="F431" t="s">
        <v>1578</v>
      </c>
      <c r="G431" t="s">
        <v>2074</v>
      </c>
      <c r="H431" t="s">
        <v>1578</v>
      </c>
      <c r="I431" t="s">
        <v>2075</v>
      </c>
      <c r="J431" t="s">
        <v>1980</v>
      </c>
      <c r="K431" t="s">
        <v>2076</v>
      </c>
      <c r="L431" t="s">
        <v>21</v>
      </c>
    </row>
    <row r="432" spans="1:12">
      <c r="A432">
        <v>461</v>
      </c>
      <c r="B432" t="s">
        <v>2077</v>
      </c>
      <c r="C432" t="s">
        <v>13</v>
      </c>
      <c r="D432" t="s">
        <v>13</v>
      </c>
      <c r="E432" t="s">
        <v>2078</v>
      </c>
      <c r="F432" t="s">
        <v>1578</v>
      </c>
      <c r="G432" t="s">
        <v>1042</v>
      </c>
      <c r="H432" t="s">
        <v>2079</v>
      </c>
      <c r="I432" t="s">
        <v>2080</v>
      </c>
      <c r="J432" t="s">
        <v>2081</v>
      </c>
      <c r="K432" t="s">
        <v>2082</v>
      </c>
      <c r="L432" t="s">
        <v>21</v>
      </c>
    </row>
    <row r="433" spans="1:12">
      <c r="A433">
        <v>462</v>
      </c>
      <c r="B433" t="s">
        <v>2083</v>
      </c>
      <c r="C433" t="s">
        <v>13</v>
      </c>
      <c r="D433" t="s">
        <v>13</v>
      </c>
      <c r="E433" t="s">
        <v>2084</v>
      </c>
      <c r="F433" t="s">
        <v>1578</v>
      </c>
      <c r="G433" t="s">
        <v>1470</v>
      </c>
      <c r="H433" t="s">
        <v>2085</v>
      </c>
      <c r="I433" t="s">
        <v>2086</v>
      </c>
      <c r="J433" t="s">
        <v>1980</v>
      </c>
      <c r="K433" t="s">
        <v>2087</v>
      </c>
      <c r="L433" t="s">
        <v>36</v>
      </c>
    </row>
    <row r="434" spans="1:12">
      <c r="A434">
        <v>463</v>
      </c>
      <c r="B434" t="s">
        <v>2088</v>
      </c>
      <c r="C434" t="s">
        <v>13</v>
      </c>
      <c r="D434" t="s">
        <v>13</v>
      </c>
      <c r="E434" t="s">
        <v>2089</v>
      </c>
      <c r="F434" t="s">
        <v>1578</v>
      </c>
      <c r="G434" t="s">
        <v>2090</v>
      </c>
      <c r="H434" t="s">
        <v>1578</v>
      </c>
      <c r="I434" t="s">
        <v>2091</v>
      </c>
      <c r="J434" t="s">
        <v>1980</v>
      </c>
      <c r="K434" t="s">
        <v>2092</v>
      </c>
      <c r="L434" t="s">
        <v>21</v>
      </c>
    </row>
    <row r="435" spans="1:12">
      <c r="A435">
        <v>464</v>
      </c>
      <c r="B435" t="s">
        <v>2093</v>
      </c>
      <c r="C435" t="s">
        <v>13</v>
      </c>
      <c r="D435" t="s">
        <v>13</v>
      </c>
      <c r="E435" t="s">
        <v>48</v>
      </c>
      <c r="F435" t="s">
        <v>1578</v>
      </c>
      <c r="G435" t="s">
        <v>2094</v>
      </c>
      <c r="H435" t="s">
        <v>2079</v>
      </c>
      <c r="I435" t="s">
        <v>2095</v>
      </c>
      <c r="J435" t="s">
        <v>1980</v>
      </c>
      <c r="K435" t="s">
        <v>2096</v>
      </c>
      <c r="L435" t="s">
        <v>54</v>
      </c>
    </row>
    <row r="436" spans="1:12">
      <c r="A436">
        <v>466</v>
      </c>
      <c r="B436" t="s">
        <v>2097</v>
      </c>
      <c r="C436" t="s">
        <v>13</v>
      </c>
      <c r="D436" t="s">
        <v>13</v>
      </c>
      <c r="E436" t="s">
        <v>2098</v>
      </c>
      <c r="F436" t="s">
        <v>1578</v>
      </c>
      <c r="G436" t="s">
        <v>2099</v>
      </c>
      <c r="H436" t="s">
        <v>2028</v>
      </c>
      <c r="I436" t="s">
        <v>2100</v>
      </c>
      <c r="J436" t="s">
        <v>2101</v>
      </c>
      <c r="K436" t="s">
        <v>2102</v>
      </c>
      <c r="L436" t="s">
        <v>54</v>
      </c>
    </row>
    <row r="437" spans="1:12">
      <c r="A437">
        <v>467</v>
      </c>
      <c r="B437" t="s">
        <v>2103</v>
      </c>
      <c r="C437" t="s">
        <v>13</v>
      </c>
      <c r="D437" t="s">
        <v>13</v>
      </c>
      <c r="E437" t="s">
        <v>2104</v>
      </c>
      <c r="F437" t="s">
        <v>1578</v>
      </c>
      <c r="G437" t="s">
        <v>500</v>
      </c>
      <c r="H437" t="s">
        <v>1578</v>
      </c>
      <c r="I437" t="s">
        <v>2105</v>
      </c>
      <c r="J437" t="s">
        <v>2106</v>
      </c>
      <c r="K437" t="s">
        <v>2107</v>
      </c>
      <c r="L437" t="s">
        <v>36</v>
      </c>
    </row>
    <row r="438" spans="1:12">
      <c r="A438">
        <v>468</v>
      </c>
      <c r="B438" t="s">
        <v>2108</v>
      </c>
      <c r="C438" t="s">
        <v>13</v>
      </c>
      <c r="D438" t="s">
        <v>13</v>
      </c>
      <c r="E438" t="s">
        <v>394</v>
      </c>
      <c r="F438" t="s">
        <v>1578</v>
      </c>
      <c r="G438" t="s">
        <v>2109</v>
      </c>
      <c r="H438" t="s">
        <v>2110</v>
      </c>
      <c r="I438" t="s">
        <v>2111</v>
      </c>
      <c r="J438" t="s">
        <v>2112</v>
      </c>
      <c r="K438" t="s">
        <v>2113</v>
      </c>
      <c r="L438" t="s">
        <v>36</v>
      </c>
    </row>
    <row r="439" spans="1:12">
      <c r="A439">
        <v>469</v>
      </c>
      <c r="B439" t="s">
        <v>2114</v>
      </c>
      <c r="C439" t="s">
        <v>65</v>
      </c>
      <c r="D439" t="s">
        <v>173</v>
      </c>
      <c r="E439" t="s">
        <v>394</v>
      </c>
      <c r="F439" t="s">
        <v>1578</v>
      </c>
      <c r="G439" t="s">
        <v>1728</v>
      </c>
      <c r="H439" t="s">
        <v>822</v>
      </c>
      <c r="I439" t="s">
        <v>2115</v>
      </c>
      <c r="J439" t="s">
        <v>1980</v>
      </c>
      <c r="K439" t="s">
        <v>2116</v>
      </c>
      <c r="L439" t="s">
        <v>21</v>
      </c>
    </row>
    <row r="440" spans="1:12">
      <c r="A440">
        <v>470</v>
      </c>
      <c r="B440" t="s">
        <v>2117</v>
      </c>
      <c r="C440" t="s">
        <v>13</v>
      </c>
      <c r="D440" t="s">
        <v>13</v>
      </c>
      <c r="E440" t="s">
        <v>571</v>
      </c>
      <c r="F440" t="s">
        <v>1578</v>
      </c>
      <c r="G440" t="s">
        <v>1896</v>
      </c>
      <c r="H440" t="s">
        <v>1578</v>
      </c>
      <c r="I440" t="s">
        <v>2118</v>
      </c>
      <c r="J440" t="s">
        <v>1980</v>
      </c>
      <c r="K440" t="s">
        <v>1357</v>
      </c>
      <c r="L440" t="s">
        <v>36</v>
      </c>
    </row>
    <row r="441" spans="1:12">
      <c r="A441">
        <v>471</v>
      </c>
      <c r="B441" t="s">
        <v>2119</v>
      </c>
      <c r="C441" t="s">
        <v>335</v>
      </c>
      <c r="D441" t="s">
        <v>57</v>
      </c>
      <c r="E441" t="s">
        <v>682</v>
      </c>
      <c r="F441" t="s">
        <v>1578</v>
      </c>
      <c r="G441" t="s">
        <v>1857</v>
      </c>
      <c r="H441" t="s">
        <v>1578</v>
      </c>
      <c r="I441" t="s">
        <v>2120</v>
      </c>
      <c r="J441" t="s">
        <v>1980</v>
      </c>
      <c r="K441" t="s">
        <v>2121</v>
      </c>
      <c r="L441" t="s">
        <v>21</v>
      </c>
    </row>
    <row r="442" spans="1:12">
      <c r="A442">
        <v>472</v>
      </c>
      <c r="B442" t="s">
        <v>2122</v>
      </c>
      <c r="C442" t="s">
        <v>331</v>
      </c>
      <c r="D442" t="s">
        <v>286</v>
      </c>
      <c r="E442" t="s">
        <v>682</v>
      </c>
      <c r="F442" t="s">
        <v>1578</v>
      </c>
      <c r="G442" t="s">
        <v>2122</v>
      </c>
      <c r="H442" t="s">
        <v>2123</v>
      </c>
      <c r="I442" t="s">
        <v>2124</v>
      </c>
      <c r="J442" t="s">
        <v>1980</v>
      </c>
      <c r="K442" t="s">
        <v>2116</v>
      </c>
      <c r="L442" t="s">
        <v>21</v>
      </c>
    </row>
    <row r="443" spans="1:12">
      <c r="A443">
        <v>473</v>
      </c>
      <c r="B443" t="s">
        <v>2125</v>
      </c>
      <c r="C443" t="s">
        <v>580</v>
      </c>
      <c r="D443" t="s">
        <v>66</v>
      </c>
      <c r="E443" t="s">
        <v>2126</v>
      </c>
      <c r="F443" t="s">
        <v>1578</v>
      </c>
      <c r="G443" t="s">
        <v>138</v>
      </c>
      <c r="H443" t="s">
        <v>2055</v>
      </c>
      <c r="I443" t="s">
        <v>2127</v>
      </c>
      <c r="J443" t="s">
        <v>1980</v>
      </c>
      <c r="K443" t="s">
        <v>2128</v>
      </c>
      <c r="L443" t="s">
        <v>54</v>
      </c>
    </row>
    <row r="444" spans="1:12">
      <c r="A444">
        <v>474</v>
      </c>
      <c r="B444" t="s">
        <v>1972</v>
      </c>
      <c r="C444" t="s">
        <v>13</v>
      </c>
      <c r="D444" t="s">
        <v>13</v>
      </c>
      <c r="E444" t="s">
        <v>1973</v>
      </c>
      <c r="F444" t="s">
        <v>1578</v>
      </c>
      <c r="G444" t="s">
        <v>1123</v>
      </c>
      <c r="H444" t="s">
        <v>1974</v>
      </c>
      <c r="I444" t="s">
        <v>2129</v>
      </c>
      <c r="J444" t="s">
        <v>2130</v>
      </c>
      <c r="K444" t="s">
        <v>2131</v>
      </c>
      <c r="L444" t="s">
        <v>21</v>
      </c>
    </row>
    <row r="445" spans="1:12">
      <c r="A445">
        <v>475</v>
      </c>
      <c r="B445" t="s">
        <v>2132</v>
      </c>
      <c r="C445" t="s">
        <v>13</v>
      </c>
      <c r="D445" t="s">
        <v>13</v>
      </c>
      <c r="E445" t="s">
        <v>1084</v>
      </c>
      <c r="F445" t="s">
        <v>1578</v>
      </c>
      <c r="G445" t="s">
        <v>2133</v>
      </c>
      <c r="H445" t="s">
        <v>1578</v>
      </c>
      <c r="I445" t="s">
        <v>2134</v>
      </c>
      <c r="J445" t="s">
        <v>1980</v>
      </c>
      <c r="K445" t="s">
        <v>2116</v>
      </c>
      <c r="L445" t="s">
        <v>36</v>
      </c>
    </row>
    <row r="446" spans="1:12">
      <c r="A446">
        <v>476</v>
      </c>
      <c r="B446" t="s">
        <v>2135</v>
      </c>
      <c r="C446" t="s">
        <v>13</v>
      </c>
      <c r="D446" t="s">
        <v>13</v>
      </c>
      <c r="E446" t="s">
        <v>2136</v>
      </c>
      <c r="F446" t="s">
        <v>2137</v>
      </c>
      <c r="G446" t="s">
        <v>1022</v>
      </c>
      <c r="H446" t="s">
        <v>2138</v>
      </c>
      <c r="I446" t="s">
        <v>2139</v>
      </c>
      <c r="J446" t="s">
        <v>2140</v>
      </c>
      <c r="K446" t="s">
        <v>2141</v>
      </c>
      <c r="L446" t="s">
        <v>21</v>
      </c>
    </row>
    <row r="447" spans="1:12">
      <c r="A447">
        <v>477</v>
      </c>
      <c r="B447" t="s">
        <v>2142</v>
      </c>
      <c r="C447" t="s">
        <v>13</v>
      </c>
      <c r="D447" t="s">
        <v>13</v>
      </c>
      <c r="E447" t="s">
        <v>2143</v>
      </c>
      <c r="F447" t="s">
        <v>2137</v>
      </c>
      <c r="G447" t="s">
        <v>2144</v>
      </c>
      <c r="H447" t="s">
        <v>2138</v>
      </c>
      <c r="I447" t="s">
        <v>2145</v>
      </c>
      <c r="J447" t="s">
        <v>2140</v>
      </c>
      <c r="K447" t="s">
        <v>2146</v>
      </c>
      <c r="L447" t="s">
        <v>54</v>
      </c>
    </row>
    <row r="448" spans="1:12">
      <c r="A448">
        <v>478</v>
      </c>
      <c r="B448" t="s">
        <v>2147</v>
      </c>
      <c r="C448" t="s">
        <v>13</v>
      </c>
      <c r="D448" t="s">
        <v>13</v>
      </c>
      <c r="E448" t="s">
        <v>2148</v>
      </c>
      <c r="F448" t="s">
        <v>2137</v>
      </c>
      <c r="G448" t="s">
        <v>1022</v>
      </c>
      <c r="H448" t="s">
        <v>2149</v>
      </c>
      <c r="I448" t="s">
        <v>2150</v>
      </c>
      <c r="J448" t="s">
        <v>2140</v>
      </c>
      <c r="K448" t="s">
        <v>2151</v>
      </c>
      <c r="L448" t="s">
        <v>21</v>
      </c>
    </row>
    <row r="449" spans="1:12">
      <c r="A449">
        <v>479</v>
      </c>
      <c r="B449" t="s">
        <v>2152</v>
      </c>
      <c r="C449" t="s">
        <v>13</v>
      </c>
      <c r="D449" t="s">
        <v>13</v>
      </c>
      <c r="E449" t="s">
        <v>2153</v>
      </c>
      <c r="F449" t="s">
        <v>2137</v>
      </c>
      <c r="G449" t="s">
        <v>1042</v>
      </c>
      <c r="H449" t="s">
        <v>2154</v>
      </c>
      <c r="I449" t="s">
        <v>2155</v>
      </c>
      <c r="J449" t="s">
        <v>2154</v>
      </c>
      <c r="K449" t="s">
        <v>2156</v>
      </c>
      <c r="L449" t="s">
        <v>21</v>
      </c>
    </row>
    <row r="450" spans="1:12">
      <c r="A450">
        <v>480</v>
      </c>
      <c r="B450" t="s">
        <v>2157</v>
      </c>
      <c r="C450" t="s">
        <v>13</v>
      </c>
      <c r="D450" t="s">
        <v>13</v>
      </c>
      <c r="E450" t="s">
        <v>1109</v>
      </c>
      <c r="F450" t="s">
        <v>2137</v>
      </c>
      <c r="G450" t="s">
        <v>1470</v>
      </c>
      <c r="H450" t="s">
        <v>2158</v>
      </c>
      <c r="I450" t="s">
        <v>2159</v>
      </c>
      <c r="J450" t="s">
        <v>2140</v>
      </c>
      <c r="K450" t="s">
        <v>2160</v>
      </c>
      <c r="L450" t="s">
        <v>36</v>
      </c>
    </row>
    <row r="451" spans="1:12">
      <c r="A451">
        <v>481</v>
      </c>
      <c r="B451" t="s">
        <v>2161</v>
      </c>
      <c r="C451" t="s">
        <v>13</v>
      </c>
      <c r="D451" t="s">
        <v>13</v>
      </c>
      <c r="E451" t="s">
        <v>2104</v>
      </c>
      <c r="F451" t="s">
        <v>2137</v>
      </c>
      <c r="G451" t="s">
        <v>1400</v>
      </c>
      <c r="H451" t="s">
        <v>2162</v>
      </c>
      <c r="I451" t="s">
        <v>2163</v>
      </c>
      <c r="J451" t="s">
        <v>2164</v>
      </c>
      <c r="K451" t="s">
        <v>2165</v>
      </c>
      <c r="L451" t="s">
        <v>21</v>
      </c>
    </row>
    <row r="452" spans="1:12">
      <c r="A452">
        <v>482</v>
      </c>
      <c r="B452" t="s">
        <v>2166</v>
      </c>
      <c r="C452" t="s">
        <v>65</v>
      </c>
      <c r="D452" t="s">
        <v>267</v>
      </c>
      <c r="E452" t="s">
        <v>1077</v>
      </c>
      <c r="F452" t="s">
        <v>2137</v>
      </c>
      <c r="G452" t="s">
        <v>2167</v>
      </c>
      <c r="H452" t="s">
        <v>2168</v>
      </c>
      <c r="I452" t="s">
        <v>2169</v>
      </c>
      <c r="J452" t="s">
        <v>2137</v>
      </c>
      <c r="K452" t="s">
        <v>2170</v>
      </c>
      <c r="L452" t="s">
        <v>21</v>
      </c>
    </row>
    <row r="453" spans="1:12">
      <c r="A453">
        <v>483</v>
      </c>
      <c r="B453" t="s">
        <v>2171</v>
      </c>
      <c r="C453" t="s">
        <v>13</v>
      </c>
      <c r="D453" t="s">
        <v>13</v>
      </c>
      <c r="E453" t="s">
        <v>2172</v>
      </c>
      <c r="F453" t="s">
        <v>2137</v>
      </c>
      <c r="G453" t="s">
        <v>2167</v>
      </c>
      <c r="H453" t="s">
        <v>2173</v>
      </c>
      <c r="I453" t="s">
        <v>2174</v>
      </c>
      <c r="J453" t="s">
        <v>2137</v>
      </c>
      <c r="K453" t="s">
        <v>2175</v>
      </c>
      <c r="L453" t="s">
        <v>21</v>
      </c>
    </row>
    <row r="454" spans="1:12">
      <c r="A454">
        <v>484</v>
      </c>
      <c r="B454" t="s">
        <v>2176</v>
      </c>
      <c r="C454" t="s">
        <v>99</v>
      </c>
      <c r="D454" t="s">
        <v>286</v>
      </c>
      <c r="E454" t="s">
        <v>1501</v>
      </c>
      <c r="F454" t="s">
        <v>2137</v>
      </c>
      <c r="G454" t="s">
        <v>2177</v>
      </c>
      <c r="H454" t="s">
        <v>2137</v>
      </c>
      <c r="I454" t="s">
        <v>2178</v>
      </c>
      <c r="J454" t="s">
        <v>2140</v>
      </c>
      <c r="K454" t="s">
        <v>2156</v>
      </c>
      <c r="L454" t="s">
        <v>21</v>
      </c>
    </row>
    <row r="455" spans="1:12">
      <c r="A455">
        <v>485</v>
      </c>
      <c r="B455" t="s">
        <v>2179</v>
      </c>
      <c r="C455" t="s">
        <v>13</v>
      </c>
      <c r="D455" t="s">
        <v>13</v>
      </c>
      <c r="E455" t="s">
        <v>811</v>
      </c>
      <c r="F455" t="s">
        <v>2137</v>
      </c>
      <c r="G455" t="s">
        <v>138</v>
      </c>
      <c r="H455" t="s">
        <v>2180</v>
      </c>
      <c r="I455" t="s">
        <v>2181</v>
      </c>
      <c r="J455" t="s">
        <v>2182</v>
      </c>
      <c r="K455" t="s">
        <v>2156</v>
      </c>
      <c r="L455" t="s">
        <v>36</v>
      </c>
    </row>
    <row r="456" spans="1:12">
      <c r="A456">
        <v>486</v>
      </c>
      <c r="B456" t="s">
        <v>2183</v>
      </c>
      <c r="C456" t="s">
        <v>13</v>
      </c>
      <c r="D456" t="s">
        <v>13</v>
      </c>
      <c r="E456" t="s">
        <v>2184</v>
      </c>
      <c r="F456" t="s">
        <v>2137</v>
      </c>
      <c r="G456" t="s">
        <v>1683</v>
      </c>
      <c r="H456" t="s">
        <v>2185</v>
      </c>
      <c r="I456" t="s">
        <v>2186</v>
      </c>
      <c r="J456" t="s">
        <v>2187</v>
      </c>
      <c r="K456" t="s">
        <v>2156</v>
      </c>
      <c r="L456" t="s">
        <v>21</v>
      </c>
    </row>
    <row r="457" spans="1:12">
      <c r="A457">
        <v>487</v>
      </c>
      <c r="B457" t="s">
        <v>2188</v>
      </c>
      <c r="C457" t="s">
        <v>13</v>
      </c>
      <c r="D457" t="s">
        <v>13</v>
      </c>
      <c r="E457" t="s">
        <v>2104</v>
      </c>
      <c r="F457" t="s">
        <v>2137</v>
      </c>
      <c r="G457" t="s">
        <v>2189</v>
      </c>
      <c r="H457" t="s">
        <v>2137</v>
      </c>
      <c r="I457" t="s">
        <v>2190</v>
      </c>
      <c r="J457" t="s">
        <v>2187</v>
      </c>
      <c r="K457" t="s">
        <v>2156</v>
      </c>
      <c r="L457" t="s">
        <v>21</v>
      </c>
    </row>
    <row r="458" spans="1:12">
      <c r="A458">
        <v>488</v>
      </c>
      <c r="B458" t="s">
        <v>2191</v>
      </c>
      <c r="C458" t="s">
        <v>13</v>
      </c>
      <c r="D458" t="s">
        <v>13</v>
      </c>
      <c r="E458" t="s">
        <v>1113</v>
      </c>
      <c r="F458" t="s">
        <v>2137</v>
      </c>
      <c r="G458" t="s">
        <v>213</v>
      </c>
      <c r="H458" t="s">
        <v>2137</v>
      </c>
      <c r="I458" t="s">
        <v>2192</v>
      </c>
      <c r="J458" t="s">
        <v>2187</v>
      </c>
      <c r="K458" t="s">
        <v>2156</v>
      </c>
      <c r="L458" t="s">
        <v>21</v>
      </c>
    </row>
    <row r="459" spans="1:12">
      <c r="A459">
        <v>489</v>
      </c>
      <c r="B459" t="s">
        <v>2193</v>
      </c>
      <c r="C459" t="s">
        <v>13</v>
      </c>
      <c r="D459" t="s">
        <v>13</v>
      </c>
      <c r="E459" t="s">
        <v>1314</v>
      </c>
      <c r="F459" t="s">
        <v>2137</v>
      </c>
      <c r="G459" t="s">
        <v>2194</v>
      </c>
      <c r="H459" t="s">
        <v>2195</v>
      </c>
      <c r="I459" t="s">
        <v>2196</v>
      </c>
      <c r="J459" t="s">
        <v>2187</v>
      </c>
      <c r="K459" t="s">
        <v>2156</v>
      </c>
      <c r="L459" t="s">
        <v>21</v>
      </c>
    </row>
    <row r="460" spans="1:12">
      <c r="A460">
        <v>490</v>
      </c>
      <c r="B460" t="s">
        <v>2197</v>
      </c>
      <c r="C460" t="s">
        <v>13</v>
      </c>
      <c r="D460" t="s">
        <v>13</v>
      </c>
      <c r="E460" t="s">
        <v>811</v>
      </c>
      <c r="F460" t="s">
        <v>2137</v>
      </c>
      <c r="G460" t="s">
        <v>1400</v>
      </c>
      <c r="H460" t="s">
        <v>2198</v>
      </c>
      <c r="I460" t="s">
        <v>2199</v>
      </c>
      <c r="J460" t="s">
        <v>2182</v>
      </c>
      <c r="K460" t="s">
        <v>2156</v>
      </c>
      <c r="L460" t="s">
        <v>21</v>
      </c>
    </row>
    <row r="461" spans="1:12">
      <c r="A461">
        <v>491</v>
      </c>
      <c r="B461" t="s">
        <v>2200</v>
      </c>
      <c r="C461" t="s">
        <v>13</v>
      </c>
      <c r="D461" t="s">
        <v>13</v>
      </c>
      <c r="E461" t="s">
        <v>656</v>
      </c>
      <c r="F461" t="s">
        <v>2137</v>
      </c>
      <c r="G461" t="s">
        <v>138</v>
      </c>
      <c r="H461" t="s">
        <v>2201</v>
      </c>
      <c r="I461" t="s">
        <v>2202</v>
      </c>
      <c r="J461" t="s">
        <v>2201</v>
      </c>
      <c r="K461" t="s">
        <v>2156</v>
      </c>
      <c r="L461" t="s">
        <v>36</v>
      </c>
    </row>
    <row r="462" spans="1:12">
      <c r="A462">
        <v>492</v>
      </c>
      <c r="B462" t="s">
        <v>2203</v>
      </c>
      <c r="C462" t="s">
        <v>13</v>
      </c>
      <c r="D462" t="s">
        <v>13</v>
      </c>
      <c r="E462" t="s">
        <v>58</v>
      </c>
      <c r="F462" t="s">
        <v>2137</v>
      </c>
      <c r="G462" t="s">
        <v>2167</v>
      </c>
      <c r="H462" t="s">
        <v>2204</v>
      </c>
      <c r="I462" t="s">
        <v>2205</v>
      </c>
      <c r="J462" t="s">
        <v>2137</v>
      </c>
      <c r="K462" t="s">
        <v>2170</v>
      </c>
      <c r="L462" t="s">
        <v>21</v>
      </c>
    </row>
    <row r="463" spans="1:12">
      <c r="A463">
        <v>493</v>
      </c>
      <c r="B463" t="s">
        <v>2206</v>
      </c>
      <c r="C463" t="s">
        <v>13</v>
      </c>
      <c r="D463" t="s">
        <v>13</v>
      </c>
      <c r="E463" t="s">
        <v>682</v>
      </c>
      <c r="F463" t="s">
        <v>2137</v>
      </c>
      <c r="G463" t="s">
        <v>342</v>
      </c>
      <c r="H463" t="s">
        <v>2207</v>
      </c>
      <c r="I463" t="s">
        <v>2208</v>
      </c>
      <c r="J463" t="s">
        <v>2209</v>
      </c>
      <c r="K463" t="s">
        <v>2156</v>
      </c>
      <c r="L463" t="s">
        <v>21</v>
      </c>
    </row>
    <row r="464" spans="1:12">
      <c r="A464">
        <v>494</v>
      </c>
      <c r="B464" t="s">
        <v>2210</v>
      </c>
      <c r="C464" t="s">
        <v>13</v>
      </c>
      <c r="D464" t="s">
        <v>13</v>
      </c>
      <c r="E464" t="s">
        <v>947</v>
      </c>
      <c r="F464" t="s">
        <v>2137</v>
      </c>
      <c r="G464" t="s">
        <v>2211</v>
      </c>
      <c r="H464" t="s">
        <v>2162</v>
      </c>
      <c r="I464" t="s">
        <v>2212</v>
      </c>
      <c r="J464" t="s">
        <v>2187</v>
      </c>
      <c r="K464" t="s">
        <v>2156</v>
      </c>
      <c r="L464" t="s">
        <v>21</v>
      </c>
    </row>
    <row r="465" spans="1:12">
      <c r="A465">
        <v>495</v>
      </c>
      <c r="B465" t="s">
        <v>2213</v>
      </c>
      <c r="C465" t="s">
        <v>13</v>
      </c>
      <c r="D465" t="s">
        <v>13</v>
      </c>
      <c r="E465" t="s">
        <v>58</v>
      </c>
      <c r="F465" t="s">
        <v>2137</v>
      </c>
      <c r="G465" t="s">
        <v>2214</v>
      </c>
      <c r="H465" t="s">
        <v>478</v>
      </c>
      <c r="I465" t="s">
        <v>2215</v>
      </c>
      <c r="J465" t="s">
        <v>2216</v>
      </c>
      <c r="K465" t="s">
        <v>2156</v>
      </c>
      <c r="L465" t="s">
        <v>21</v>
      </c>
    </row>
    <row r="466" spans="1:12">
      <c r="A466">
        <v>496</v>
      </c>
      <c r="B466" t="s">
        <v>2217</v>
      </c>
      <c r="C466" t="s">
        <v>218</v>
      </c>
      <c r="D466" t="s">
        <v>158</v>
      </c>
      <c r="E466" t="s">
        <v>682</v>
      </c>
      <c r="F466" t="s">
        <v>2137</v>
      </c>
      <c r="G466" t="s">
        <v>489</v>
      </c>
      <c r="H466" t="s">
        <v>13</v>
      </c>
      <c r="I466" t="s">
        <v>2218</v>
      </c>
      <c r="J466" t="s">
        <v>2187</v>
      </c>
      <c r="K466" t="s">
        <v>13</v>
      </c>
      <c r="L466" t="s">
        <v>21</v>
      </c>
    </row>
    <row r="467" spans="1:12">
      <c r="A467">
        <v>497</v>
      </c>
      <c r="B467" t="s">
        <v>2219</v>
      </c>
      <c r="C467" t="s">
        <v>13</v>
      </c>
      <c r="D467" t="s">
        <v>13</v>
      </c>
      <c r="E467" t="s">
        <v>1391</v>
      </c>
      <c r="F467" t="s">
        <v>2137</v>
      </c>
      <c r="G467" t="s">
        <v>2167</v>
      </c>
      <c r="H467" t="s">
        <v>13</v>
      </c>
      <c r="I467" t="s">
        <v>2220</v>
      </c>
      <c r="J467" t="s">
        <v>2187</v>
      </c>
      <c r="K467" t="s">
        <v>13</v>
      </c>
      <c r="L467" t="s">
        <v>21</v>
      </c>
    </row>
    <row r="468" spans="1:12">
      <c r="A468">
        <v>499</v>
      </c>
      <c r="B468" t="s">
        <v>2221</v>
      </c>
      <c r="C468" t="s">
        <v>91</v>
      </c>
      <c r="D468" t="s">
        <v>83</v>
      </c>
      <c r="E468" t="s">
        <v>883</v>
      </c>
      <c r="F468" t="s">
        <v>2137</v>
      </c>
      <c r="G468" t="s">
        <v>2222</v>
      </c>
      <c r="H468" t="s">
        <v>2185</v>
      </c>
      <c r="I468" t="s">
        <v>2223</v>
      </c>
      <c r="J468" t="s">
        <v>2224</v>
      </c>
      <c r="K468" t="s">
        <v>2225</v>
      </c>
      <c r="L468" t="s">
        <v>54</v>
      </c>
    </row>
    <row r="469" spans="1:12">
      <c r="A469">
        <v>501</v>
      </c>
      <c r="B469" t="s">
        <v>2226</v>
      </c>
      <c r="C469" t="s">
        <v>325</v>
      </c>
      <c r="D469" t="s">
        <v>286</v>
      </c>
      <c r="E469" t="s">
        <v>455</v>
      </c>
      <c r="F469" t="s">
        <v>2137</v>
      </c>
      <c r="G469" t="s">
        <v>2227</v>
      </c>
      <c r="H469" t="s">
        <v>2228</v>
      </c>
      <c r="I469" t="s">
        <v>2229</v>
      </c>
      <c r="J469" t="s">
        <v>2230</v>
      </c>
      <c r="K469" t="s">
        <v>2231</v>
      </c>
      <c r="L469" t="s">
        <v>36</v>
      </c>
    </row>
    <row r="470" spans="1:12">
      <c r="A470">
        <v>502</v>
      </c>
      <c r="B470" t="s">
        <v>2232</v>
      </c>
      <c r="C470" t="s">
        <v>331</v>
      </c>
      <c r="D470" t="s">
        <v>57</v>
      </c>
      <c r="E470" t="s">
        <v>627</v>
      </c>
      <c r="F470" t="s">
        <v>2137</v>
      </c>
      <c r="G470" t="s">
        <v>138</v>
      </c>
      <c r="H470" t="s">
        <v>2233</v>
      </c>
      <c r="I470" t="s">
        <v>2234</v>
      </c>
      <c r="J470" t="s">
        <v>2230</v>
      </c>
      <c r="K470" t="s">
        <v>2235</v>
      </c>
      <c r="L470" t="s">
        <v>36</v>
      </c>
    </row>
    <row r="471" spans="1:12">
      <c r="A471">
        <v>504</v>
      </c>
      <c r="B471" t="s">
        <v>2236</v>
      </c>
      <c r="C471" t="s">
        <v>46</v>
      </c>
      <c r="D471" t="s">
        <v>267</v>
      </c>
      <c r="E471" t="s">
        <v>893</v>
      </c>
      <c r="F471" t="s">
        <v>2137</v>
      </c>
      <c r="G471" t="s">
        <v>1803</v>
      </c>
      <c r="H471" t="s">
        <v>13</v>
      </c>
      <c r="I471" t="s">
        <v>2237</v>
      </c>
      <c r="J471" t="s">
        <v>2187</v>
      </c>
      <c r="K471" t="s">
        <v>2238</v>
      </c>
      <c r="L471" t="s">
        <v>21</v>
      </c>
    </row>
    <row r="472" spans="1:12">
      <c r="A472">
        <v>505</v>
      </c>
      <c r="B472" t="s">
        <v>2239</v>
      </c>
      <c r="C472" t="s">
        <v>74</v>
      </c>
      <c r="D472" t="s">
        <v>66</v>
      </c>
      <c r="E472" t="s">
        <v>144</v>
      </c>
      <c r="F472" t="s">
        <v>2137</v>
      </c>
      <c r="G472" t="s">
        <v>2240</v>
      </c>
      <c r="H472" t="s">
        <v>13</v>
      </c>
      <c r="I472" t="s">
        <v>2241</v>
      </c>
      <c r="J472" t="s">
        <v>2242</v>
      </c>
      <c r="K472" t="s">
        <v>2231</v>
      </c>
      <c r="L472" t="s">
        <v>21</v>
      </c>
    </row>
    <row r="473" spans="1:12">
      <c r="A473">
        <v>507</v>
      </c>
      <c r="B473" t="s">
        <v>2243</v>
      </c>
      <c r="C473" t="s">
        <v>353</v>
      </c>
      <c r="D473" t="s">
        <v>47</v>
      </c>
      <c r="E473" t="s">
        <v>2244</v>
      </c>
      <c r="F473" t="s">
        <v>2137</v>
      </c>
      <c r="G473" t="s">
        <v>85</v>
      </c>
      <c r="H473" t="s">
        <v>2195</v>
      </c>
      <c r="I473" t="s">
        <v>2245</v>
      </c>
      <c r="J473" t="s">
        <v>2246</v>
      </c>
      <c r="K473" t="s">
        <v>2247</v>
      </c>
      <c r="L473" t="s">
        <v>54</v>
      </c>
    </row>
    <row r="474" spans="1:12">
      <c r="A474">
        <v>508</v>
      </c>
      <c r="B474" t="s">
        <v>2248</v>
      </c>
      <c r="C474" t="s">
        <v>46</v>
      </c>
      <c r="D474" t="s">
        <v>57</v>
      </c>
      <c r="E474" t="s">
        <v>144</v>
      </c>
      <c r="F474" t="s">
        <v>2137</v>
      </c>
      <c r="G474" t="s">
        <v>1967</v>
      </c>
      <c r="H474" t="s">
        <v>13</v>
      </c>
      <c r="I474" t="s">
        <v>2249</v>
      </c>
      <c r="J474" t="s">
        <v>2187</v>
      </c>
      <c r="K474" t="s">
        <v>2250</v>
      </c>
      <c r="L474" t="s">
        <v>21</v>
      </c>
    </row>
    <row r="475" spans="1:12">
      <c r="A475">
        <v>509</v>
      </c>
      <c r="B475" t="s">
        <v>2251</v>
      </c>
      <c r="C475" t="s">
        <v>200</v>
      </c>
      <c r="D475" t="s">
        <v>39</v>
      </c>
      <c r="E475" t="s">
        <v>299</v>
      </c>
      <c r="F475" t="s">
        <v>2137</v>
      </c>
      <c r="G475" t="s">
        <v>2252</v>
      </c>
      <c r="H475" t="s">
        <v>13</v>
      </c>
      <c r="I475" t="s">
        <v>2253</v>
      </c>
      <c r="J475" t="s">
        <v>2187</v>
      </c>
      <c r="K475" t="s">
        <v>2254</v>
      </c>
      <c r="L475" t="s">
        <v>21</v>
      </c>
    </row>
    <row r="476" spans="1:12">
      <c r="A476">
        <v>510</v>
      </c>
      <c r="B476" t="s">
        <v>2255</v>
      </c>
      <c r="C476" t="s">
        <v>218</v>
      </c>
      <c r="D476" t="s">
        <v>100</v>
      </c>
      <c r="E476" t="s">
        <v>174</v>
      </c>
      <c r="F476" t="s">
        <v>2137</v>
      </c>
      <c r="G476" t="s">
        <v>1683</v>
      </c>
      <c r="H476" t="s">
        <v>13</v>
      </c>
      <c r="I476" t="s">
        <v>2256</v>
      </c>
      <c r="J476" t="s">
        <v>2257</v>
      </c>
      <c r="K476" t="s">
        <v>2254</v>
      </c>
      <c r="L476" t="s">
        <v>21</v>
      </c>
    </row>
    <row r="477" spans="1:12">
      <c r="A477">
        <v>511</v>
      </c>
      <c r="B477" t="s">
        <v>2258</v>
      </c>
      <c r="C477" t="s">
        <v>230</v>
      </c>
      <c r="D477" t="s">
        <v>83</v>
      </c>
      <c r="E477" t="s">
        <v>348</v>
      </c>
      <c r="F477" t="s">
        <v>2137</v>
      </c>
      <c r="G477" t="s">
        <v>2259</v>
      </c>
      <c r="H477" t="s">
        <v>2195</v>
      </c>
      <c r="I477" t="s">
        <v>2260</v>
      </c>
      <c r="J477" t="s">
        <v>2261</v>
      </c>
      <c r="K477" t="s">
        <v>2254</v>
      </c>
      <c r="L477" t="s">
        <v>36</v>
      </c>
    </row>
    <row r="478" spans="1:12">
      <c r="A478">
        <v>512</v>
      </c>
      <c r="B478" t="s">
        <v>2262</v>
      </c>
      <c r="C478" t="s">
        <v>82</v>
      </c>
      <c r="D478" t="s">
        <v>267</v>
      </c>
      <c r="E478" t="s">
        <v>341</v>
      </c>
      <c r="F478" t="s">
        <v>2137</v>
      </c>
      <c r="G478" t="s">
        <v>1165</v>
      </c>
      <c r="H478" t="s">
        <v>2263</v>
      </c>
      <c r="I478" t="s">
        <v>2264</v>
      </c>
      <c r="J478" t="s">
        <v>2265</v>
      </c>
      <c r="K478" t="s">
        <v>2231</v>
      </c>
      <c r="L478" t="s">
        <v>54</v>
      </c>
    </row>
    <row r="479" spans="1:12">
      <c r="A479">
        <v>513</v>
      </c>
      <c r="B479" t="s">
        <v>2266</v>
      </c>
      <c r="C479" t="s">
        <v>331</v>
      </c>
      <c r="D479" t="s">
        <v>158</v>
      </c>
      <c r="E479" t="s">
        <v>174</v>
      </c>
      <c r="F479" t="s">
        <v>2137</v>
      </c>
      <c r="G479" t="s">
        <v>2267</v>
      </c>
      <c r="H479" t="s">
        <v>2268</v>
      </c>
      <c r="I479" t="s">
        <v>2269</v>
      </c>
      <c r="J479" t="s">
        <v>79</v>
      </c>
      <c r="K479" t="s">
        <v>2231</v>
      </c>
      <c r="L479" t="s">
        <v>54</v>
      </c>
    </row>
    <row r="480" spans="1:12">
      <c r="A480">
        <v>514</v>
      </c>
      <c r="B480" t="s">
        <v>2270</v>
      </c>
      <c r="C480" t="s">
        <v>230</v>
      </c>
      <c r="D480" t="s">
        <v>83</v>
      </c>
      <c r="E480" t="s">
        <v>348</v>
      </c>
      <c r="F480" t="s">
        <v>2137</v>
      </c>
      <c r="G480" t="s">
        <v>2271</v>
      </c>
      <c r="H480" t="s">
        <v>2195</v>
      </c>
      <c r="I480" t="s">
        <v>2272</v>
      </c>
      <c r="J480" t="s">
        <v>2261</v>
      </c>
      <c r="K480" t="s">
        <v>2254</v>
      </c>
      <c r="L480" t="s">
        <v>36</v>
      </c>
    </row>
    <row r="481" spans="1:12">
      <c r="A481">
        <v>515</v>
      </c>
      <c r="B481" t="s">
        <v>2273</v>
      </c>
      <c r="C481" t="s">
        <v>38</v>
      </c>
      <c r="D481" t="s">
        <v>83</v>
      </c>
      <c r="E481" t="s">
        <v>166</v>
      </c>
      <c r="F481" t="s">
        <v>2137</v>
      </c>
      <c r="G481" t="s">
        <v>2032</v>
      </c>
      <c r="H481" t="s">
        <v>2195</v>
      </c>
      <c r="I481" t="s">
        <v>2274</v>
      </c>
      <c r="J481" t="s">
        <v>2275</v>
      </c>
      <c r="K481" t="s">
        <v>2231</v>
      </c>
      <c r="L481" t="s">
        <v>36</v>
      </c>
    </row>
    <row r="482" spans="1:12">
      <c r="A482">
        <v>516</v>
      </c>
      <c r="B482" t="s">
        <v>2276</v>
      </c>
      <c r="C482" t="s">
        <v>633</v>
      </c>
      <c r="D482" t="s">
        <v>260</v>
      </c>
      <c r="E482" t="s">
        <v>2277</v>
      </c>
      <c r="F482" t="s">
        <v>2278</v>
      </c>
      <c r="G482" t="s">
        <v>1022</v>
      </c>
      <c r="H482" t="s">
        <v>2278</v>
      </c>
      <c r="I482" t="s">
        <v>2279</v>
      </c>
      <c r="J482" t="s">
        <v>2280</v>
      </c>
      <c r="K482" t="s">
        <v>2281</v>
      </c>
      <c r="L482" t="s">
        <v>21</v>
      </c>
    </row>
    <row r="483" spans="1:12">
      <c r="A483">
        <v>517</v>
      </c>
      <c r="B483" t="s">
        <v>2282</v>
      </c>
      <c r="C483" t="s">
        <v>321</v>
      </c>
      <c r="D483" t="s">
        <v>173</v>
      </c>
      <c r="E483" t="s">
        <v>2148</v>
      </c>
      <c r="F483" t="s">
        <v>2278</v>
      </c>
      <c r="G483" t="s">
        <v>1400</v>
      </c>
      <c r="H483" t="s">
        <v>2278</v>
      </c>
      <c r="I483" t="s">
        <v>2283</v>
      </c>
      <c r="J483" t="s">
        <v>2280</v>
      </c>
      <c r="K483" t="s">
        <v>2284</v>
      </c>
      <c r="L483" t="s">
        <v>21</v>
      </c>
    </row>
    <row r="484" spans="1:12">
      <c r="A484">
        <v>518</v>
      </c>
      <c r="B484" t="s">
        <v>2285</v>
      </c>
      <c r="C484" t="s">
        <v>13</v>
      </c>
      <c r="D484" t="s">
        <v>13</v>
      </c>
      <c r="E484" t="s">
        <v>2286</v>
      </c>
      <c r="F484" t="s">
        <v>2278</v>
      </c>
      <c r="G484" t="s">
        <v>2287</v>
      </c>
      <c r="H484" t="s">
        <v>2288</v>
      </c>
      <c r="I484" t="s">
        <v>2289</v>
      </c>
      <c r="J484" t="s">
        <v>2280</v>
      </c>
      <c r="K484" t="s">
        <v>2290</v>
      </c>
      <c r="L484" t="s">
        <v>21</v>
      </c>
    </row>
    <row r="485" spans="1:12">
      <c r="A485">
        <v>519</v>
      </c>
      <c r="B485" t="s">
        <v>2291</v>
      </c>
      <c r="C485" t="s">
        <v>56</v>
      </c>
      <c r="D485" t="s">
        <v>173</v>
      </c>
      <c r="E485" t="s">
        <v>411</v>
      </c>
      <c r="F485" t="s">
        <v>2278</v>
      </c>
      <c r="G485" t="s">
        <v>1896</v>
      </c>
      <c r="H485" t="s">
        <v>2278</v>
      </c>
      <c r="I485" t="s">
        <v>2292</v>
      </c>
      <c r="J485" t="s">
        <v>2293</v>
      </c>
      <c r="K485" t="s">
        <v>2294</v>
      </c>
      <c r="L485" t="s">
        <v>54</v>
      </c>
    </row>
    <row r="486" spans="1:12">
      <c r="A486">
        <v>520</v>
      </c>
      <c r="B486" t="s">
        <v>2295</v>
      </c>
      <c r="C486" t="s">
        <v>298</v>
      </c>
      <c r="D486" t="s">
        <v>173</v>
      </c>
      <c r="E486" t="s">
        <v>411</v>
      </c>
      <c r="F486" t="s">
        <v>2278</v>
      </c>
      <c r="G486" t="s">
        <v>138</v>
      </c>
      <c r="H486" t="s">
        <v>2278</v>
      </c>
      <c r="I486" t="s">
        <v>2296</v>
      </c>
      <c r="J486" t="s">
        <v>2297</v>
      </c>
      <c r="K486" t="s">
        <v>2294</v>
      </c>
      <c r="L486" t="s">
        <v>54</v>
      </c>
    </row>
    <row r="487" spans="1:12">
      <c r="A487">
        <v>521</v>
      </c>
      <c r="B487" t="s">
        <v>2298</v>
      </c>
      <c r="C487" t="s">
        <v>195</v>
      </c>
      <c r="D487" t="s">
        <v>173</v>
      </c>
      <c r="E487" t="s">
        <v>411</v>
      </c>
      <c r="F487" t="s">
        <v>2278</v>
      </c>
      <c r="G487" t="s">
        <v>376</v>
      </c>
      <c r="H487" t="s">
        <v>2278</v>
      </c>
      <c r="I487" t="s">
        <v>2299</v>
      </c>
      <c r="J487" t="s">
        <v>2300</v>
      </c>
      <c r="K487" t="s">
        <v>2301</v>
      </c>
      <c r="L487" t="s">
        <v>54</v>
      </c>
    </row>
    <row r="488" spans="1:12">
      <c r="A488">
        <v>522</v>
      </c>
      <c r="B488" t="s">
        <v>2302</v>
      </c>
      <c r="C488" t="s">
        <v>353</v>
      </c>
      <c r="D488" t="s">
        <v>286</v>
      </c>
      <c r="E488" t="s">
        <v>682</v>
      </c>
      <c r="F488" t="s">
        <v>2278</v>
      </c>
      <c r="G488" t="s">
        <v>2303</v>
      </c>
      <c r="H488" t="s">
        <v>2278</v>
      </c>
      <c r="I488" t="s">
        <v>2304</v>
      </c>
      <c r="J488" t="s">
        <v>2293</v>
      </c>
      <c r="K488" t="s">
        <v>2305</v>
      </c>
      <c r="L488" t="s">
        <v>36</v>
      </c>
    </row>
    <row r="489" spans="1:12">
      <c r="A489">
        <v>523</v>
      </c>
      <c r="B489" t="s">
        <v>2306</v>
      </c>
      <c r="C489" t="s">
        <v>13</v>
      </c>
      <c r="D489" t="s">
        <v>13</v>
      </c>
      <c r="E489" t="s">
        <v>682</v>
      </c>
      <c r="F489" t="s">
        <v>2278</v>
      </c>
      <c r="G489" t="s">
        <v>2307</v>
      </c>
      <c r="H489" t="s">
        <v>2278</v>
      </c>
      <c r="I489" t="s">
        <v>2308</v>
      </c>
      <c r="J489" t="s">
        <v>2293</v>
      </c>
      <c r="K489" t="s">
        <v>2309</v>
      </c>
      <c r="L489" t="s">
        <v>21</v>
      </c>
    </row>
    <row r="490" spans="1:12">
      <c r="A490">
        <v>524</v>
      </c>
      <c r="B490" t="s">
        <v>2310</v>
      </c>
      <c r="C490" t="s">
        <v>13</v>
      </c>
      <c r="D490" t="s">
        <v>13</v>
      </c>
      <c r="E490" t="s">
        <v>947</v>
      </c>
      <c r="F490" t="s">
        <v>2278</v>
      </c>
      <c r="G490" t="s">
        <v>2211</v>
      </c>
      <c r="H490" t="s">
        <v>2278</v>
      </c>
      <c r="I490" t="s">
        <v>2311</v>
      </c>
      <c r="J490" t="s">
        <v>2312</v>
      </c>
      <c r="K490" t="s">
        <v>2309</v>
      </c>
      <c r="L490" t="s">
        <v>21</v>
      </c>
    </row>
    <row r="491" spans="1:12">
      <c r="A491">
        <v>525</v>
      </c>
      <c r="B491" t="s">
        <v>2313</v>
      </c>
      <c r="C491" t="s">
        <v>13</v>
      </c>
      <c r="D491" t="s">
        <v>13</v>
      </c>
      <c r="E491" t="s">
        <v>438</v>
      </c>
      <c r="F491" t="s">
        <v>2278</v>
      </c>
      <c r="G491" t="s">
        <v>1768</v>
      </c>
      <c r="H491" t="s">
        <v>2278</v>
      </c>
      <c r="I491" t="s">
        <v>2314</v>
      </c>
      <c r="J491" t="s">
        <v>2293</v>
      </c>
      <c r="K491" t="s">
        <v>13</v>
      </c>
      <c r="L491" t="s">
        <v>54</v>
      </c>
    </row>
    <row r="492" spans="1:12">
      <c r="A492">
        <v>526</v>
      </c>
      <c r="B492" t="s">
        <v>2315</v>
      </c>
      <c r="C492" t="s">
        <v>65</v>
      </c>
      <c r="D492" t="s">
        <v>100</v>
      </c>
      <c r="E492" t="s">
        <v>2316</v>
      </c>
      <c r="F492" t="s">
        <v>2278</v>
      </c>
      <c r="G492" t="s">
        <v>1655</v>
      </c>
      <c r="H492" t="s">
        <v>2278</v>
      </c>
      <c r="I492" t="s">
        <v>2317</v>
      </c>
      <c r="J492" t="s">
        <v>2293</v>
      </c>
      <c r="K492" t="s">
        <v>2318</v>
      </c>
      <c r="L492" t="s">
        <v>21</v>
      </c>
    </row>
    <row r="493" spans="1:12">
      <c r="A493">
        <v>527</v>
      </c>
      <c r="B493" t="s">
        <v>2319</v>
      </c>
      <c r="C493" t="s">
        <v>150</v>
      </c>
      <c r="D493" t="s">
        <v>286</v>
      </c>
      <c r="E493" t="s">
        <v>2320</v>
      </c>
      <c r="F493" t="s">
        <v>2278</v>
      </c>
      <c r="G493" t="s">
        <v>2321</v>
      </c>
      <c r="H493" t="s">
        <v>2322</v>
      </c>
      <c r="I493" t="s">
        <v>2323</v>
      </c>
      <c r="J493" t="s">
        <v>2293</v>
      </c>
      <c r="K493" t="s">
        <v>2324</v>
      </c>
      <c r="L493" t="s">
        <v>36</v>
      </c>
    </row>
    <row r="494" spans="1:12">
      <c r="A494">
        <v>528</v>
      </c>
      <c r="B494" t="s">
        <v>2325</v>
      </c>
      <c r="C494" t="s">
        <v>240</v>
      </c>
      <c r="D494" t="s">
        <v>57</v>
      </c>
      <c r="E494" t="s">
        <v>2326</v>
      </c>
      <c r="F494" t="s">
        <v>2278</v>
      </c>
      <c r="G494" t="s">
        <v>2327</v>
      </c>
      <c r="H494" t="s">
        <v>2278</v>
      </c>
      <c r="I494" t="s">
        <v>2328</v>
      </c>
      <c r="J494" t="s">
        <v>2293</v>
      </c>
      <c r="K494" t="s">
        <v>2318</v>
      </c>
      <c r="L494" t="s">
        <v>21</v>
      </c>
    </row>
    <row r="495" spans="1:12">
      <c r="A495">
        <v>529</v>
      </c>
      <c r="B495" t="s">
        <v>2329</v>
      </c>
      <c r="C495" t="s">
        <v>1129</v>
      </c>
      <c r="D495" t="s">
        <v>267</v>
      </c>
      <c r="E495" t="s">
        <v>737</v>
      </c>
      <c r="F495" t="s">
        <v>2278</v>
      </c>
      <c r="G495" t="s">
        <v>1741</v>
      </c>
      <c r="H495" t="s">
        <v>2278</v>
      </c>
      <c r="I495" t="s">
        <v>2330</v>
      </c>
      <c r="J495" t="s">
        <v>2331</v>
      </c>
      <c r="K495" t="s">
        <v>2332</v>
      </c>
      <c r="L495" t="s">
        <v>21</v>
      </c>
    </row>
    <row r="496" spans="1:12">
      <c r="A496">
        <v>530</v>
      </c>
      <c r="B496" t="s">
        <v>2167</v>
      </c>
      <c r="C496" t="s">
        <v>13</v>
      </c>
      <c r="D496" t="s">
        <v>13</v>
      </c>
      <c r="E496" t="s">
        <v>1391</v>
      </c>
      <c r="F496" t="s">
        <v>2278</v>
      </c>
      <c r="G496" t="s">
        <v>213</v>
      </c>
      <c r="H496" t="s">
        <v>2278</v>
      </c>
      <c r="I496" t="s">
        <v>2333</v>
      </c>
      <c r="J496" t="s">
        <v>2334</v>
      </c>
      <c r="K496" t="s">
        <v>2332</v>
      </c>
      <c r="L496" t="s">
        <v>21</v>
      </c>
    </row>
    <row r="497" spans="1:12">
      <c r="A497">
        <v>531</v>
      </c>
      <c r="B497" t="s">
        <v>2335</v>
      </c>
      <c r="C497" t="s">
        <v>13</v>
      </c>
      <c r="D497" t="s">
        <v>13</v>
      </c>
      <c r="E497" t="s">
        <v>883</v>
      </c>
      <c r="F497" t="s">
        <v>2278</v>
      </c>
      <c r="G497" t="s">
        <v>2336</v>
      </c>
      <c r="H497" t="s">
        <v>2278</v>
      </c>
      <c r="I497" t="s">
        <v>2337</v>
      </c>
      <c r="J497" t="s">
        <v>2300</v>
      </c>
      <c r="K497" t="s">
        <v>2332</v>
      </c>
      <c r="L497" t="s">
        <v>21</v>
      </c>
    </row>
    <row r="498" spans="1:12">
      <c r="A498">
        <v>532</v>
      </c>
      <c r="B498" t="s">
        <v>2338</v>
      </c>
      <c r="C498" t="s">
        <v>246</v>
      </c>
      <c r="D498" t="s">
        <v>83</v>
      </c>
      <c r="E498" t="s">
        <v>212</v>
      </c>
      <c r="F498" t="s">
        <v>2278</v>
      </c>
      <c r="G498" t="s">
        <v>2339</v>
      </c>
      <c r="H498" t="s">
        <v>2278</v>
      </c>
      <c r="I498" t="s">
        <v>2340</v>
      </c>
      <c r="J498" t="s">
        <v>2293</v>
      </c>
      <c r="K498" t="s">
        <v>2332</v>
      </c>
      <c r="L498" t="s">
        <v>21</v>
      </c>
    </row>
    <row r="499" spans="1:12">
      <c r="A499">
        <v>533</v>
      </c>
      <c r="B499" t="s">
        <v>2341</v>
      </c>
      <c r="C499" t="s">
        <v>1129</v>
      </c>
      <c r="D499" t="s">
        <v>267</v>
      </c>
      <c r="E499" t="s">
        <v>2148</v>
      </c>
      <c r="F499" t="s">
        <v>2278</v>
      </c>
      <c r="G499" t="s">
        <v>1400</v>
      </c>
      <c r="H499" t="s">
        <v>402</v>
      </c>
      <c r="I499" t="s">
        <v>2342</v>
      </c>
      <c r="J499" t="s">
        <v>2343</v>
      </c>
      <c r="K499" t="s">
        <v>2344</v>
      </c>
      <c r="L499" t="s">
        <v>21</v>
      </c>
    </row>
    <row r="500" spans="1:12">
      <c r="A500">
        <v>534</v>
      </c>
      <c r="B500" t="s">
        <v>2345</v>
      </c>
      <c r="C500" t="s">
        <v>56</v>
      </c>
      <c r="D500" t="s">
        <v>173</v>
      </c>
      <c r="E500" t="s">
        <v>411</v>
      </c>
      <c r="F500" t="s">
        <v>2278</v>
      </c>
      <c r="G500" t="s">
        <v>2346</v>
      </c>
      <c r="H500" t="s">
        <v>2278</v>
      </c>
      <c r="I500" t="s">
        <v>2347</v>
      </c>
      <c r="J500" t="s">
        <v>2348</v>
      </c>
      <c r="K500" t="s">
        <v>2294</v>
      </c>
      <c r="L500" t="s">
        <v>54</v>
      </c>
    </row>
    <row r="501" spans="1:12">
      <c r="A501">
        <v>535</v>
      </c>
      <c r="B501" t="s">
        <v>2349</v>
      </c>
      <c r="C501" t="s">
        <v>38</v>
      </c>
      <c r="D501" t="s">
        <v>286</v>
      </c>
      <c r="E501" t="s">
        <v>2326</v>
      </c>
      <c r="F501" t="s">
        <v>2278</v>
      </c>
      <c r="G501" t="s">
        <v>489</v>
      </c>
      <c r="H501" t="s">
        <v>13</v>
      </c>
      <c r="I501" t="s">
        <v>2350</v>
      </c>
      <c r="J501" t="s">
        <v>2293</v>
      </c>
      <c r="K501" t="s">
        <v>13</v>
      </c>
      <c r="L501" t="s">
        <v>21</v>
      </c>
    </row>
    <row r="502" spans="1:12">
      <c r="A502">
        <v>536</v>
      </c>
      <c r="B502" t="s">
        <v>2351</v>
      </c>
      <c r="C502" t="s">
        <v>251</v>
      </c>
      <c r="D502" t="s">
        <v>260</v>
      </c>
      <c r="E502" t="s">
        <v>196</v>
      </c>
      <c r="F502" t="s">
        <v>2278</v>
      </c>
      <c r="G502" t="s">
        <v>85</v>
      </c>
      <c r="H502" t="s">
        <v>2278</v>
      </c>
      <c r="I502" t="s">
        <v>2352</v>
      </c>
      <c r="J502" t="s">
        <v>2293</v>
      </c>
      <c r="K502" t="s">
        <v>2353</v>
      </c>
      <c r="L502" t="s">
        <v>54</v>
      </c>
    </row>
    <row r="503" spans="1:12">
      <c r="A503">
        <v>537</v>
      </c>
      <c r="B503" t="s">
        <v>2354</v>
      </c>
      <c r="C503" t="s">
        <v>633</v>
      </c>
      <c r="D503" t="s">
        <v>260</v>
      </c>
      <c r="E503" t="s">
        <v>272</v>
      </c>
      <c r="F503" t="s">
        <v>2278</v>
      </c>
      <c r="G503" t="s">
        <v>2355</v>
      </c>
      <c r="H503" t="s">
        <v>2356</v>
      </c>
      <c r="I503" t="s">
        <v>2357</v>
      </c>
      <c r="J503" t="s">
        <v>2358</v>
      </c>
      <c r="K503" t="s">
        <v>13</v>
      </c>
      <c r="L503" t="s">
        <v>54</v>
      </c>
    </row>
    <row r="504" spans="1:12">
      <c r="A504">
        <v>538</v>
      </c>
      <c r="B504" t="s">
        <v>2359</v>
      </c>
      <c r="C504" t="s">
        <v>56</v>
      </c>
      <c r="D504" t="s">
        <v>267</v>
      </c>
      <c r="E504" t="s">
        <v>613</v>
      </c>
      <c r="F504" t="s">
        <v>2278</v>
      </c>
      <c r="G504" t="s">
        <v>2360</v>
      </c>
      <c r="H504" t="s">
        <v>2278</v>
      </c>
      <c r="I504" t="s">
        <v>2361</v>
      </c>
      <c r="J504" t="s">
        <v>2362</v>
      </c>
      <c r="K504" t="s">
        <v>13</v>
      </c>
      <c r="L504" t="s">
        <v>54</v>
      </c>
    </row>
    <row r="505" spans="1:12">
      <c r="A505">
        <v>539</v>
      </c>
      <c r="B505" t="s">
        <v>2363</v>
      </c>
      <c r="C505" t="s">
        <v>115</v>
      </c>
      <c r="D505" t="s">
        <v>211</v>
      </c>
      <c r="E505" t="s">
        <v>613</v>
      </c>
      <c r="F505" t="s">
        <v>2278</v>
      </c>
      <c r="G505" t="s">
        <v>2364</v>
      </c>
      <c r="H505" t="s">
        <v>2278</v>
      </c>
      <c r="I505" t="s">
        <v>2365</v>
      </c>
      <c r="J505" t="s">
        <v>2366</v>
      </c>
      <c r="K505" t="s">
        <v>2367</v>
      </c>
      <c r="L505" t="s">
        <v>36</v>
      </c>
    </row>
    <row r="506" spans="1:12">
      <c r="A506">
        <v>540</v>
      </c>
      <c r="B506" t="s">
        <v>2368</v>
      </c>
      <c r="C506" t="s">
        <v>13</v>
      </c>
      <c r="D506" t="s">
        <v>13</v>
      </c>
      <c r="E506" t="s">
        <v>1476</v>
      </c>
      <c r="F506" t="s">
        <v>2369</v>
      </c>
      <c r="G506" t="s">
        <v>2167</v>
      </c>
      <c r="H506" t="s">
        <v>2369</v>
      </c>
      <c r="I506" t="s">
        <v>2370</v>
      </c>
      <c r="J506" t="s">
        <v>2371</v>
      </c>
      <c r="K506" t="s">
        <v>2372</v>
      </c>
      <c r="L506" t="s">
        <v>36</v>
      </c>
    </row>
    <row r="507" spans="1:12">
      <c r="A507">
        <v>541</v>
      </c>
      <c r="B507" t="s">
        <v>2373</v>
      </c>
      <c r="C507" t="s">
        <v>13</v>
      </c>
      <c r="D507" t="s">
        <v>13</v>
      </c>
      <c r="E507" t="s">
        <v>381</v>
      </c>
      <c r="F507" t="s">
        <v>2374</v>
      </c>
      <c r="G507" t="s">
        <v>2375</v>
      </c>
      <c r="H507" t="s">
        <v>2376</v>
      </c>
      <c r="I507" t="s">
        <v>2377</v>
      </c>
      <c r="J507" t="s">
        <v>2378</v>
      </c>
      <c r="K507" t="s">
        <v>2379</v>
      </c>
      <c r="L507" t="s">
        <v>54</v>
      </c>
    </row>
    <row r="508" spans="1:12">
      <c r="A508">
        <v>542</v>
      </c>
      <c r="B508" t="s">
        <v>2380</v>
      </c>
      <c r="C508" t="s">
        <v>13</v>
      </c>
      <c r="D508" t="s">
        <v>13</v>
      </c>
      <c r="E508" t="s">
        <v>1066</v>
      </c>
      <c r="F508" t="s">
        <v>2381</v>
      </c>
      <c r="G508" t="s">
        <v>500</v>
      </c>
      <c r="H508" t="s">
        <v>2382</v>
      </c>
      <c r="I508" t="s">
        <v>2383</v>
      </c>
      <c r="J508" t="s">
        <v>2384</v>
      </c>
      <c r="K508" t="s">
        <v>2385</v>
      </c>
      <c r="L508" t="s">
        <v>36</v>
      </c>
    </row>
    <row r="509" spans="1:12">
      <c r="A509">
        <v>543</v>
      </c>
      <c r="B509" t="s">
        <v>2386</v>
      </c>
      <c r="C509" t="s">
        <v>13</v>
      </c>
      <c r="D509" t="s">
        <v>13</v>
      </c>
      <c r="E509" t="s">
        <v>381</v>
      </c>
      <c r="F509" t="s">
        <v>2387</v>
      </c>
      <c r="G509" t="s">
        <v>1712</v>
      </c>
      <c r="H509" t="s">
        <v>2387</v>
      </c>
      <c r="I509" t="s">
        <v>2388</v>
      </c>
      <c r="J509" t="s">
        <v>2389</v>
      </c>
      <c r="K509" t="s">
        <v>2390</v>
      </c>
      <c r="L509" t="s">
        <v>54</v>
      </c>
    </row>
    <row r="510" spans="1:12">
      <c r="A510">
        <v>544</v>
      </c>
      <c r="B510" t="s">
        <v>2391</v>
      </c>
      <c r="C510" t="s">
        <v>13</v>
      </c>
      <c r="D510" t="s">
        <v>13</v>
      </c>
      <c r="E510" t="s">
        <v>1353</v>
      </c>
      <c r="F510" t="s">
        <v>2392</v>
      </c>
      <c r="G510" t="s">
        <v>1400</v>
      </c>
      <c r="H510" t="s">
        <v>2393</v>
      </c>
      <c r="I510" t="s">
        <v>2394</v>
      </c>
      <c r="J510" t="s">
        <v>2395</v>
      </c>
      <c r="K510" t="s">
        <v>2396</v>
      </c>
      <c r="L510" t="s">
        <v>36</v>
      </c>
    </row>
    <row r="511" spans="1:12">
      <c r="A511">
        <v>545</v>
      </c>
      <c r="B511" t="s">
        <v>2397</v>
      </c>
      <c r="C511" t="s">
        <v>13</v>
      </c>
      <c r="D511" t="s">
        <v>13</v>
      </c>
      <c r="E511" t="s">
        <v>2398</v>
      </c>
      <c r="F511" t="s">
        <v>2399</v>
      </c>
      <c r="G511" t="s">
        <v>2400</v>
      </c>
      <c r="H511" t="s">
        <v>2399</v>
      </c>
      <c r="I511" t="s">
        <v>2401</v>
      </c>
      <c r="J511" t="s">
        <v>2402</v>
      </c>
      <c r="K511" t="s">
        <v>2403</v>
      </c>
      <c r="L511" t="s">
        <v>21</v>
      </c>
    </row>
    <row r="512" spans="1:12">
      <c r="A512">
        <v>546</v>
      </c>
      <c r="B512" t="s">
        <v>2404</v>
      </c>
      <c r="C512" t="s">
        <v>13</v>
      </c>
      <c r="D512" t="s">
        <v>13</v>
      </c>
      <c r="E512" t="s">
        <v>411</v>
      </c>
      <c r="F512" t="s">
        <v>2288</v>
      </c>
      <c r="G512" t="s">
        <v>1896</v>
      </c>
      <c r="H512" t="s">
        <v>2288</v>
      </c>
      <c r="I512" t="s">
        <v>2405</v>
      </c>
      <c r="J512" t="s">
        <v>2406</v>
      </c>
      <c r="K512" t="s">
        <v>2294</v>
      </c>
      <c r="L512" t="s">
        <v>54</v>
      </c>
    </row>
    <row r="513" spans="1:12">
      <c r="A513">
        <v>547</v>
      </c>
      <c r="B513" t="s">
        <v>2407</v>
      </c>
      <c r="C513" t="s">
        <v>13</v>
      </c>
      <c r="D513" t="s">
        <v>13</v>
      </c>
      <c r="E513" t="s">
        <v>2408</v>
      </c>
      <c r="F513" t="s">
        <v>2409</v>
      </c>
      <c r="G513" t="s">
        <v>2339</v>
      </c>
      <c r="H513" t="s">
        <v>2369</v>
      </c>
      <c r="I513" t="s">
        <v>2410</v>
      </c>
      <c r="J513" t="s">
        <v>2411</v>
      </c>
      <c r="K513" t="s">
        <v>2412</v>
      </c>
      <c r="L513" t="s">
        <v>21</v>
      </c>
    </row>
    <row r="514" spans="1:12">
      <c r="A514">
        <v>548</v>
      </c>
      <c r="B514" t="s">
        <v>2413</v>
      </c>
      <c r="C514" t="s">
        <v>13</v>
      </c>
      <c r="D514" t="s">
        <v>13</v>
      </c>
      <c r="E514" t="s">
        <v>1501</v>
      </c>
      <c r="F514" t="s">
        <v>2374</v>
      </c>
      <c r="G514" t="s">
        <v>1022</v>
      </c>
      <c r="H514" t="s">
        <v>2374</v>
      </c>
      <c r="I514" t="s">
        <v>2414</v>
      </c>
      <c r="J514" t="s">
        <v>2415</v>
      </c>
      <c r="K514" t="s">
        <v>2416</v>
      </c>
      <c r="L514" t="s">
        <v>21</v>
      </c>
    </row>
    <row r="515" spans="1:12">
      <c r="A515">
        <v>549</v>
      </c>
      <c r="B515" t="s">
        <v>2417</v>
      </c>
      <c r="C515" t="s">
        <v>13</v>
      </c>
      <c r="D515" t="s">
        <v>13</v>
      </c>
      <c r="E515" t="s">
        <v>394</v>
      </c>
      <c r="F515" t="s">
        <v>2382</v>
      </c>
      <c r="G515" t="s">
        <v>213</v>
      </c>
      <c r="H515" t="s">
        <v>2382</v>
      </c>
      <c r="I515" t="s">
        <v>2418</v>
      </c>
      <c r="J515" t="s">
        <v>2419</v>
      </c>
      <c r="K515" t="s">
        <v>2420</v>
      </c>
      <c r="L515" t="s">
        <v>54</v>
      </c>
    </row>
    <row r="516" spans="1:12">
      <c r="A516">
        <v>550</v>
      </c>
      <c r="B516" t="s">
        <v>2421</v>
      </c>
      <c r="C516" t="s">
        <v>13</v>
      </c>
      <c r="D516" t="s">
        <v>13</v>
      </c>
      <c r="E516" t="s">
        <v>2422</v>
      </c>
      <c r="F516" t="s">
        <v>2423</v>
      </c>
      <c r="G516" t="s">
        <v>2424</v>
      </c>
      <c r="H516" t="s">
        <v>2423</v>
      </c>
      <c r="I516" t="s">
        <v>2425</v>
      </c>
      <c r="J516" t="s">
        <v>2389</v>
      </c>
      <c r="K516" t="s">
        <v>2420</v>
      </c>
      <c r="L516" t="s">
        <v>36</v>
      </c>
    </row>
    <row r="517" spans="1:12">
      <c r="A517">
        <v>551</v>
      </c>
      <c r="B517" t="s">
        <v>2426</v>
      </c>
      <c r="C517" t="s">
        <v>13</v>
      </c>
      <c r="D517" t="s">
        <v>13</v>
      </c>
      <c r="E517" t="s">
        <v>2427</v>
      </c>
      <c r="F517" t="s">
        <v>2428</v>
      </c>
      <c r="G517" t="s">
        <v>2429</v>
      </c>
      <c r="H517" t="s">
        <v>2428</v>
      </c>
      <c r="I517" t="s">
        <v>2430</v>
      </c>
      <c r="J517" t="s">
        <v>2395</v>
      </c>
      <c r="K517" t="s">
        <v>2431</v>
      </c>
      <c r="L517" t="s">
        <v>21</v>
      </c>
    </row>
    <row r="518" spans="1:12">
      <c r="A518">
        <v>552</v>
      </c>
      <c r="B518" t="s">
        <v>2432</v>
      </c>
      <c r="C518" t="s">
        <v>13</v>
      </c>
      <c r="D518" t="s">
        <v>13</v>
      </c>
      <c r="E518" t="s">
        <v>2433</v>
      </c>
      <c r="F518" t="s">
        <v>2399</v>
      </c>
      <c r="G518" t="s">
        <v>2434</v>
      </c>
      <c r="H518" t="s">
        <v>2399</v>
      </c>
      <c r="I518" t="s">
        <v>2435</v>
      </c>
      <c r="J518" t="s">
        <v>2436</v>
      </c>
      <c r="K518" t="s">
        <v>2437</v>
      </c>
      <c r="L518" t="s">
        <v>36</v>
      </c>
    </row>
    <row r="519" spans="1:12">
      <c r="A519">
        <v>553</v>
      </c>
      <c r="B519" t="s">
        <v>2438</v>
      </c>
      <c r="C519" t="s">
        <v>13</v>
      </c>
      <c r="D519" t="s">
        <v>13</v>
      </c>
      <c r="E519" t="s">
        <v>2126</v>
      </c>
      <c r="F519" t="s">
        <v>2322</v>
      </c>
      <c r="G519" t="s">
        <v>500</v>
      </c>
      <c r="H519" t="s">
        <v>2322</v>
      </c>
      <c r="I519" t="s">
        <v>2439</v>
      </c>
      <c r="J519" t="s">
        <v>2406</v>
      </c>
      <c r="K519" t="s">
        <v>2440</v>
      </c>
      <c r="L519" t="s">
        <v>21</v>
      </c>
    </row>
    <row r="520" spans="1:12">
      <c r="A520">
        <v>555</v>
      </c>
      <c r="B520" t="s">
        <v>2441</v>
      </c>
      <c r="C520" t="s">
        <v>13</v>
      </c>
      <c r="D520" t="s">
        <v>13</v>
      </c>
      <c r="E520" t="s">
        <v>2442</v>
      </c>
      <c r="F520" t="s">
        <v>2443</v>
      </c>
      <c r="G520" t="s">
        <v>2444</v>
      </c>
      <c r="H520" t="s">
        <v>2443</v>
      </c>
      <c r="I520" t="s">
        <v>2445</v>
      </c>
      <c r="J520" t="s">
        <v>2446</v>
      </c>
      <c r="K520" t="s">
        <v>2447</v>
      </c>
      <c r="L520" t="s">
        <v>21</v>
      </c>
    </row>
    <row r="521" spans="1:12">
      <c r="A521">
        <v>556</v>
      </c>
      <c r="B521" t="s">
        <v>2448</v>
      </c>
      <c r="C521" t="s">
        <v>13</v>
      </c>
      <c r="D521" t="s">
        <v>13</v>
      </c>
      <c r="E521" t="s">
        <v>2449</v>
      </c>
      <c r="F521" t="s">
        <v>2382</v>
      </c>
      <c r="G521" t="s">
        <v>2450</v>
      </c>
      <c r="H521" t="s">
        <v>2382</v>
      </c>
      <c r="I521" t="s">
        <v>2451</v>
      </c>
      <c r="J521" t="s">
        <v>2452</v>
      </c>
      <c r="K521" t="s">
        <v>1033</v>
      </c>
      <c r="L521" t="s">
        <v>36</v>
      </c>
    </row>
    <row r="522" spans="1:12">
      <c r="A522">
        <v>558</v>
      </c>
      <c r="B522" t="s">
        <v>2453</v>
      </c>
      <c r="C522" t="s">
        <v>13</v>
      </c>
      <c r="D522" t="s">
        <v>13</v>
      </c>
      <c r="E522" t="s">
        <v>2454</v>
      </c>
      <c r="F522" t="s">
        <v>2392</v>
      </c>
      <c r="G522" t="s">
        <v>2455</v>
      </c>
      <c r="H522" t="s">
        <v>2392</v>
      </c>
      <c r="I522" t="s">
        <v>2456</v>
      </c>
      <c r="J522" t="s">
        <v>2395</v>
      </c>
      <c r="K522" t="s">
        <v>2457</v>
      </c>
      <c r="L522" t="s">
        <v>21</v>
      </c>
    </row>
    <row r="523" spans="1:12">
      <c r="A523">
        <v>559</v>
      </c>
      <c r="B523" t="s">
        <v>2458</v>
      </c>
      <c r="C523" t="s">
        <v>13</v>
      </c>
      <c r="D523" t="s">
        <v>13</v>
      </c>
      <c r="E523" t="s">
        <v>2398</v>
      </c>
      <c r="F523" t="s">
        <v>2399</v>
      </c>
      <c r="G523" t="s">
        <v>2400</v>
      </c>
      <c r="H523" t="s">
        <v>2399</v>
      </c>
      <c r="I523" t="s">
        <v>2459</v>
      </c>
      <c r="J523" t="s">
        <v>2436</v>
      </c>
      <c r="K523" t="s">
        <v>2403</v>
      </c>
      <c r="L523" t="s">
        <v>21</v>
      </c>
    </row>
    <row r="524" spans="1:12">
      <c r="A524">
        <v>560</v>
      </c>
      <c r="B524" t="s">
        <v>2460</v>
      </c>
      <c r="C524" t="s">
        <v>13</v>
      </c>
      <c r="D524" t="s">
        <v>13</v>
      </c>
      <c r="E524" t="s">
        <v>2461</v>
      </c>
      <c r="F524" t="s">
        <v>2462</v>
      </c>
      <c r="G524" t="s">
        <v>2463</v>
      </c>
      <c r="H524" t="s">
        <v>2462</v>
      </c>
      <c r="I524" t="s">
        <v>2464</v>
      </c>
      <c r="J524" t="s">
        <v>2406</v>
      </c>
      <c r="K524" t="s">
        <v>2465</v>
      </c>
      <c r="L524" t="s">
        <v>21</v>
      </c>
    </row>
    <row r="525" spans="1:12">
      <c r="A525">
        <v>561</v>
      </c>
      <c r="B525" t="s">
        <v>2466</v>
      </c>
      <c r="C525" t="s">
        <v>13</v>
      </c>
      <c r="D525" t="s">
        <v>13</v>
      </c>
      <c r="E525" t="s">
        <v>2467</v>
      </c>
      <c r="F525" t="s">
        <v>2468</v>
      </c>
      <c r="G525" t="s">
        <v>2469</v>
      </c>
      <c r="H525" t="s">
        <v>2468</v>
      </c>
      <c r="I525" t="s">
        <v>2470</v>
      </c>
      <c r="J525" t="s">
        <v>2471</v>
      </c>
      <c r="K525" t="s">
        <v>2472</v>
      </c>
      <c r="L525" t="s">
        <v>36</v>
      </c>
    </row>
    <row r="526" spans="1:12">
      <c r="A526">
        <v>562</v>
      </c>
      <c r="B526" t="s">
        <v>2473</v>
      </c>
      <c r="C526" t="s">
        <v>13</v>
      </c>
      <c r="D526" t="s">
        <v>13</v>
      </c>
      <c r="E526" t="s">
        <v>2474</v>
      </c>
      <c r="F526" t="s">
        <v>2374</v>
      </c>
      <c r="G526" t="s">
        <v>2475</v>
      </c>
      <c r="H526" t="s">
        <v>2476</v>
      </c>
      <c r="I526" t="s">
        <v>2477</v>
      </c>
      <c r="J526" t="s">
        <v>2378</v>
      </c>
      <c r="K526" t="s">
        <v>2478</v>
      </c>
      <c r="L526" t="s">
        <v>21</v>
      </c>
    </row>
    <row r="527" spans="1:12">
      <c r="A527">
        <v>563</v>
      </c>
      <c r="B527" t="s">
        <v>2479</v>
      </c>
      <c r="C527" t="s">
        <v>13</v>
      </c>
      <c r="D527" t="s">
        <v>13</v>
      </c>
      <c r="E527" t="s">
        <v>2480</v>
      </c>
      <c r="F527" t="s">
        <v>2382</v>
      </c>
      <c r="G527" t="s">
        <v>2481</v>
      </c>
      <c r="H527" t="s">
        <v>2382</v>
      </c>
      <c r="I527" t="s">
        <v>2482</v>
      </c>
      <c r="J527" t="s">
        <v>2483</v>
      </c>
      <c r="K527" t="s">
        <v>1057</v>
      </c>
      <c r="L527" t="s">
        <v>54</v>
      </c>
    </row>
    <row r="528" spans="1:12">
      <c r="A528">
        <v>564</v>
      </c>
      <c r="B528" t="s">
        <v>2484</v>
      </c>
      <c r="C528" t="s">
        <v>13</v>
      </c>
      <c r="D528" t="s">
        <v>13</v>
      </c>
      <c r="E528" t="s">
        <v>2485</v>
      </c>
      <c r="F528" t="s">
        <v>2423</v>
      </c>
      <c r="G528" t="s">
        <v>2486</v>
      </c>
      <c r="H528" t="s">
        <v>2487</v>
      </c>
      <c r="I528" t="s">
        <v>2488</v>
      </c>
      <c r="J528" t="s">
        <v>2452</v>
      </c>
      <c r="K528" t="s">
        <v>2489</v>
      </c>
      <c r="L528" t="s">
        <v>21</v>
      </c>
    </row>
    <row r="529" spans="1:12">
      <c r="A529">
        <v>565</v>
      </c>
      <c r="B529" t="s">
        <v>2490</v>
      </c>
      <c r="C529" t="s">
        <v>13</v>
      </c>
      <c r="D529" t="s">
        <v>13</v>
      </c>
      <c r="E529" t="s">
        <v>2491</v>
      </c>
      <c r="F529" t="s">
        <v>2392</v>
      </c>
      <c r="G529" t="s">
        <v>2492</v>
      </c>
      <c r="H529" t="s">
        <v>2392</v>
      </c>
      <c r="I529" t="s">
        <v>2493</v>
      </c>
      <c r="J529" t="s">
        <v>2395</v>
      </c>
      <c r="K529" t="s">
        <v>2494</v>
      </c>
      <c r="L529" t="s">
        <v>21</v>
      </c>
    </row>
    <row r="530" spans="1:12">
      <c r="A530">
        <v>566</v>
      </c>
      <c r="B530" t="s">
        <v>2495</v>
      </c>
      <c r="C530" t="s">
        <v>13</v>
      </c>
      <c r="D530" t="s">
        <v>13</v>
      </c>
      <c r="E530" t="s">
        <v>2496</v>
      </c>
      <c r="F530" t="s">
        <v>2399</v>
      </c>
      <c r="G530" t="s">
        <v>2497</v>
      </c>
      <c r="H530" t="s">
        <v>2399</v>
      </c>
      <c r="I530" t="s">
        <v>2498</v>
      </c>
      <c r="J530" t="s">
        <v>2436</v>
      </c>
      <c r="K530" t="s">
        <v>2499</v>
      </c>
      <c r="L530" t="s">
        <v>21</v>
      </c>
    </row>
    <row r="531" spans="1:12">
      <c r="A531">
        <v>567</v>
      </c>
      <c r="B531" t="s">
        <v>2500</v>
      </c>
      <c r="C531" t="s">
        <v>13</v>
      </c>
      <c r="D531" t="s">
        <v>13</v>
      </c>
      <c r="E531" t="s">
        <v>2148</v>
      </c>
      <c r="F531" t="s">
        <v>2322</v>
      </c>
      <c r="G531" t="s">
        <v>2375</v>
      </c>
      <c r="H531" t="s">
        <v>2322</v>
      </c>
      <c r="I531" t="s">
        <v>2501</v>
      </c>
      <c r="J531" t="s">
        <v>2502</v>
      </c>
      <c r="K531" t="s">
        <v>2284</v>
      </c>
      <c r="L531" t="s">
        <v>54</v>
      </c>
    </row>
    <row r="532" spans="1:12">
      <c r="A532">
        <v>568</v>
      </c>
      <c r="B532" t="s">
        <v>2503</v>
      </c>
      <c r="C532" t="s">
        <v>13</v>
      </c>
      <c r="D532" t="s">
        <v>13</v>
      </c>
      <c r="E532" t="s">
        <v>2504</v>
      </c>
      <c r="F532" t="s">
        <v>2369</v>
      </c>
      <c r="G532" t="s">
        <v>1400</v>
      </c>
      <c r="H532" t="s">
        <v>2369</v>
      </c>
      <c r="I532" t="s">
        <v>2505</v>
      </c>
      <c r="J532" t="s">
        <v>2371</v>
      </c>
      <c r="K532" t="s">
        <v>2506</v>
      </c>
      <c r="L532" t="s">
        <v>54</v>
      </c>
    </row>
    <row r="533" spans="1:12">
      <c r="A533">
        <v>569</v>
      </c>
      <c r="B533" t="s">
        <v>2507</v>
      </c>
      <c r="C533" t="s">
        <v>13</v>
      </c>
      <c r="D533" t="s">
        <v>13</v>
      </c>
      <c r="E533" t="s">
        <v>381</v>
      </c>
      <c r="F533" t="s">
        <v>2374</v>
      </c>
      <c r="G533" t="s">
        <v>1022</v>
      </c>
      <c r="H533" t="s">
        <v>2374</v>
      </c>
      <c r="I533" t="s">
        <v>2508</v>
      </c>
      <c r="J533" t="s">
        <v>2415</v>
      </c>
      <c r="K533" t="s">
        <v>2509</v>
      </c>
      <c r="L533" t="s">
        <v>36</v>
      </c>
    </row>
    <row r="534" spans="1:12">
      <c r="A534">
        <v>570</v>
      </c>
      <c r="B534" t="s">
        <v>2510</v>
      </c>
      <c r="C534" t="s">
        <v>13</v>
      </c>
      <c r="D534" t="s">
        <v>13</v>
      </c>
      <c r="E534" t="s">
        <v>1973</v>
      </c>
      <c r="F534" t="s">
        <v>2382</v>
      </c>
      <c r="G534" t="s">
        <v>2511</v>
      </c>
      <c r="H534" t="s">
        <v>2512</v>
      </c>
      <c r="I534" t="s">
        <v>2513</v>
      </c>
      <c r="J534" t="s">
        <v>2514</v>
      </c>
      <c r="K534" t="s">
        <v>1162</v>
      </c>
      <c r="L534" t="s">
        <v>36</v>
      </c>
    </row>
    <row r="535" spans="1:12">
      <c r="A535">
        <v>571</v>
      </c>
      <c r="B535" t="s">
        <v>2515</v>
      </c>
      <c r="C535" t="s">
        <v>13</v>
      </c>
      <c r="D535" t="s">
        <v>13</v>
      </c>
      <c r="E535" t="s">
        <v>2422</v>
      </c>
      <c r="F535" t="s">
        <v>2487</v>
      </c>
      <c r="G535" t="s">
        <v>2516</v>
      </c>
      <c r="H535" t="s">
        <v>2487</v>
      </c>
      <c r="I535" t="s">
        <v>2517</v>
      </c>
      <c r="J535" t="s">
        <v>2389</v>
      </c>
      <c r="K535" t="s">
        <v>2420</v>
      </c>
      <c r="L535" t="s">
        <v>36</v>
      </c>
    </row>
    <row r="536" spans="1:12">
      <c r="A536">
        <v>572</v>
      </c>
      <c r="B536" t="s">
        <v>2518</v>
      </c>
      <c r="C536" t="s">
        <v>13</v>
      </c>
      <c r="D536" t="s">
        <v>13</v>
      </c>
      <c r="E536" t="s">
        <v>2519</v>
      </c>
      <c r="F536" t="s">
        <v>2392</v>
      </c>
      <c r="G536" t="s">
        <v>1400</v>
      </c>
      <c r="H536" t="s">
        <v>2392</v>
      </c>
      <c r="I536" t="s">
        <v>2520</v>
      </c>
      <c r="J536" t="s">
        <v>2395</v>
      </c>
      <c r="K536" t="s">
        <v>2521</v>
      </c>
      <c r="L536" t="s">
        <v>36</v>
      </c>
    </row>
    <row r="537" spans="1:12">
      <c r="A537">
        <v>573</v>
      </c>
      <c r="B537" t="s">
        <v>2522</v>
      </c>
      <c r="C537" t="s">
        <v>13</v>
      </c>
      <c r="D537" t="s">
        <v>13</v>
      </c>
      <c r="E537" t="s">
        <v>571</v>
      </c>
      <c r="F537" t="s">
        <v>2399</v>
      </c>
      <c r="G537" t="s">
        <v>2523</v>
      </c>
      <c r="H537" t="s">
        <v>2399</v>
      </c>
      <c r="I537" t="s">
        <v>2524</v>
      </c>
      <c r="J537" t="s">
        <v>2525</v>
      </c>
      <c r="K537" t="s">
        <v>2526</v>
      </c>
      <c r="L537" t="s">
        <v>21</v>
      </c>
    </row>
    <row r="538" spans="1:12">
      <c r="A538">
        <v>574</v>
      </c>
      <c r="B538" t="s">
        <v>2404</v>
      </c>
      <c r="C538" t="s">
        <v>13</v>
      </c>
      <c r="D538" t="s">
        <v>13</v>
      </c>
      <c r="E538" t="s">
        <v>1084</v>
      </c>
      <c r="F538" t="s">
        <v>2288</v>
      </c>
      <c r="G538" t="s">
        <v>1896</v>
      </c>
      <c r="H538" t="s">
        <v>2288</v>
      </c>
      <c r="I538" t="s">
        <v>2527</v>
      </c>
      <c r="J538" t="s">
        <v>2528</v>
      </c>
      <c r="K538" t="s">
        <v>2294</v>
      </c>
      <c r="L538" t="s">
        <v>54</v>
      </c>
    </row>
    <row r="539" spans="1:12">
      <c r="A539">
        <v>575</v>
      </c>
      <c r="B539" t="s">
        <v>2529</v>
      </c>
      <c r="C539" t="s">
        <v>13</v>
      </c>
      <c r="D539" t="s">
        <v>13</v>
      </c>
      <c r="E539" t="s">
        <v>185</v>
      </c>
      <c r="F539" t="s">
        <v>2369</v>
      </c>
      <c r="G539" t="s">
        <v>2530</v>
      </c>
      <c r="H539" t="s">
        <v>2369</v>
      </c>
      <c r="I539" t="s">
        <v>2531</v>
      </c>
      <c r="J539" t="s">
        <v>2371</v>
      </c>
      <c r="K539" t="s">
        <v>2532</v>
      </c>
      <c r="L539" t="s">
        <v>21</v>
      </c>
    </row>
    <row r="540" spans="1:12">
      <c r="A540">
        <v>576</v>
      </c>
      <c r="B540" t="s">
        <v>2533</v>
      </c>
      <c r="C540" t="s">
        <v>13</v>
      </c>
      <c r="D540" t="s">
        <v>13</v>
      </c>
      <c r="E540" t="s">
        <v>1907</v>
      </c>
      <c r="F540" t="s">
        <v>2374</v>
      </c>
      <c r="G540" t="s">
        <v>2534</v>
      </c>
      <c r="H540" t="s">
        <v>2476</v>
      </c>
      <c r="I540" t="s">
        <v>2535</v>
      </c>
      <c r="J540" t="s">
        <v>2415</v>
      </c>
      <c r="K540" t="s">
        <v>2536</v>
      </c>
      <c r="L540" t="s">
        <v>36</v>
      </c>
    </row>
    <row r="541" spans="1:12">
      <c r="A541">
        <v>577</v>
      </c>
      <c r="B541" t="s">
        <v>2537</v>
      </c>
      <c r="C541" t="s">
        <v>13</v>
      </c>
      <c r="D541" t="s">
        <v>13</v>
      </c>
      <c r="E541" t="s">
        <v>1973</v>
      </c>
      <c r="F541" t="s">
        <v>2382</v>
      </c>
      <c r="G541" t="s">
        <v>2538</v>
      </c>
      <c r="H541" t="s">
        <v>2539</v>
      </c>
      <c r="I541" t="s">
        <v>2540</v>
      </c>
      <c r="J541" t="s">
        <v>2541</v>
      </c>
      <c r="K541" t="s">
        <v>2542</v>
      </c>
      <c r="L541" t="s">
        <v>54</v>
      </c>
    </row>
    <row r="542" spans="1:12">
      <c r="A542">
        <v>578</v>
      </c>
      <c r="B542" t="s">
        <v>2543</v>
      </c>
      <c r="C542" t="s">
        <v>13</v>
      </c>
      <c r="D542" t="s">
        <v>13</v>
      </c>
      <c r="E542" t="s">
        <v>394</v>
      </c>
      <c r="F542" t="s">
        <v>2487</v>
      </c>
      <c r="G542" t="s">
        <v>2544</v>
      </c>
      <c r="H542" t="s">
        <v>2487</v>
      </c>
      <c r="I542" t="s">
        <v>2545</v>
      </c>
      <c r="J542" t="s">
        <v>2546</v>
      </c>
      <c r="K542" t="s">
        <v>2420</v>
      </c>
      <c r="L542" t="s">
        <v>54</v>
      </c>
    </row>
    <row r="543" spans="1:12">
      <c r="A543">
        <v>579</v>
      </c>
      <c r="B543" t="s">
        <v>2547</v>
      </c>
      <c r="C543" t="s">
        <v>13</v>
      </c>
      <c r="D543" t="s">
        <v>13</v>
      </c>
      <c r="E543" t="s">
        <v>1146</v>
      </c>
      <c r="F543" t="s">
        <v>2392</v>
      </c>
      <c r="G543" t="s">
        <v>1806</v>
      </c>
      <c r="H543" t="s">
        <v>2392</v>
      </c>
      <c r="I543" t="s">
        <v>2548</v>
      </c>
      <c r="J543" t="s">
        <v>2395</v>
      </c>
      <c r="K543" t="s">
        <v>2549</v>
      </c>
      <c r="L543" t="s">
        <v>21</v>
      </c>
    </row>
    <row r="544" spans="1:12">
      <c r="A544">
        <v>580</v>
      </c>
      <c r="B544" t="s">
        <v>2550</v>
      </c>
      <c r="C544" t="s">
        <v>13</v>
      </c>
      <c r="D544" t="s">
        <v>13</v>
      </c>
      <c r="E544" t="s">
        <v>1501</v>
      </c>
      <c r="F544" t="s">
        <v>2399</v>
      </c>
      <c r="G544" t="s">
        <v>2551</v>
      </c>
      <c r="H544" t="s">
        <v>2399</v>
      </c>
      <c r="I544" t="s">
        <v>2552</v>
      </c>
      <c r="J544" t="s">
        <v>2436</v>
      </c>
      <c r="K544" t="s">
        <v>2553</v>
      </c>
      <c r="L544" t="s">
        <v>21</v>
      </c>
    </row>
    <row r="545" spans="1:12">
      <c r="A545">
        <v>581</v>
      </c>
      <c r="B545" t="s">
        <v>2554</v>
      </c>
      <c r="C545" t="s">
        <v>13</v>
      </c>
      <c r="D545" t="s">
        <v>13</v>
      </c>
      <c r="E545" t="s">
        <v>656</v>
      </c>
      <c r="F545" t="s">
        <v>2288</v>
      </c>
      <c r="G545" t="s">
        <v>2555</v>
      </c>
      <c r="H545" t="s">
        <v>2288</v>
      </c>
      <c r="I545" t="s">
        <v>2556</v>
      </c>
      <c r="J545" t="s">
        <v>2528</v>
      </c>
      <c r="K545" t="s">
        <v>2557</v>
      </c>
      <c r="L545" t="s">
        <v>36</v>
      </c>
    </row>
    <row r="546" spans="1:12">
      <c r="A546">
        <v>582</v>
      </c>
      <c r="B546" t="s">
        <v>2558</v>
      </c>
      <c r="C546" t="s">
        <v>13</v>
      </c>
      <c r="D546" t="s">
        <v>13</v>
      </c>
      <c r="E546" t="s">
        <v>2153</v>
      </c>
      <c r="F546" t="s">
        <v>2369</v>
      </c>
      <c r="G546" t="s">
        <v>2559</v>
      </c>
      <c r="H546" t="s">
        <v>2369</v>
      </c>
      <c r="I546" t="s">
        <v>2560</v>
      </c>
      <c r="J546" t="s">
        <v>2371</v>
      </c>
      <c r="K546" t="s">
        <v>2561</v>
      </c>
      <c r="L546" t="s">
        <v>21</v>
      </c>
    </row>
    <row r="547" spans="1:12">
      <c r="A547">
        <v>583</v>
      </c>
      <c r="B547" t="s">
        <v>2562</v>
      </c>
      <c r="C547" t="s">
        <v>13</v>
      </c>
      <c r="D547" t="s">
        <v>13</v>
      </c>
      <c r="E547" t="s">
        <v>1099</v>
      </c>
      <c r="F547" t="s">
        <v>2374</v>
      </c>
      <c r="G547" t="s">
        <v>2563</v>
      </c>
      <c r="H547" t="s">
        <v>2374</v>
      </c>
      <c r="I547" t="s">
        <v>2564</v>
      </c>
      <c r="J547" t="s">
        <v>2415</v>
      </c>
      <c r="K547" t="s">
        <v>2565</v>
      </c>
      <c r="L547" t="s">
        <v>36</v>
      </c>
    </row>
    <row r="548" spans="1:12">
      <c r="A548">
        <v>584</v>
      </c>
      <c r="B548" t="s">
        <v>2566</v>
      </c>
      <c r="C548" t="s">
        <v>13</v>
      </c>
      <c r="D548" t="s">
        <v>13</v>
      </c>
      <c r="E548" t="s">
        <v>2567</v>
      </c>
      <c r="F548" t="s">
        <v>2568</v>
      </c>
      <c r="G548" t="s">
        <v>2569</v>
      </c>
      <c r="H548" t="s">
        <v>2570</v>
      </c>
      <c r="I548" t="s">
        <v>2571</v>
      </c>
      <c r="J548" t="s">
        <v>2572</v>
      </c>
      <c r="K548" t="s">
        <v>13</v>
      </c>
      <c r="L548" t="s">
        <v>54</v>
      </c>
    </row>
    <row r="549" spans="1:12">
      <c r="A549">
        <v>585</v>
      </c>
      <c r="B549" t="s">
        <v>2573</v>
      </c>
      <c r="C549" t="s">
        <v>13</v>
      </c>
      <c r="D549" t="s">
        <v>13</v>
      </c>
      <c r="E549" t="s">
        <v>2574</v>
      </c>
      <c r="F549" t="s">
        <v>2392</v>
      </c>
      <c r="G549" t="s">
        <v>138</v>
      </c>
      <c r="H549" t="s">
        <v>2392</v>
      </c>
      <c r="I549" t="s">
        <v>2575</v>
      </c>
      <c r="J549" t="s">
        <v>2395</v>
      </c>
      <c r="K549" t="s">
        <v>2576</v>
      </c>
      <c r="L549" t="s">
        <v>54</v>
      </c>
    </row>
    <row r="550" spans="1:12">
      <c r="A550">
        <v>586</v>
      </c>
      <c r="B550" t="s">
        <v>2577</v>
      </c>
      <c r="C550" t="s">
        <v>13</v>
      </c>
      <c r="D550" t="s">
        <v>13</v>
      </c>
      <c r="E550" t="s">
        <v>1146</v>
      </c>
      <c r="F550" t="s">
        <v>2399</v>
      </c>
      <c r="G550" t="s">
        <v>1712</v>
      </c>
      <c r="H550" t="s">
        <v>2399</v>
      </c>
      <c r="I550" t="s">
        <v>2578</v>
      </c>
      <c r="J550" t="s">
        <v>2436</v>
      </c>
      <c r="K550" t="s">
        <v>13</v>
      </c>
      <c r="L550" t="s">
        <v>36</v>
      </c>
    </row>
    <row r="551" spans="1:12">
      <c r="A551">
        <v>587</v>
      </c>
      <c r="B551" t="s">
        <v>2579</v>
      </c>
      <c r="C551" t="s">
        <v>13</v>
      </c>
      <c r="D551" t="s">
        <v>13</v>
      </c>
      <c r="E551" t="s">
        <v>1841</v>
      </c>
      <c r="F551" t="s">
        <v>2288</v>
      </c>
      <c r="G551" t="s">
        <v>2580</v>
      </c>
      <c r="H551" t="s">
        <v>2581</v>
      </c>
      <c r="I551" t="s">
        <v>2582</v>
      </c>
      <c r="J551" t="s">
        <v>2583</v>
      </c>
      <c r="K551" t="s">
        <v>1460</v>
      </c>
      <c r="L551" t="s">
        <v>54</v>
      </c>
    </row>
    <row r="552" spans="1:12">
      <c r="A552">
        <v>588</v>
      </c>
      <c r="B552" t="s">
        <v>2584</v>
      </c>
      <c r="C552" t="s">
        <v>13</v>
      </c>
      <c r="D552" t="s">
        <v>13</v>
      </c>
      <c r="E552" t="s">
        <v>185</v>
      </c>
      <c r="F552" t="s">
        <v>2369</v>
      </c>
      <c r="G552" t="s">
        <v>2585</v>
      </c>
      <c r="H552" t="s">
        <v>2369</v>
      </c>
      <c r="I552" t="s">
        <v>2586</v>
      </c>
      <c r="J552" t="s">
        <v>2371</v>
      </c>
      <c r="K552" t="s">
        <v>2532</v>
      </c>
      <c r="L552" t="s">
        <v>36</v>
      </c>
    </row>
    <row r="553" spans="1:12">
      <c r="A553">
        <v>589</v>
      </c>
      <c r="B553" t="s">
        <v>2587</v>
      </c>
      <c r="C553" t="s">
        <v>13</v>
      </c>
      <c r="D553" t="s">
        <v>13</v>
      </c>
      <c r="E553" t="s">
        <v>1501</v>
      </c>
      <c r="F553" t="s">
        <v>2374</v>
      </c>
      <c r="G553" t="s">
        <v>2588</v>
      </c>
      <c r="H553" t="s">
        <v>2374</v>
      </c>
      <c r="I553" t="s">
        <v>2589</v>
      </c>
      <c r="J553" t="s">
        <v>2415</v>
      </c>
      <c r="K553" t="s">
        <v>13</v>
      </c>
      <c r="L553" t="s">
        <v>21</v>
      </c>
    </row>
    <row r="554" spans="1:12">
      <c r="A554">
        <v>590</v>
      </c>
      <c r="B554" t="s">
        <v>2590</v>
      </c>
      <c r="C554" t="s">
        <v>13</v>
      </c>
      <c r="D554" t="s">
        <v>13</v>
      </c>
      <c r="E554" t="s">
        <v>1501</v>
      </c>
      <c r="F554" t="s">
        <v>2382</v>
      </c>
      <c r="G554" t="s">
        <v>423</v>
      </c>
      <c r="H554" t="s">
        <v>2382</v>
      </c>
      <c r="I554" t="s">
        <v>2591</v>
      </c>
      <c r="J554" t="s">
        <v>2592</v>
      </c>
      <c r="K554" t="s">
        <v>2420</v>
      </c>
      <c r="L554" t="s">
        <v>54</v>
      </c>
    </row>
    <row r="555" spans="1:12">
      <c r="A555">
        <v>591</v>
      </c>
      <c r="B555" t="s">
        <v>2593</v>
      </c>
      <c r="C555" t="s">
        <v>13</v>
      </c>
      <c r="D555" t="s">
        <v>13</v>
      </c>
      <c r="E555" t="s">
        <v>381</v>
      </c>
      <c r="F555" t="s">
        <v>2387</v>
      </c>
      <c r="G555" t="s">
        <v>1022</v>
      </c>
      <c r="H555" t="s">
        <v>2387</v>
      </c>
      <c r="I555" t="s">
        <v>2594</v>
      </c>
      <c r="J555" t="s">
        <v>2595</v>
      </c>
      <c r="K555" t="s">
        <v>2420</v>
      </c>
      <c r="L555" t="s">
        <v>54</v>
      </c>
    </row>
    <row r="556" spans="1:12">
      <c r="A556">
        <v>592</v>
      </c>
      <c r="B556" t="s">
        <v>2596</v>
      </c>
      <c r="C556" t="s">
        <v>13</v>
      </c>
      <c r="D556" t="s">
        <v>13</v>
      </c>
      <c r="E556" t="s">
        <v>2504</v>
      </c>
      <c r="F556" t="s">
        <v>2392</v>
      </c>
      <c r="G556" t="s">
        <v>2563</v>
      </c>
      <c r="H556" t="s">
        <v>2392</v>
      </c>
      <c r="I556" t="s">
        <v>2597</v>
      </c>
      <c r="J556" t="s">
        <v>2395</v>
      </c>
      <c r="K556" t="s">
        <v>2598</v>
      </c>
      <c r="L556" t="s">
        <v>21</v>
      </c>
    </row>
    <row r="557" spans="1:12">
      <c r="A557">
        <v>593</v>
      </c>
      <c r="B557" t="s">
        <v>2599</v>
      </c>
      <c r="C557" t="s">
        <v>13</v>
      </c>
      <c r="D557" t="s">
        <v>13</v>
      </c>
      <c r="E557" t="s">
        <v>1501</v>
      </c>
      <c r="F557" t="s">
        <v>2399</v>
      </c>
      <c r="G557" t="s">
        <v>2551</v>
      </c>
      <c r="H557" t="s">
        <v>2399</v>
      </c>
      <c r="I557" t="s">
        <v>2600</v>
      </c>
      <c r="J557" t="s">
        <v>2436</v>
      </c>
      <c r="K557" t="s">
        <v>2553</v>
      </c>
      <c r="L557" t="s">
        <v>21</v>
      </c>
    </row>
    <row r="558" spans="1:12">
      <c r="A558">
        <v>594</v>
      </c>
      <c r="B558" t="s">
        <v>2407</v>
      </c>
      <c r="C558" t="s">
        <v>13</v>
      </c>
      <c r="D558" t="s">
        <v>13</v>
      </c>
      <c r="E558" t="s">
        <v>116</v>
      </c>
      <c r="F558" t="s">
        <v>2369</v>
      </c>
      <c r="G558" t="s">
        <v>2339</v>
      </c>
      <c r="H558" t="s">
        <v>2369</v>
      </c>
      <c r="I558" t="s">
        <v>2601</v>
      </c>
      <c r="J558" t="s">
        <v>2411</v>
      </c>
      <c r="K558" t="s">
        <v>2602</v>
      </c>
      <c r="L558" t="s">
        <v>21</v>
      </c>
    </row>
    <row r="559" spans="1:12">
      <c r="A559">
        <v>595</v>
      </c>
      <c r="B559" t="s">
        <v>2603</v>
      </c>
      <c r="C559" t="s">
        <v>13</v>
      </c>
      <c r="D559" t="s">
        <v>13</v>
      </c>
      <c r="E559" t="s">
        <v>1547</v>
      </c>
      <c r="F559" t="s">
        <v>2604</v>
      </c>
      <c r="G559" t="s">
        <v>1896</v>
      </c>
      <c r="H559" t="s">
        <v>2604</v>
      </c>
      <c r="I559" t="s">
        <v>2605</v>
      </c>
      <c r="J559" t="s">
        <v>2415</v>
      </c>
      <c r="K559" t="s">
        <v>2606</v>
      </c>
      <c r="L559" t="s">
        <v>54</v>
      </c>
    </row>
    <row r="560" spans="1:12">
      <c r="A560">
        <v>596</v>
      </c>
      <c r="B560" t="s">
        <v>2607</v>
      </c>
      <c r="C560" t="s">
        <v>13</v>
      </c>
      <c r="D560" t="s">
        <v>13</v>
      </c>
      <c r="E560" t="s">
        <v>394</v>
      </c>
      <c r="F560" t="s">
        <v>2382</v>
      </c>
      <c r="G560" t="s">
        <v>1688</v>
      </c>
      <c r="H560" t="s">
        <v>2382</v>
      </c>
      <c r="I560" t="s">
        <v>2608</v>
      </c>
      <c r="J560" t="s">
        <v>2419</v>
      </c>
      <c r="K560" t="s">
        <v>2420</v>
      </c>
      <c r="L560" t="s">
        <v>54</v>
      </c>
    </row>
    <row r="561" spans="1:12">
      <c r="A561">
        <v>597</v>
      </c>
      <c r="B561" t="s">
        <v>2609</v>
      </c>
      <c r="C561" t="s">
        <v>13</v>
      </c>
      <c r="D561" t="s">
        <v>13</v>
      </c>
      <c r="E561" t="s">
        <v>2519</v>
      </c>
      <c r="F561" t="s">
        <v>2610</v>
      </c>
      <c r="G561" t="s">
        <v>2469</v>
      </c>
      <c r="H561" t="s">
        <v>2610</v>
      </c>
      <c r="I561" t="s">
        <v>2611</v>
      </c>
      <c r="J561" t="s">
        <v>2612</v>
      </c>
      <c r="K561" t="s">
        <v>1057</v>
      </c>
      <c r="L561" t="s">
        <v>54</v>
      </c>
    </row>
    <row r="562" spans="1:12">
      <c r="A562">
        <v>598</v>
      </c>
      <c r="B562" t="s">
        <v>2613</v>
      </c>
      <c r="C562" t="s">
        <v>13</v>
      </c>
      <c r="D562" t="s">
        <v>13</v>
      </c>
      <c r="E562" t="s">
        <v>1353</v>
      </c>
      <c r="F562" t="s">
        <v>2393</v>
      </c>
      <c r="G562" t="s">
        <v>1400</v>
      </c>
      <c r="H562" t="s">
        <v>2393</v>
      </c>
      <c r="I562" t="s">
        <v>2614</v>
      </c>
      <c r="J562" t="s">
        <v>2395</v>
      </c>
      <c r="K562" t="s">
        <v>2576</v>
      </c>
      <c r="L562" t="s">
        <v>21</v>
      </c>
    </row>
    <row r="563" spans="1:12">
      <c r="A563">
        <v>599</v>
      </c>
      <c r="B563" t="s">
        <v>2615</v>
      </c>
      <c r="C563" t="s">
        <v>13</v>
      </c>
      <c r="D563" t="s">
        <v>13</v>
      </c>
      <c r="E563" t="s">
        <v>2433</v>
      </c>
      <c r="F563" t="s">
        <v>2399</v>
      </c>
      <c r="G563" t="s">
        <v>2616</v>
      </c>
      <c r="H563" t="s">
        <v>2399</v>
      </c>
      <c r="I563" t="s">
        <v>2617</v>
      </c>
      <c r="J563" t="s">
        <v>2436</v>
      </c>
      <c r="K563" t="s">
        <v>2437</v>
      </c>
      <c r="L563" t="s">
        <v>36</v>
      </c>
    </row>
    <row r="564" spans="1:12">
      <c r="A564">
        <v>600</v>
      </c>
      <c r="B564" t="s">
        <v>2291</v>
      </c>
      <c r="C564" t="s">
        <v>13</v>
      </c>
      <c r="D564" t="s">
        <v>13</v>
      </c>
      <c r="E564" t="s">
        <v>411</v>
      </c>
      <c r="F564" t="s">
        <v>2288</v>
      </c>
      <c r="G564" t="s">
        <v>1896</v>
      </c>
      <c r="H564" t="s">
        <v>2018</v>
      </c>
      <c r="I564" t="s">
        <v>2618</v>
      </c>
      <c r="J564" t="s">
        <v>2406</v>
      </c>
      <c r="K564" t="s">
        <v>2294</v>
      </c>
      <c r="L564" t="s">
        <v>54</v>
      </c>
    </row>
    <row r="565" spans="1:12">
      <c r="A565">
        <v>601</v>
      </c>
      <c r="B565" t="s">
        <v>2619</v>
      </c>
      <c r="C565" t="s">
        <v>13</v>
      </c>
      <c r="D565" t="s">
        <v>13</v>
      </c>
      <c r="E565" t="s">
        <v>185</v>
      </c>
      <c r="F565" t="s">
        <v>2369</v>
      </c>
      <c r="G565" t="s">
        <v>213</v>
      </c>
      <c r="H565" t="s">
        <v>2369</v>
      </c>
      <c r="I565" t="s">
        <v>2620</v>
      </c>
      <c r="J565" t="s">
        <v>2371</v>
      </c>
      <c r="K565" t="s">
        <v>2532</v>
      </c>
      <c r="L565" t="s">
        <v>36</v>
      </c>
    </row>
    <row r="566" spans="1:12">
      <c r="A566">
        <v>602</v>
      </c>
      <c r="B566" t="s">
        <v>2621</v>
      </c>
      <c r="C566" t="s">
        <v>13</v>
      </c>
      <c r="D566" t="s">
        <v>13</v>
      </c>
      <c r="E566" t="s">
        <v>954</v>
      </c>
      <c r="F566" t="s">
        <v>2374</v>
      </c>
      <c r="G566" t="s">
        <v>1067</v>
      </c>
      <c r="H566" t="s">
        <v>2476</v>
      </c>
      <c r="I566" t="s">
        <v>2622</v>
      </c>
      <c r="J566" t="s">
        <v>2415</v>
      </c>
      <c r="K566" t="s">
        <v>2623</v>
      </c>
      <c r="L566" t="s">
        <v>36</v>
      </c>
    </row>
    <row r="567" spans="1:12">
      <c r="A567">
        <v>603</v>
      </c>
      <c r="B567" t="s">
        <v>2624</v>
      </c>
      <c r="C567" t="s">
        <v>13</v>
      </c>
      <c r="D567" t="s">
        <v>13</v>
      </c>
      <c r="E567" t="s">
        <v>387</v>
      </c>
      <c r="F567" t="s">
        <v>1079</v>
      </c>
      <c r="G567" t="s">
        <v>2321</v>
      </c>
      <c r="H567" t="s">
        <v>2382</v>
      </c>
      <c r="I567" t="s">
        <v>2625</v>
      </c>
      <c r="J567" t="s">
        <v>2514</v>
      </c>
      <c r="K567" t="s">
        <v>2420</v>
      </c>
      <c r="L567" t="s">
        <v>54</v>
      </c>
    </row>
    <row r="568" spans="1:12">
      <c r="A568">
        <v>604</v>
      </c>
      <c r="B568" t="s">
        <v>2626</v>
      </c>
      <c r="C568" t="s">
        <v>13</v>
      </c>
      <c r="D568" t="s">
        <v>13</v>
      </c>
      <c r="E568" t="s">
        <v>2422</v>
      </c>
      <c r="F568" t="s">
        <v>2627</v>
      </c>
      <c r="G568" t="s">
        <v>1022</v>
      </c>
      <c r="H568" t="s">
        <v>2487</v>
      </c>
      <c r="I568" t="s">
        <v>2628</v>
      </c>
      <c r="J568" t="s">
        <v>2629</v>
      </c>
      <c r="K568" t="s">
        <v>2420</v>
      </c>
      <c r="L568" t="s">
        <v>54</v>
      </c>
    </row>
    <row r="569" spans="1:12">
      <c r="A569">
        <v>605</v>
      </c>
      <c r="B569" t="s">
        <v>2630</v>
      </c>
      <c r="C569" t="s">
        <v>13</v>
      </c>
      <c r="D569" t="s">
        <v>13</v>
      </c>
      <c r="E569" t="s">
        <v>1929</v>
      </c>
      <c r="F569" t="s">
        <v>2392</v>
      </c>
      <c r="G569" t="s">
        <v>2167</v>
      </c>
      <c r="H569" t="s">
        <v>2392</v>
      </c>
      <c r="I569" t="s">
        <v>2631</v>
      </c>
      <c r="J569" t="s">
        <v>2395</v>
      </c>
      <c r="K569" t="s">
        <v>2632</v>
      </c>
      <c r="L569" t="s">
        <v>21</v>
      </c>
    </row>
    <row r="570" spans="1:12">
      <c r="A570">
        <v>606</v>
      </c>
      <c r="B570" t="s">
        <v>2633</v>
      </c>
      <c r="C570" t="s">
        <v>13</v>
      </c>
      <c r="D570" t="s">
        <v>13</v>
      </c>
      <c r="E570" t="s">
        <v>2316</v>
      </c>
      <c r="F570" t="s">
        <v>2634</v>
      </c>
      <c r="G570" t="s">
        <v>2635</v>
      </c>
      <c r="H570" t="s">
        <v>2634</v>
      </c>
      <c r="I570" t="s">
        <v>2636</v>
      </c>
      <c r="J570" t="s">
        <v>2637</v>
      </c>
      <c r="K570" t="s">
        <v>2638</v>
      </c>
      <c r="L570" t="s">
        <v>54</v>
      </c>
    </row>
    <row r="571" spans="1:12">
      <c r="A571">
        <v>607</v>
      </c>
      <c r="B571" t="s">
        <v>2639</v>
      </c>
      <c r="C571" t="s">
        <v>13</v>
      </c>
      <c r="D571" t="s">
        <v>13</v>
      </c>
      <c r="E571" t="s">
        <v>656</v>
      </c>
      <c r="F571" t="s">
        <v>2288</v>
      </c>
      <c r="G571" t="s">
        <v>2516</v>
      </c>
      <c r="H571" t="s">
        <v>2288</v>
      </c>
      <c r="I571" t="s">
        <v>2640</v>
      </c>
      <c r="J571" t="s">
        <v>2406</v>
      </c>
      <c r="K571" t="s">
        <v>1460</v>
      </c>
      <c r="L571" t="s">
        <v>36</v>
      </c>
    </row>
    <row r="572" spans="1:12">
      <c r="A572">
        <v>608</v>
      </c>
      <c r="B572" t="s">
        <v>2641</v>
      </c>
      <c r="C572" t="s">
        <v>13</v>
      </c>
      <c r="D572" t="s">
        <v>57</v>
      </c>
      <c r="E572" t="s">
        <v>1146</v>
      </c>
      <c r="F572" t="s">
        <v>2409</v>
      </c>
      <c r="G572" t="s">
        <v>2642</v>
      </c>
      <c r="H572" t="s">
        <v>2369</v>
      </c>
      <c r="I572" t="s">
        <v>2643</v>
      </c>
      <c r="J572" t="s">
        <v>2411</v>
      </c>
      <c r="K572" t="s">
        <v>2644</v>
      </c>
      <c r="L572" t="s">
        <v>54</v>
      </c>
    </row>
    <row r="573" spans="1:12">
      <c r="A573">
        <v>609</v>
      </c>
      <c r="B573" t="s">
        <v>2645</v>
      </c>
      <c r="C573" t="s">
        <v>13</v>
      </c>
      <c r="D573" t="s">
        <v>173</v>
      </c>
      <c r="E573" t="s">
        <v>883</v>
      </c>
      <c r="F573" t="s">
        <v>2369</v>
      </c>
      <c r="G573" t="s">
        <v>2646</v>
      </c>
      <c r="H573" t="s">
        <v>2369</v>
      </c>
      <c r="I573" t="s">
        <v>2647</v>
      </c>
      <c r="J573" t="s">
        <v>2411</v>
      </c>
      <c r="K573" t="s">
        <v>2648</v>
      </c>
      <c r="L573" t="s">
        <v>36</v>
      </c>
    </row>
    <row r="574" spans="1:12">
      <c r="A574">
        <v>610</v>
      </c>
      <c r="B574" t="s">
        <v>2649</v>
      </c>
      <c r="C574" t="s">
        <v>13</v>
      </c>
      <c r="D574" t="s">
        <v>211</v>
      </c>
      <c r="E574" t="s">
        <v>954</v>
      </c>
      <c r="F574" t="s">
        <v>2374</v>
      </c>
      <c r="G574" t="s">
        <v>2646</v>
      </c>
      <c r="H574" t="s">
        <v>2476</v>
      </c>
      <c r="I574" t="s">
        <v>2650</v>
      </c>
      <c r="J574" t="s">
        <v>2651</v>
      </c>
      <c r="K574" t="s">
        <v>2652</v>
      </c>
      <c r="L574" t="s">
        <v>36</v>
      </c>
    </row>
    <row r="575" spans="1:12">
      <c r="A575">
        <v>611</v>
      </c>
      <c r="B575" t="s">
        <v>2653</v>
      </c>
      <c r="C575" t="s">
        <v>13</v>
      </c>
      <c r="D575" t="s">
        <v>286</v>
      </c>
      <c r="E575" t="s">
        <v>455</v>
      </c>
      <c r="F575" t="s">
        <v>2374</v>
      </c>
      <c r="G575" t="s">
        <v>138</v>
      </c>
      <c r="H575" t="s">
        <v>2654</v>
      </c>
      <c r="I575" t="s">
        <v>2655</v>
      </c>
      <c r="J575" t="s">
        <v>2656</v>
      </c>
      <c r="K575" t="s">
        <v>2657</v>
      </c>
      <c r="L575" t="s">
        <v>54</v>
      </c>
    </row>
    <row r="576" spans="1:12">
      <c r="A576">
        <v>612</v>
      </c>
      <c r="B576" t="s">
        <v>2658</v>
      </c>
      <c r="C576" t="s">
        <v>13</v>
      </c>
      <c r="D576" t="s">
        <v>260</v>
      </c>
      <c r="E576" t="s">
        <v>212</v>
      </c>
      <c r="F576" t="s">
        <v>2659</v>
      </c>
      <c r="G576" t="s">
        <v>138</v>
      </c>
      <c r="H576" t="s">
        <v>2382</v>
      </c>
      <c r="I576" t="s">
        <v>2660</v>
      </c>
      <c r="J576" t="s">
        <v>2651</v>
      </c>
      <c r="K576" t="s">
        <v>2661</v>
      </c>
      <c r="L576" t="s">
        <v>54</v>
      </c>
    </row>
    <row r="577" spans="1:12">
      <c r="A577">
        <v>613</v>
      </c>
      <c r="B577" t="s">
        <v>2662</v>
      </c>
      <c r="C577" t="s">
        <v>150</v>
      </c>
      <c r="D577" t="s">
        <v>66</v>
      </c>
      <c r="E577" t="s">
        <v>212</v>
      </c>
      <c r="F577" t="s">
        <v>2382</v>
      </c>
      <c r="G577" t="s">
        <v>2588</v>
      </c>
      <c r="H577" t="s">
        <v>2663</v>
      </c>
      <c r="I577" t="s">
        <v>2664</v>
      </c>
      <c r="J577" t="s">
        <v>2665</v>
      </c>
      <c r="K577" t="s">
        <v>2666</v>
      </c>
      <c r="L577" t="s">
        <v>21</v>
      </c>
    </row>
    <row r="578" spans="1:12">
      <c r="A578">
        <v>614</v>
      </c>
      <c r="B578" t="s">
        <v>2667</v>
      </c>
      <c r="C578" t="s">
        <v>13</v>
      </c>
      <c r="D578" t="s">
        <v>13</v>
      </c>
      <c r="E578" t="s">
        <v>600</v>
      </c>
      <c r="F578" t="s">
        <v>2487</v>
      </c>
      <c r="G578" t="s">
        <v>2287</v>
      </c>
      <c r="H578" t="s">
        <v>2668</v>
      </c>
      <c r="I578" t="s">
        <v>2669</v>
      </c>
      <c r="J578" t="s">
        <v>2665</v>
      </c>
      <c r="K578" t="s">
        <v>2666</v>
      </c>
      <c r="L578" t="s">
        <v>36</v>
      </c>
    </row>
    <row r="579" spans="1:12">
      <c r="A579">
        <v>615</v>
      </c>
      <c r="B579" t="s">
        <v>2662</v>
      </c>
      <c r="C579" t="s">
        <v>46</v>
      </c>
      <c r="D579" t="s">
        <v>286</v>
      </c>
      <c r="E579" t="s">
        <v>212</v>
      </c>
      <c r="F579" t="s">
        <v>2487</v>
      </c>
      <c r="G579" t="s">
        <v>2588</v>
      </c>
      <c r="H579" t="s">
        <v>2487</v>
      </c>
      <c r="I579" t="s">
        <v>2670</v>
      </c>
      <c r="J579" t="s">
        <v>2671</v>
      </c>
      <c r="K579" t="s">
        <v>13</v>
      </c>
      <c r="L579" t="s">
        <v>21</v>
      </c>
    </row>
    <row r="580" spans="1:12">
      <c r="A580">
        <v>616</v>
      </c>
      <c r="B580" t="s">
        <v>2672</v>
      </c>
      <c r="C580" t="s">
        <v>13</v>
      </c>
      <c r="D580" t="s">
        <v>286</v>
      </c>
      <c r="E580" t="s">
        <v>299</v>
      </c>
      <c r="F580" t="s">
        <v>2487</v>
      </c>
      <c r="G580" t="s">
        <v>1712</v>
      </c>
      <c r="H580" t="s">
        <v>2392</v>
      </c>
      <c r="I580" t="s">
        <v>2673</v>
      </c>
      <c r="J580" t="s">
        <v>2671</v>
      </c>
      <c r="K580" t="s">
        <v>13</v>
      </c>
      <c r="L580" t="s">
        <v>36</v>
      </c>
    </row>
    <row r="581" spans="1:12">
      <c r="A581">
        <v>617</v>
      </c>
      <c r="B581" t="s">
        <v>2674</v>
      </c>
      <c r="C581" t="s">
        <v>13</v>
      </c>
      <c r="D581" t="s">
        <v>100</v>
      </c>
      <c r="E581" t="s">
        <v>137</v>
      </c>
      <c r="F581" t="s">
        <v>2392</v>
      </c>
      <c r="G581" t="s">
        <v>2675</v>
      </c>
      <c r="H581" t="s">
        <v>2392</v>
      </c>
      <c r="I581" t="s">
        <v>2676</v>
      </c>
      <c r="J581" t="s">
        <v>2677</v>
      </c>
      <c r="K581" t="s">
        <v>2678</v>
      </c>
      <c r="L581" t="s">
        <v>21</v>
      </c>
    </row>
    <row r="582" spans="1:12">
      <c r="A582">
        <v>618</v>
      </c>
      <c r="B582" t="s">
        <v>2679</v>
      </c>
      <c r="C582" t="s">
        <v>13</v>
      </c>
      <c r="D582" t="s">
        <v>267</v>
      </c>
      <c r="E582" t="s">
        <v>84</v>
      </c>
      <c r="F582" t="s">
        <v>2392</v>
      </c>
      <c r="G582" t="s">
        <v>1806</v>
      </c>
      <c r="H582" t="s">
        <v>2392</v>
      </c>
      <c r="I582" t="s">
        <v>2680</v>
      </c>
      <c r="J582" t="s">
        <v>2677</v>
      </c>
      <c r="K582" t="s">
        <v>2681</v>
      </c>
      <c r="L582" t="s">
        <v>21</v>
      </c>
    </row>
    <row r="583" spans="1:12">
      <c r="A583">
        <v>619</v>
      </c>
      <c r="B583" t="s">
        <v>2682</v>
      </c>
      <c r="C583" t="s">
        <v>13</v>
      </c>
      <c r="D583" t="s">
        <v>100</v>
      </c>
      <c r="E583" t="s">
        <v>144</v>
      </c>
      <c r="F583" t="s">
        <v>2399</v>
      </c>
      <c r="G583" t="s">
        <v>2339</v>
      </c>
      <c r="H583" t="s">
        <v>2399</v>
      </c>
      <c r="I583" t="s">
        <v>2683</v>
      </c>
      <c r="J583" t="s">
        <v>2684</v>
      </c>
      <c r="K583" t="s">
        <v>2685</v>
      </c>
      <c r="L583" t="s">
        <v>21</v>
      </c>
    </row>
    <row r="584" spans="1:12">
      <c r="A584">
        <v>620</v>
      </c>
      <c r="B584" t="s">
        <v>2686</v>
      </c>
      <c r="C584" t="s">
        <v>82</v>
      </c>
      <c r="D584" t="s">
        <v>66</v>
      </c>
      <c r="E584" t="s">
        <v>643</v>
      </c>
      <c r="F584" t="s">
        <v>2399</v>
      </c>
      <c r="G584" t="s">
        <v>280</v>
      </c>
      <c r="H584" t="s">
        <v>1640</v>
      </c>
      <c r="I584" t="s">
        <v>2687</v>
      </c>
      <c r="J584" t="s">
        <v>2684</v>
      </c>
      <c r="K584" t="s">
        <v>13</v>
      </c>
      <c r="L584" t="s">
        <v>54</v>
      </c>
    </row>
    <row r="585" spans="1:12">
      <c r="A585">
        <v>621</v>
      </c>
      <c r="B585" t="s">
        <v>2688</v>
      </c>
      <c r="C585" t="s">
        <v>251</v>
      </c>
      <c r="D585" t="s">
        <v>57</v>
      </c>
      <c r="E585" t="s">
        <v>1150</v>
      </c>
      <c r="F585" t="s">
        <v>2322</v>
      </c>
      <c r="G585" t="s">
        <v>2588</v>
      </c>
      <c r="H585" t="s">
        <v>2288</v>
      </c>
      <c r="I585" t="s">
        <v>2689</v>
      </c>
      <c r="J585" t="s">
        <v>2690</v>
      </c>
      <c r="K585" t="s">
        <v>2691</v>
      </c>
      <c r="L585" t="s">
        <v>21</v>
      </c>
    </row>
    <row r="586" spans="1:12">
      <c r="A586">
        <v>622</v>
      </c>
      <c r="B586" t="s">
        <v>2692</v>
      </c>
      <c r="C586" t="s">
        <v>150</v>
      </c>
      <c r="D586" t="s">
        <v>286</v>
      </c>
      <c r="E586" t="s">
        <v>2320</v>
      </c>
      <c r="F586" t="s">
        <v>2322</v>
      </c>
      <c r="G586" t="s">
        <v>1022</v>
      </c>
      <c r="H586" t="s">
        <v>2322</v>
      </c>
      <c r="I586" t="s">
        <v>2693</v>
      </c>
      <c r="J586" t="s">
        <v>2694</v>
      </c>
      <c r="K586" t="s">
        <v>2691</v>
      </c>
      <c r="L586" t="s">
        <v>21</v>
      </c>
    </row>
    <row r="587" spans="1:12">
      <c r="A587">
        <v>623</v>
      </c>
      <c r="B587" t="s">
        <v>2695</v>
      </c>
      <c r="C587" t="s">
        <v>224</v>
      </c>
      <c r="D587" t="s">
        <v>47</v>
      </c>
      <c r="E587" t="s">
        <v>449</v>
      </c>
      <c r="F587" t="s">
        <v>2322</v>
      </c>
      <c r="G587" t="s">
        <v>2696</v>
      </c>
      <c r="H587" t="s">
        <v>2697</v>
      </c>
      <c r="I587" t="s">
        <v>2698</v>
      </c>
      <c r="J587" t="s">
        <v>2690</v>
      </c>
      <c r="K587" t="s">
        <v>13</v>
      </c>
      <c r="L587" t="s">
        <v>54</v>
      </c>
    </row>
    <row r="588" spans="1:12">
      <c r="A588">
        <v>624</v>
      </c>
      <c r="B588" t="s">
        <v>2699</v>
      </c>
      <c r="C588" t="s">
        <v>13</v>
      </c>
      <c r="D588" t="s">
        <v>13</v>
      </c>
      <c r="E588" t="s">
        <v>67</v>
      </c>
      <c r="F588" t="s">
        <v>2322</v>
      </c>
      <c r="G588" t="s">
        <v>213</v>
      </c>
      <c r="H588" t="s">
        <v>2322</v>
      </c>
      <c r="I588" t="s">
        <v>2700</v>
      </c>
      <c r="J588" t="s">
        <v>2690</v>
      </c>
      <c r="K588" t="s">
        <v>2701</v>
      </c>
      <c r="L588" t="s">
        <v>36</v>
      </c>
    </row>
    <row r="589" spans="1:12">
      <c r="A589">
        <v>625</v>
      </c>
      <c r="B589" t="s">
        <v>2702</v>
      </c>
      <c r="C589" t="s">
        <v>13</v>
      </c>
      <c r="D589" t="s">
        <v>100</v>
      </c>
      <c r="E589" t="s">
        <v>231</v>
      </c>
      <c r="F589" t="s">
        <v>2369</v>
      </c>
      <c r="G589" t="s">
        <v>500</v>
      </c>
      <c r="H589" t="s">
        <v>2369</v>
      </c>
      <c r="I589" t="s">
        <v>2703</v>
      </c>
      <c r="J589" t="s">
        <v>2411</v>
      </c>
      <c r="K589" t="s">
        <v>2704</v>
      </c>
      <c r="L589" t="s">
        <v>54</v>
      </c>
    </row>
    <row r="590" spans="1:12">
      <c r="A590">
        <v>626</v>
      </c>
      <c r="B590" t="s">
        <v>2705</v>
      </c>
      <c r="C590" t="s">
        <v>107</v>
      </c>
      <c r="D590" t="s">
        <v>100</v>
      </c>
      <c r="E590" t="s">
        <v>287</v>
      </c>
      <c r="F590" t="s">
        <v>2706</v>
      </c>
      <c r="G590" t="s">
        <v>1896</v>
      </c>
      <c r="H590" t="s">
        <v>2706</v>
      </c>
      <c r="I590" t="s">
        <v>2707</v>
      </c>
      <c r="J590" t="s">
        <v>2651</v>
      </c>
      <c r="K590" t="s">
        <v>2708</v>
      </c>
      <c r="L590" t="s">
        <v>54</v>
      </c>
    </row>
    <row r="591" spans="1:12">
      <c r="A591">
        <v>627</v>
      </c>
      <c r="B591" t="s">
        <v>2709</v>
      </c>
      <c r="C591" t="s">
        <v>150</v>
      </c>
      <c r="D591" t="s">
        <v>66</v>
      </c>
      <c r="E591" t="s">
        <v>1426</v>
      </c>
      <c r="F591" t="s">
        <v>2710</v>
      </c>
      <c r="G591" t="s">
        <v>2696</v>
      </c>
      <c r="H591" t="s">
        <v>2710</v>
      </c>
      <c r="I591" t="s">
        <v>2711</v>
      </c>
      <c r="J591" t="s">
        <v>2712</v>
      </c>
      <c r="K591" t="s">
        <v>2713</v>
      </c>
      <c r="L591" t="s">
        <v>54</v>
      </c>
    </row>
    <row r="592" spans="1:12">
      <c r="A592">
        <v>628</v>
      </c>
      <c r="B592" t="s">
        <v>2714</v>
      </c>
      <c r="C592" t="s">
        <v>13</v>
      </c>
      <c r="D592" t="s">
        <v>286</v>
      </c>
      <c r="E592" t="s">
        <v>348</v>
      </c>
      <c r="F592" t="s">
        <v>2487</v>
      </c>
      <c r="G592" t="s">
        <v>213</v>
      </c>
      <c r="H592" t="s">
        <v>2487</v>
      </c>
      <c r="I592" t="s">
        <v>2715</v>
      </c>
      <c r="J592" t="s">
        <v>2671</v>
      </c>
      <c r="K592" t="s">
        <v>2716</v>
      </c>
      <c r="L592" t="s">
        <v>21</v>
      </c>
    </row>
    <row r="593" spans="1:12">
      <c r="A593">
        <v>629</v>
      </c>
      <c r="B593" t="s">
        <v>2717</v>
      </c>
      <c r="C593" t="s">
        <v>13</v>
      </c>
      <c r="D593" t="s">
        <v>13</v>
      </c>
      <c r="E593" t="s">
        <v>591</v>
      </c>
      <c r="F593" t="s">
        <v>2392</v>
      </c>
      <c r="G593" t="s">
        <v>1688</v>
      </c>
      <c r="H593" t="s">
        <v>2392</v>
      </c>
      <c r="I593" t="s">
        <v>2718</v>
      </c>
      <c r="J593" t="s">
        <v>2677</v>
      </c>
      <c r="K593" t="s">
        <v>2719</v>
      </c>
      <c r="L593" t="s">
        <v>21</v>
      </c>
    </row>
    <row r="594" spans="1:12">
      <c r="A594">
        <v>630</v>
      </c>
      <c r="B594" t="s">
        <v>2720</v>
      </c>
      <c r="C594" t="s">
        <v>13</v>
      </c>
      <c r="D594" t="s">
        <v>173</v>
      </c>
      <c r="E594" t="s">
        <v>174</v>
      </c>
      <c r="F594" t="s">
        <v>2399</v>
      </c>
      <c r="G594" t="s">
        <v>1049</v>
      </c>
      <c r="H594" t="s">
        <v>2721</v>
      </c>
      <c r="I594" t="s">
        <v>2722</v>
      </c>
      <c r="J594" t="s">
        <v>2684</v>
      </c>
      <c r="K594" t="s">
        <v>2723</v>
      </c>
      <c r="L594" t="s">
        <v>54</v>
      </c>
    </row>
    <row r="595" spans="1:12">
      <c r="A595">
        <v>631</v>
      </c>
      <c r="B595" t="s">
        <v>2724</v>
      </c>
      <c r="C595" t="s">
        <v>13</v>
      </c>
      <c r="D595" t="s">
        <v>13</v>
      </c>
      <c r="E595" t="s">
        <v>341</v>
      </c>
      <c r="F595" t="s">
        <v>2322</v>
      </c>
      <c r="G595" t="s">
        <v>2725</v>
      </c>
      <c r="H595" t="s">
        <v>2322</v>
      </c>
      <c r="I595" t="s">
        <v>2726</v>
      </c>
      <c r="J595" t="s">
        <v>2690</v>
      </c>
      <c r="K595" t="s">
        <v>2727</v>
      </c>
      <c r="L595" t="s">
        <v>54</v>
      </c>
    </row>
    <row r="596" spans="1:12">
      <c r="A596">
        <v>632</v>
      </c>
      <c r="B596" t="s">
        <v>2728</v>
      </c>
      <c r="C596" t="s">
        <v>298</v>
      </c>
      <c r="D596" t="s">
        <v>47</v>
      </c>
      <c r="E596" t="s">
        <v>174</v>
      </c>
      <c r="F596" t="s">
        <v>2369</v>
      </c>
      <c r="G596" t="s">
        <v>2729</v>
      </c>
      <c r="H596" t="s">
        <v>2369</v>
      </c>
      <c r="I596" t="s">
        <v>2730</v>
      </c>
      <c r="J596" t="s">
        <v>2411</v>
      </c>
      <c r="K596" t="s">
        <v>2731</v>
      </c>
      <c r="L596" t="s">
        <v>54</v>
      </c>
    </row>
    <row r="597" spans="1:12">
      <c r="A597">
        <v>633</v>
      </c>
      <c r="B597" t="s">
        <v>2732</v>
      </c>
      <c r="C597" t="s">
        <v>13</v>
      </c>
      <c r="D597" t="s">
        <v>158</v>
      </c>
      <c r="E597" t="s">
        <v>235</v>
      </c>
      <c r="F597" t="s">
        <v>2374</v>
      </c>
      <c r="G597" t="s">
        <v>2696</v>
      </c>
      <c r="H597" t="s">
        <v>2476</v>
      </c>
      <c r="I597" t="s">
        <v>2733</v>
      </c>
      <c r="J597" t="s">
        <v>2651</v>
      </c>
      <c r="K597" t="s">
        <v>391</v>
      </c>
      <c r="L597" t="s">
        <v>54</v>
      </c>
    </row>
    <row r="598" spans="1:12">
      <c r="A598">
        <v>634</v>
      </c>
      <c r="B598" t="s">
        <v>2734</v>
      </c>
      <c r="C598" t="s">
        <v>580</v>
      </c>
      <c r="D598" t="s">
        <v>267</v>
      </c>
      <c r="E598" t="s">
        <v>235</v>
      </c>
      <c r="F598" t="s">
        <v>2382</v>
      </c>
      <c r="G598" t="s">
        <v>1712</v>
      </c>
      <c r="H598" t="s">
        <v>2735</v>
      </c>
      <c r="I598" t="s">
        <v>2736</v>
      </c>
      <c r="J598" t="s">
        <v>2665</v>
      </c>
      <c r="K598" t="s">
        <v>2737</v>
      </c>
      <c r="L598" t="s">
        <v>36</v>
      </c>
    </row>
    <row r="599" spans="1:12">
      <c r="A599">
        <v>635</v>
      </c>
      <c r="B599" t="s">
        <v>2738</v>
      </c>
      <c r="C599" t="s">
        <v>13</v>
      </c>
      <c r="D599" t="s">
        <v>13</v>
      </c>
      <c r="E599" t="s">
        <v>299</v>
      </c>
      <c r="F599" t="s">
        <v>2487</v>
      </c>
      <c r="G599" t="s">
        <v>2739</v>
      </c>
      <c r="H599" t="s">
        <v>2487</v>
      </c>
      <c r="I599" t="s">
        <v>2740</v>
      </c>
      <c r="J599" t="s">
        <v>2741</v>
      </c>
      <c r="K599" t="s">
        <v>2716</v>
      </c>
      <c r="L599" t="s">
        <v>21</v>
      </c>
    </row>
    <row r="600" spans="1:12">
      <c r="A600">
        <v>636</v>
      </c>
      <c r="B600" t="s">
        <v>1813</v>
      </c>
      <c r="C600" t="s">
        <v>1129</v>
      </c>
      <c r="D600" t="s">
        <v>66</v>
      </c>
      <c r="E600" t="s">
        <v>166</v>
      </c>
      <c r="F600" t="s">
        <v>2392</v>
      </c>
      <c r="G600" t="s">
        <v>2742</v>
      </c>
      <c r="H600" t="s">
        <v>2392</v>
      </c>
      <c r="I600" t="s">
        <v>2743</v>
      </c>
      <c r="J600" t="s">
        <v>2677</v>
      </c>
      <c r="K600" t="s">
        <v>2744</v>
      </c>
      <c r="L600" t="s">
        <v>21</v>
      </c>
    </row>
    <row r="601" spans="1:12">
      <c r="A601">
        <v>637</v>
      </c>
      <c r="B601" t="s">
        <v>2745</v>
      </c>
      <c r="C601" t="s">
        <v>99</v>
      </c>
      <c r="D601" t="s">
        <v>286</v>
      </c>
      <c r="E601" t="s">
        <v>174</v>
      </c>
      <c r="F601" t="s">
        <v>2399</v>
      </c>
      <c r="G601" t="s">
        <v>2746</v>
      </c>
      <c r="H601" t="s">
        <v>2399</v>
      </c>
      <c r="I601" t="s">
        <v>2747</v>
      </c>
      <c r="J601" t="s">
        <v>2684</v>
      </c>
      <c r="K601" t="s">
        <v>2748</v>
      </c>
      <c r="L601" t="s">
        <v>21</v>
      </c>
    </row>
    <row r="602" spans="1:12">
      <c r="A602">
        <v>638</v>
      </c>
      <c r="B602" t="s">
        <v>2749</v>
      </c>
      <c r="C602" t="s">
        <v>240</v>
      </c>
      <c r="D602" t="s">
        <v>47</v>
      </c>
      <c r="E602" t="s">
        <v>174</v>
      </c>
      <c r="F602" t="s">
        <v>2322</v>
      </c>
      <c r="G602" t="s">
        <v>2750</v>
      </c>
      <c r="H602" t="s">
        <v>2322</v>
      </c>
      <c r="I602" t="s">
        <v>2751</v>
      </c>
      <c r="J602" t="s">
        <v>2690</v>
      </c>
      <c r="K602" t="s">
        <v>2752</v>
      </c>
      <c r="L602" t="s">
        <v>21</v>
      </c>
    </row>
    <row r="603" spans="1:12">
      <c r="A603">
        <v>639</v>
      </c>
      <c r="B603" t="s">
        <v>2753</v>
      </c>
      <c r="C603" t="s">
        <v>298</v>
      </c>
      <c r="D603" t="s">
        <v>267</v>
      </c>
      <c r="E603" t="s">
        <v>287</v>
      </c>
      <c r="F603" t="s">
        <v>2322</v>
      </c>
      <c r="G603" t="s">
        <v>2754</v>
      </c>
      <c r="H603" t="s">
        <v>2755</v>
      </c>
      <c r="I603" t="s">
        <v>2756</v>
      </c>
      <c r="J603" t="s">
        <v>2757</v>
      </c>
      <c r="K603" t="s">
        <v>2758</v>
      </c>
      <c r="L603" t="s">
        <v>54</v>
      </c>
    </row>
    <row r="604" spans="1:12">
      <c r="A604">
        <v>640</v>
      </c>
      <c r="B604" t="s">
        <v>2759</v>
      </c>
      <c r="C604" t="s">
        <v>353</v>
      </c>
      <c r="D604" t="s">
        <v>57</v>
      </c>
      <c r="E604" t="s">
        <v>2760</v>
      </c>
      <c r="F604" t="s">
        <v>1233</v>
      </c>
      <c r="G604" t="s">
        <v>2754</v>
      </c>
      <c r="H604" t="s">
        <v>2761</v>
      </c>
      <c r="I604" t="s">
        <v>2762</v>
      </c>
      <c r="J604" t="s">
        <v>2763</v>
      </c>
      <c r="K604" t="s">
        <v>2764</v>
      </c>
      <c r="L604" t="s">
        <v>54</v>
      </c>
    </row>
    <row r="605" spans="1:12">
      <c r="A605">
        <v>641</v>
      </c>
      <c r="B605" t="s">
        <v>2765</v>
      </c>
      <c r="C605" t="s">
        <v>200</v>
      </c>
      <c r="D605" t="s">
        <v>47</v>
      </c>
      <c r="E605" t="s">
        <v>648</v>
      </c>
      <c r="F605" t="s">
        <v>2766</v>
      </c>
      <c r="G605" t="s">
        <v>2754</v>
      </c>
      <c r="H605" t="s">
        <v>2767</v>
      </c>
      <c r="I605" t="s">
        <v>2768</v>
      </c>
      <c r="J605" t="s">
        <v>2769</v>
      </c>
      <c r="K605" t="s">
        <v>2770</v>
      </c>
      <c r="L605" t="s">
        <v>54</v>
      </c>
    </row>
    <row r="606" spans="1:12">
      <c r="A606">
        <v>642</v>
      </c>
      <c r="B606" t="s">
        <v>2771</v>
      </c>
      <c r="C606" t="s">
        <v>321</v>
      </c>
      <c r="D606" t="s">
        <v>57</v>
      </c>
      <c r="E606" t="s">
        <v>600</v>
      </c>
      <c r="F606" t="s">
        <v>1875</v>
      </c>
      <c r="G606" t="s">
        <v>2754</v>
      </c>
      <c r="H606" t="s">
        <v>2772</v>
      </c>
      <c r="I606" t="s">
        <v>2773</v>
      </c>
      <c r="J606" t="s">
        <v>2774</v>
      </c>
      <c r="K606" t="s">
        <v>2775</v>
      </c>
      <c r="L606" t="s">
        <v>54</v>
      </c>
    </row>
    <row r="607" spans="1:12">
      <c r="A607">
        <v>643</v>
      </c>
      <c r="B607" t="s">
        <v>2776</v>
      </c>
      <c r="C607" t="s">
        <v>362</v>
      </c>
      <c r="D607" t="s">
        <v>66</v>
      </c>
      <c r="E607" t="s">
        <v>287</v>
      </c>
      <c r="F607" t="s">
        <v>2777</v>
      </c>
      <c r="G607" t="s">
        <v>2754</v>
      </c>
      <c r="H607" t="s">
        <v>2778</v>
      </c>
      <c r="I607" t="s">
        <v>2779</v>
      </c>
      <c r="J607" t="s">
        <v>2780</v>
      </c>
      <c r="K607" t="s">
        <v>2781</v>
      </c>
      <c r="L607" t="s">
        <v>54</v>
      </c>
    </row>
    <row r="608" spans="1:12">
      <c r="A608">
        <v>644</v>
      </c>
      <c r="B608" t="s">
        <v>2782</v>
      </c>
      <c r="C608" t="s">
        <v>362</v>
      </c>
      <c r="D608" t="s">
        <v>286</v>
      </c>
      <c r="E608" t="s">
        <v>893</v>
      </c>
      <c r="F608" t="s">
        <v>478</v>
      </c>
      <c r="G608" t="s">
        <v>2754</v>
      </c>
      <c r="H608" t="s">
        <v>2783</v>
      </c>
      <c r="I608" t="s">
        <v>2784</v>
      </c>
      <c r="J608" t="s">
        <v>2785</v>
      </c>
      <c r="K608" t="s">
        <v>2786</v>
      </c>
      <c r="L608" t="s">
        <v>54</v>
      </c>
    </row>
    <row r="609" spans="1:12">
      <c r="A609">
        <v>645</v>
      </c>
      <c r="B609" t="s">
        <v>2787</v>
      </c>
      <c r="C609" t="s">
        <v>74</v>
      </c>
      <c r="D609" t="s">
        <v>66</v>
      </c>
      <c r="E609" t="s">
        <v>1917</v>
      </c>
      <c r="F609" t="s">
        <v>2788</v>
      </c>
      <c r="G609" t="s">
        <v>2754</v>
      </c>
      <c r="H609" t="s">
        <v>2789</v>
      </c>
      <c r="I609" t="s">
        <v>2790</v>
      </c>
      <c r="J609" t="s">
        <v>2791</v>
      </c>
      <c r="K609" t="s">
        <v>2792</v>
      </c>
      <c r="L609" t="s">
        <v>54</v>
      </c>
    </row>
    <row r="610" spans="1:12">
      <c r="A610">
        <v>646</v>
      </c>
      <c r="B610" t="s">
        <v>2793</v>
      </c>
      <c r="C610" t="s">
        <v>580</v>
      </c>
      <c r="D610" t="s">
        <v>66</v>
      </c>
      <c r="E610" t="s">
        <v>600</v>
      </c>
      <c r="F610" t="s">
        <v>2278</v>
      </c>
      <c r="G610" t="s">
        <v>2754</v>
      </c>
      <c r="H610" t="s">
        <v>2794</v>
      </c>
      <c r="I610" t="s">
        <v>2795</v>
      </c>
      <c r="J610" t="s">
        <v>2796</v>
      </c>
      <c r="K610" t="s">
        <v>2797</v>
      </c>
      <c r="L610" t="s">
        <v>54</v>
      </c>
    </row>
    <row r="611" spans="1:12">
      <c r="A611">
        <v>647</v>
      </c>
      <c r="B611" t="s">
        <v>2798</v>
      </c>
      <c r="C611" t="s">
        <v>150</v>
      </c>
      <c r="D611" t="s">
        <v>286</v>
      </c>
      <c r="E611" t="s">
        <v>294</v>
      </c>
      <c r="F611" t="s">
        <v>2799</v>
      </c>
      <c r="G611" t="s">
        <v>2754</v>
      </c>
      <c r="H611" t="s">
        <v>2800</v>
      </c>
      <c r="I611" t="s">
        <v>2801</v>
      </c>
      <c r="J611" t="s">
        <v>2802</v>
      </c>
      <c r="K611" t="s">
        <v>2803</v>
      </c>
      <c r="L611" t="s">
        <v>54</v>
      </c>
    </row>
    <row r="612" spans="1:12">
      <c r="A612">
        <v>648</v>
      </c>
      <c r="B612" t="s">
        <v>2804</v>
      </c>
      <c r="C612" t="s">
        <v>150</v>
      </c>
      <c r="D612" t="s">
        <v>39</v>
      </c>
      <c r="E612" t="s">
        <v>287</v>
      </c>
      <c r="F612" t="s">
        <v>1875</v>
      </c>
      <c r="G612" t="s">
        <v>2805</v>
      </c>
      <c r="H612" t="s">
        <v>2806</v>
      </c>
      <c r="I612" t="s">
        <v>2807</v>
      </c>
      <c r="J612" t="s">
        <v>2808</v>
      </c>
      <c r="K612" t="s">
        <v>2809</v>
      </c>
      <c r="L612" t="s">
        <v>54</v>
      </c>
    </row>
    <row r="613" spans="1:12">
      <c r="A613">
        <v>649</v>
      </c>
      <c r="B613" t="s">
        <v>1425</v>
      </c>
      <c r="C613" t="s">
        <v>74</v>
      </c>
      <c r="D613" t="s">
        <v>267</v>
      </c>
      <c r="E613" t="s">
        <v>1426</v>
      </c>
      <c r="F613" t="s">
        <v>1233</v>
      </c>
      <c r="G613" t="s">
        <v>1179</v>
      </c>
      <c r="H613" t="s">
        <v>2810</v>
      </c>
      <c r="I613" t="s">
        <v>2811</v>
      </c>
      <c r="J613" t="s">
        <v>2812</v>
      </c>
      <c r="K613" t="s">
        <v>2813</v>
      </c>
      <c r="L613" t="s">
        <v>54</v>
      </c>
    </row>
    <row r="614" spans="1:12">
      <c r="A614">
        <v>650</v>
      </c>
      <c r="B614" t="s">
        <v>2814</v>
      </c>
      <c r="C614" t="s">
        <v>99</v>
      </c>
      <c r="D614" t="s">
        <v>211</v>
      </c>
      <c r="E614" t="s">
        <v>1426</v>
      </c>
      <c r="F614" t="s">
        <v>749</v>
      </c>
      <c r="G614" t="s">
        <v>2815</v>
      </c>
      <c r="H614" t="s">
        <v>2816</v>
      </c>
      <c r="I614" t="s">
        <v>2817</v>
      </c>
      <c r="J614" t="s">
        <v>2818</v>
      </c>
      <c r="K614" t="s">
        <v>2819</v>
      </c>
      <c r="L614" t="s">
        <v>54</v>
      </c>
    </row>
    <row r="615" spans="1:12">
      <c r="A615">
        <v>651</v>
      </c>
      <c r="B615" t="s">
        <v>2820</v>
      </c>
      <c r="C615" t="s">
        <v>91</v>
      </c>
      <c r="D615" t="s">
        <v>66</v>
      </c>
      <c r="E615" t="s">
        <v>698</v>
      </c>
      <c r="F615" t="s">
        <v>2788</v>
      </c>
      <c r="G615" t="s">
        <v>2805</v>
      </c>
      <c r="H615" t="s">
        <v>2821</v>
      </c>
      <c r="I615" t="s">
        <v>2822</v>
      </c>
      <c r="J615" t="s">
        <v>2823</v>
      </c>
      <c r="K615" t="s">
        <v>2824</v>
      </c>
      <c r="L615" t="s">
        <v>54</v>
      </c>
    </row>
    <row r="616" spans="1:12">
      <c r="A616">
        <v>652</v>
      </c>
      <c r="B616" t="s">
        <v>2825</v>
      </c>
      <c r="C616" t="s">
        <v>218</v>
      </c>
      <c r="D616" t="s">
        <v>158</v>
      </c>
      <c r="E616" t="s">
        <v>123</v>
      </c>
      <c r="F616" t="s">
        <v>1021</v>
      </c>
      <c r="G616" t="s">
        <v>2826</v>
      </c>
      <c r="H616" t="s">
        <v>1151</v>
      </c>
      <c r="I616" t="s">
        <v>2827</v>
      </c>
      <c r="J616" t="s">
        <v>2828</v>
      </c>
      <c r="K616" t="s">
        <v>2829</v>
      </c>
      <c r="L616" t="s">
        <v>54</v>
      </c>
    </row>
    <row r="617" spans="1:12">
      <c r="A617">
        <v>653</v>
      </c>
      <c r="B617" t="s">
        <v>2830</v>
      </c>
      <c r="C617" t="s">
        <v>633</v>
      </c>
      <c r="D617" t="s">
        <v>47</v>
      </c>
      <c r="E617" t="s">
        <v>603</v>
      </c>
      <c r="F617" t="s">
        <v>2777</v>
      </c>
      <c r="G617" t="s">
        <v>2831</v>
      </c>
      <c r="H617" t="s">
        <v>2832</v>
      </c>
      <c r="I617" t="s">
        <v>2833</v>
      </c>
      <c r="J617" t="s">
        <v>2834</v>
      </c>
      <c r="K617" t="s">
        <v>2835</v>
      </c>
      <c r="L617" t="s">
        <v>54</v>
      </c>
    </row>
    <row r="618" spans="1:12">
      <c r="A618">
        <v>654</v>
      </c>
      <c r="B618" t="s">
        <v>2836</v>
      </c>
      <c r="C618" t="s">
        <v>99</v>
      </c>
      <c r="D618" t="s">
        <v>100</v>
      </c>
      <c r="E618" t="s">
        <v>174</v>
      </c>
      <c r="F618" t="s">
        <v>2799</v>
      </c>
      <c r="G618" t="s">
        <v>2837</v>
      </c>
      <c r="H618" t="s">
        <v>2838</v>
      </c>
      <c r="I618" t="s">
        <v>2839</v>
      </c>
      <c r="J618" t="s">
        <v>2840</v>
      </c>
      <c r="K618" t="s">
        <v>2841</v>
      </c>
      <c r="L618" t="s">
        <v>21</v>
      </c>
    </row>
    <row r="619" spans="1:12">
      <c r="A619">
        <v>655</v>
      </c>
      <c r="B619" t="s">
        <v>2122</v>
      </c>
      <c r="C619" t="s">
        <v>230</v>
      </c>
      <c r="D619" t="s">
        <v>211</v>
      </c>
      <c r="E619" t="s">
        <v>2842</v>
      </c>
      <c r="F619" t="s">
        <v>2843</v>
      </c>
      <c r="G619" t="s">
        <v>31</v>
      </c>
      <c r="H619" t="s">
        <v>2844</v>
      </c>
      <c r="I619" t="s">
        <v>2845</v>
      </c>
      <c r="J619" t="s">
        <v>2846</v>
      </c>
      <c r="K619" t="s">
        <v>2847</v>
      </c>
      <c r="L619" t="s">
        <v>21</v>
      </c>
    </row>
    <row r="620" spans="1:12">
      <c r="A620">
        <v>656</v>
      </c>
      <c r="B620" t="s">
        <v>2848</v>
      </c>
      <c r="C620" t="s">
        <v>246</v>
      </c>
      <c r="D620" t="s">
        <v>39</v>
      </c>
      <c r="E620" t="s">
        <v>1455</v>
      </c>
      <c r="F620" t="s">
        <v>2843</v>
      </c>
      <c r="G620" t="s">
        <v>2849</v>
      </c>
      <c r="H620" t="s">
        <v>2850</v>
      </c>
      <c r="I620" t="s">
        <v>2851</v>
      </c>
      <c r="J620" t="s">
        <v>2852</v>
      </c>
      <c r="K620" t="s">
        <v>2853</v>
      </c>
      <c r="L620" t="s">
        <v>21</v>
      </c>
    </row>
    <row r="621" spans="1:12">
      <c r="A621">
        <v>657</v>
      </c>
      <c r="B621" t="s">
        <v>801</v>
      </c>
      <c r="C621" t="s">
        <v>353</v>
      </c>
      <c r="D621" t="s">
        <v>39</v>
      </c>
      <c r="E621" t="s">
        <v>1671</v>
      </c>
      <c r="F621" t="s">
        <v>2843</v>
      </c>
      <c r="G621" t="s">
        <v>68</v>
      </c>
      <c r="H621" t="s">
        <v>2854</v>
      </c>
      <c r="I621" t="s">
        <v>2855</v>
      </c>
      <c r="J621" t="s">
        <v>2856</v>
      </c>
      <c r="K621" t="s">
        <v>2857</v>
      </c>
      <c r="L621" t="s">
        <v>36</v>
      </c>
    </row>
    <row r="622" spans="1:12">
      <c r="A622">
        <v>658</v>
      </c>
      <c r="B622" t="s">
        <v>2858</v>
      </c>
      <c r="C622" t="s">
        <v>195</v>
      </c>
      <c r="D622" t="s">
        <v>57</v>
      </c>
      <c r="E622" t="s">
        <v>381</v>
      </c>
      <c r="F622" t="s">
        <v>2843</v>
      </c>
      <c r="G622" t="s">
        <v>2859</v>
      </c>
      <c r="H622" t="s">
        <v>300</v>
      </c>
      <c r="I622" t="s">
        <v>2860</v>
      </c>
      <c r="J622" t="s">
        <v>2861</v>
      </c>
      <c r="K622" t="s">
        <v>2862</v>
      </c>
      <c r="L622" t="s">
        <v>21</v>
      </c>
    </row>
    <row r="623" spans="1:12">
      <c r="A623">
        <v>659</v>
      </c>
      <c r="B623" t="s">
        <v>2863</v>
      </c>
      <c r="C623" t="s">
        <v>633</v>
      </c>
      <c r="D623" t="s">
        <v>158</v>
      </c>
      <c r="E623" t="s">
        <v>1109</v>
      </c>
      <c r="F623" t="s">
        <v>2843</v>
      </c>
      <c r="G623" t="s">
        <v>1463</v>
      </c>
      <c r="H623" t="s">
        <v>2864</v>
      </c>
      <c r="I623" t="s">
        <v>2865</v>
      </c>
      <c r="J623" t="s">
        <v>753</v>
      </c>
      <c r="K623" t="s">
        <v>13</v>
      </c>
      <c r="L623" t="s">
        <v>54</v>
      </c>
    </row>
    <row r="624" spans="1:12">
      <c r="A624">
        <v>660</v>
      </c>
      <c r="B624" t="s">
        <v>2866</v>
      </c>
      <c r="C624" t="s">
        <v>91</v>
      </c>
      <c r="D624" t="s">
        <v>211</v>
      </c>
      <c r="E624" t="s">
        <v>449</v>
      </c>
      <c r="F624" t="s">
        <v>2843</v>
      </c>
      <c r="G624" t="s">
        <v>288</v>
      </c>
      <c r="H624" t="s">
        <v>326</v>
      </c>
      <c r="I624" t="s">
        <v>2867</v>
      </c>
      <c r="J624" t="s">
        <v>753</v>
      </c>
      <c r="K624" t="s">
        <v>2868</v>
      </c>
      <c r="L624" t="s">
        <v>21</v>
      </c>
    </row>
    <row r="625" spans="1:12">
      <c r="A625">
        <v>661</v>
      </c>
      <c r="B625" t="s">
        <v>2869</v>
      </c>
      <c r="C625" t="s">
        <v>331</v>
      </c>
      <c r="D625" t="s">
        <v>211</v>
      </c>
      <c r="E625" t="s">
        <v>1387</v>
      </c>
      <c r="F625" t="s">
        <v>2843</v>
      </c>
      <c r="G625" t="s">
        <v>2859</v>
      </c>
      <c r="H625" t="s">
        <v>300</v>
      </c>
      <c r="I625" t="s">
        <v>2870</v>
      </c>
      <c r="J625" t="s">
        <v>2856</v>
      </c>
      <c r="K625" t="s">
        <v>2871</v>
      </c>
      <c r="L625" t="s">
        <v>21</v>
      </c>
    </row>
    <row r="626" spans="1:12">
      <c r="A626">
        <v>662</v>
      </c>
      <c r="B626" t="s">
        <v>2872</v>
      </c>
      <c r="C626" t="s">
        <v>74</v>
      </c>
      <c r="D626" t="s">
        <v>286</v>
      </c>
      <c r="E626" t="s">
        <v>225</v>
      </c>
      <c r="F626" t="s">
        <v>2843</v>
      </c>
      <c r="G626" t="s">
        <v>85</v>
      </c>
      <c r="H626" t="s">
        <v>2873</v>
      </c>
      <c r="I626" t="s">
        <v>2874</v>
      </c>
      <c r="J626" t="s">
        <v>2875</v>
      </c>
      <c r="K626" t="s">
        <v>2247</v>
      </c>
      <c r="L626" t="s">
        <v>54</v>
      </c>
    </row>
    <row r="627" spans="1:12">
      <c r="A627">
        <v>663</v>
      </c>
      <c r="B627" t="s">
        <v>2876</v>
      </c>
      <c r="C627" t="s">
        <v>580</v>
      </c>
      <c r="D627" t="s">
        <v>39</v>
      </c>
      <c r="E627" t="s">
        <v>2877</v>
      </c>
      <c r="F627" t="s">
        <v>2843</v>
      </c>
      <c r="G627" t="s">
        <v>288</v>
      </c>
      <c r="H627" t="s">
        <v>289</v>
      </c>
      <c r="I627" t="s">
        <v>2878</v>
      </c>
      <c r="J627" t="s">
        <v>753</v>
      </c>
      <c r="K627" t="s">
        <v>2879</v>
      </c>
      <c r="L627" t="s">
        <v>21</v>
      </c>
    </row>
    <row r="628" spans="1:12">
      <c r="A628">
        <v>664</v>
      </c>
      <c r="B628" t="s">
        <v>2880</v>
      </c>
      <c r="C628" t="s">
        <v>1129</v>
      </c>
      <c r="D628" t="s">
        <v>47</v>
      </c>
      <c r="E628" t="s">
        <v>1973</v>
      </c>
      <c r="F628" t="s">
        <v>2843</v>
      </c>
      <c r="G628" t="s">
        <v>2881</v>
      </c>
      <c r="H628" t="s">
        <v>2882</v>
      </c>
      <c r="I628" t="s">
        <v>2883</v>
      </c>
      <c r="J628" t="s">
        <v>2884</v>
      </c>
      <c r="K628" t="s">
        <v>2885</v>
      </c>
      <c r="L628" t="s">
        <v>21</v>
      </c>
    </row>
    <row r="629" spans="1:12">
      <c r="A629">
        <v>665</v>
      </c>
      <c r="B629" t="s">
        <v>2886</v>
      </c>
      <c r="C629" t="s">
        <v>2887</v>
      </c>
      <c r="D629" t="s">
        <v>13</v>
      </c>
      <c r="E629" t="s">
        <v>1907</v>
      </c>
      <c r="F629" t="s">
        <v>2843</v>
      </c>
      <c r="G629" t="s">
        <v>356</v>
      </c>
      <c r="H629" t="s">
        <v>1578</v>
      </c>
      <c r="I629" t="s">
        <v>2888</v>
      </c>
      <c r="J629" t="s">
        <v>2889</v>
      </c>
      <c r="K629" t="s">
        <v>2890</v>
      </c>
      <c r="L629" t="s">
        <v>54</v>
      </c>
    </row>
    <row r="630" spans="1:12">
      <c r="A630">
        <v>666</v>
      </c>
      <c r="B630" t="s">
        <v>2891</v>
      </c>
      <c r="C630" t="s">
        <v>1129</v>
      </c>
      <c r="D630" t="s">
        <v>100</v>
      </c>
      <c r="E630" t="s">
        <v>591</v>
      </c>
      <c r="F630" t="s">
        <v>2843</v>
      </c>
      <c r="G630" t="s">
        <v>2892</v>
      </c>
      <c r="H630" t="s">
        <v>1359</v>
      </c>
      <c r="I630" t="s">
        <v>2893</v>
      </c>
      <c r="J630" t="s">
        <v>2894</v>
      </c>
      <c r="K630" t="s">
        <v>2895</v>
      </c>
      <c r="L630" t="s">
        <v>54</v>
      </c>
    </row>
    <row r="631" spans="1:12">
      <c r="A631">
        <v>667</v>
      </c>
      <c r="B631" t="s">
        <v>2896</v>
      </c>
      <c r="C631" t="s">
        <v>362</v>
      </c>
      <c r="D631" t="s">
        <v>260</v>
      </c>
      <c r="E631" t="s">
        <v>613</v>
      </c>
      <c r="F631" t="s">
        <v>2843</v>
      </c>
      <c r="G631" t="s">
        <v>2897</v>
      </c>
      <c r="H631" t="s">
        <v>2898</v>
      </c>
      <c r="I631" t="s">
        <v>2899</v>
      </c>
      <c r="J631" t="s">
        <v>2900</v>
      </c>
      <c r="K631" t="s">
        <v>2879</v>
      </c>
      <c r="L631" t="s">
        <v>54</v>
      </c>
    </row>
    <row r="632" spans="1:12">
      <c r="A632">
        <v>668</v>
      </c>
      <c r="B632" t="s">
        <v>1182</v>
      </c>
      <c r="C632" t="s">
        <v>240</v>
      </c>
      <c r="D632" t="s">
        <v>83</v>
      </c>
      <c r="E632" t="s">
        <v>966</v>
      </c>
      <c r="F632" t="s">
        <v>2843</v>
      </c>
      <c r="G632" t="s">
        <v>2901</v>
      </c>
      <c r="H632" t="s">
        <v>1183</v>
      </c>
      <c r="I632" t="s">
        <v>2902</v>
      </c>
      <c r="J632" t="s">
        <v>753</v>
      </c>
      <c r="K632" t="s">
        <v>2903</v>
      </c>
      <c r="L632" t="s">
        <v>21</v>
      </c>
    </row>
    <row r="633" spans="1:12">
      <c r="A633">
        <v>669</v>
      </c>
      <c r="B633" t="s">
        <v>2904</v>
      </c>
      <c r="C633" t="s">
        <v>580</v>
      </c>
      <c r="D633" t="s">
        <v>39</v>
      </c>
      <c r="E633" t="s">
        <v>1409</v>
      </c>
      <c r="F633" t="s">
        <v>2843</v>
      </c>
      <c r="G633" t="s">
        <v>2905</v>
      </c>
      <c r="H633" t="s">
        <v>2906</v>
      </c>
      <c r="I633" t="s">
        <v>2907</v>
      </c>
      <c r="J633" t="s">
        <v>2856</v>
      </c>
      <c r="K633" t="s">
        <v>2908</v>
      </c>
      <c r="L633" t="s">
        <v>54</v>
      </c>
    </row>
    <row r="634" spans="1:12">
      <c r="A634">
        <v>670</v>
      </c>
      <c r="B634" t="s">
        <v>2909</v>
      </c>
      <c r="C634" t="s">
        <v>633</v>
      </c>
      <c r="D634" t="s">
        <v>57</v>
      </c>
      <c r="E634" t="s">
        <v>144</v>
      </c>
      <c r="F634" t="s">
        <v>2843</v>
      </c>
      <c r="G634" t="s">
        <v>280</v>
      </c>
      <c r="H634" t="s">
        <v>2910</v>
      </c>
      <c r="I634" t="s">
        <v>2911</v>
      </c>
      <c r="J634" t="s">
        <v>2912</v>
      </c>
      <c r="K634" t="s">
        <v>13</v>
      </c>
      <c r="L634" t="s">
        <v>54</v>
      </c>
    </row>
    <row r="635" spans="1:12">
      <c r="A635">
        <v>671</v>
      </c>
      <c r="B635" t="s">
        <v>2913</v>
      </c>
      <c r="C635" t="s">
        <v>2887</v>
      </c>
      <c r="D635" t="s">
        <v>13</v>
      </c>
      <c r="E635" t="s">
        <v>279</v>
      </c>
      <c r="F635" t="s">
        <v>2843</v>
      </c>
      <c r="G635" t="s">
        <v>2914</v>
      </c>
      <c r="H635" t="s">
        <v>300</v>
      </c>
      <c r="I635" t="s">
        <v>2915</v>
      </c>
      <c r="J635" t="s">
        <v>2916</v>
      </c>
      <c r="K635" t="s">
        <v>2917</v>
      </c>
      <c r="L635" t="s">
        <v>21</v>
      </c>
    </row>
    <row r="636" spans="1:12">
      <c r="A636">
        <v>672</v>
      </c>
      <c r="B636" t="s">
        <v>2918</v>
      </c>
      <c r="C636" t="s">
        <v>362</v>
      </c>
      <c r="D636" t="s">
        <v>100</v>
      </c>
      <c r="E636" t="s">
        <v>151</v>
      </c>
      <c r="F636" t="s">
        <v>2843</v>
      </c>
      <c r="G636" t="s">
        <v>2881</v>
      </c>
      <c r="H636" t="s">
        <v>1359</v>
      </c>
      <c r="I636" t="s">
        <v>2919</v>
      </c>
      <c r="J636" t="s">
        <v>2856</v>
      </c>
      <c r="K636" t="s">
        <v>2920</v>
      </c>
      <c r="L636" t="s">
        <v>21</v>
      </c>
    </row>
    <row r="637" spans="1:12">
      <c r="A637">
        <v>673</v>
      </c>
      <c r="B637" t="s">
        <v>2921</v>
      </c>
      <c r="C637" t="s">
        <v>2887</v>
      </c>
      <c r="D637" t="s">
        <v>13</v>
      </c>
      <c r="E637" t="s">
        <v>348</v>
      </c>
      <c r="F637" t="s">
        <v>2843</v>
      </c>
      <c r="G637" t="s">
        <v>2922</v>
      </c>
      <c r="H637" t="s">
        <v>2923</v>
      </c>
      <c r="I637" t="s">
        <v>2924</v>
      </c>
      <c r="J637" t="s">
        <v>2925</v>
      </c>
      <c r="K637" t="s">
        <v>2731</v>
      </c>
      <c r="L637" t="s">
        <v>36</v>
      </c>
    </row>
    <row r="638" spans="1:12">
      <c r="A638">
        <v>674</v>
      </c>
      <c r="B638" t="s">
        <v>1633</v>
      </c>
      <c r="C638" t="s">
        <v>82</v>
      </c>
      <c r="D638" t="s">
        <v>100</v>
      </c>
      <c r="E638" t="s">
        <v>341</v>
      </c>
      <c r="F638" t="s">
        <v>2843</v>
      </c>
      <c r="G638" t="s">
        <v>313</v>
      </c>
      <c r="H638" t="s">
        <v>300</v>
      </c>
      <c r="I638" t="s">
        <v>2926</v>
      </c>
      <c r="J638" t="s">
        <v>2927</v>
      </c>
      <c r="K638" t="s">
        <v>2928</v>
      </c>
      <c r="L638" t="s">
        <v>21</v>
      </c>
    </row>
    <row r="639" spans="1:12">
      <c r="A639">
        <v>675</v>
      </c>
      <c r="B639" t="s">
        <v>2929</v>
      </c>
      <c r="C639" t="s">
        <v>2887</v>
      </c>
      <c r="D639" t="s">
        <v>13</v>
      </c>
      <c r="E639" t="s">
        <v>348</v>
      </c>
      <c r="F639" t="s">
        <v>2843</v>
      </c>
      <c r="G639" t="s">
        <v>2914</v>
      </c>
      <c r="H639" t="s">
        <v>300</v>
      </c>
      <c r="I639" t="s">
        <v>2930</v>
      </c>
      <c r="J639" t="s">
        <v>2931</v>
      </c>
      <c r="K639" t="s">
        <v>2932</v>
      </c>
      <c r="L639" t="s">
        <v>21</v>
      </c>
    </row>
    <row r="640" spans="1:12">
      <c r="A640">
        <v>676</v>
      </c>
      <c r="B640" t="s">
        <v>2933</v>
      </c>
      <c r="C640" t="s">
        <v>321</v>
      </c>
      <c r="D640" t="s">
        <v>260</v>
      </c>
      <c r="E640" t="s">
        <v>2877</v>
      </c>
      <c r="F640" t="s">
        <v>2843</v>
      </c>
      <c r="G640" t="s">
        <v>31</v>
      </c>
      <c r="H640" t="s">
        <v>1359</v>
      </c>
      <c r="I640" t="s">
        <v>2934</v>
      </c>
      <c r="J640" t="s">
        <v>2856</v>
      </c>
      <c r="K640" t="s">
        <v>2935</v>
      </c>
      <c r="L640" t="s">
        <v>54</v>
      </c>
    </row>
    <row r="641" spans="1:12">
      <c r="A641">
        <v>677</v>
      </c>
      <c r="B641" t="s">
        <v>2936</v>
      </c>
      <c r="C641" t="s">
        <v>2887</v>
      </c>
      <c r="D641" t="s">
        <v>13</v>
      </c>
      <c r="E641" t="s">
        <v>166</v>
      </c>
      <c r="F641" t="s">
        <v>2843</v>
      </c>
      <c r="G641" t="s">
        <v>2937</v>
      </c>
      <c r="H641" t="s">
        <v>300</v>
      </c>
      <c r="I641" t="s">
        <v>2938</v>
      </c>
      <c r="J641" t="s">
        <v>2939</v>
      </c>
      <c r="K641" t="s">
        <v>2940</v>
      </c>
      <c r="L641" t="s">
        <v>36</v>
      </c>
    </row>
    <row r="642" spans="1:12">
      <c r="A642">
        <v>678</v>
      </c>
      <c r="B642" t="s">
        <v>2941</v>
      </c>
      <c r="C642" t="s">
        <v>91</v>
      </c>
      <c r="D642" t="s">
        <v>260</v>
      </c>
      <c r="E642" t="s">
        <v>2877</v>
      </c>
      <c r="F642" t="s">
        <v>2843</v>
      </c>
      <c r="G642" t="s">
        <v>2942</v>
      </c>
      <c r="H642" t="s">
        <v>2901</v>
      </c>
      <c r="I642" t="s">
        <v>2943</v>
      </c>
      <c r="J642" t="s">
        <v>345</v>
      </c>
      <c r="K642" t="s">
        <v>2944</v>
      </c>
      <c r="L642" t="s">
        <v>21</v>
      </c>
    </row>
    <row r="643" spans="1:12">
      <c r="A643">
        <v>679</v>
      </c>
      <c r="B643" t="s">
        <v>2945</v>
      </c>
      <c r="C643" t="s">
        <v>633</v>
      </c>
      <c r="D643" t="s">
        <v>158</v>
      </c>
      <c r="E643" t="s">
        <v>151</v>
      </c>
      <c r="F643" t="s">
        <v>2843</v>
      </c>
      <c r="G643" t="s">
        <v>280</v>
      </c>
      <c r="H643" t="s">
        <v>2946</v>
      </c>
      <c r="I643" t="s">
        <v>2947</v>
      </c>
      <c r="J643" t="s">
        <v>2948</v>
      </c>
      <c r="K643" t="s">
        <v>2949</v>
      </c>
      <c r="L643" t="s">
        <v>54</v>
      </c>
    </row>
    <row r="644" spans="1:12">
      <c r="A644">
        <v>680</v>
      </c>
      <c r="B644" t="s">
        <v>2950</v>
      </c>
      <c r="C644" t="s">
        <v>2887</v>
      </c>
      <c r="D644" t="s">
        <v>13</v>
      </c>
      <c r="E644" t="s">
        <v>623</v>
      </c>
      <c r="F644" t="s">
        <v>2843</v>
      </c>
      <c r="G644" t="s">
        <v>2951</v>
      </c>
      <c r="H644" t="s">
        <v>300</v>
      </c>
      <c r="I644" t="s">
        <v>2952</v>
      </c>
      <c r="J644" t="s">
        <v>2856</v>
      </c>
      <c r="K644" t="s">
        <v>2953</v>
      </c>
      <c r="L644" t="s">
        <v>21</v>
      </c>
    </row>
    <row r="645" spans="1:12">
      <c r="A645">
        <v>681</v>
      </c>
      <c r="B645" t="s">
        <v>2954</v>
      </c>
      <c r="C645" t="s">
        <v>362</v>
      </c>
      <c r="D645" t="s">
        <v>57</v>
      </c>
      <c r="E645" t="s">
        <v>2320</v>
      </c>
      <c r="F645" t="s">
        <v>2843</v>
      </c>
      <c r="G645" t="s">
        <v>2914</v>
      </c>
      <c r="H645" t="s">
        <v>1359</v>
      </c>
      <c r="I645" t="s">
        <v>2955</v>
      </c>
      <c r="J645" t="s">
        <v>2956</v>
      </c>
      <c r="K645" t="s">
        <v>2957</v>
      </c>
      <c r="L645" t="s">
        <v>21</v>
      </c>
    </row>
    <row r="646" spans="1:12">
      <c r="A646">
        <v>682</v>
      </c>
      <c r="B646" t="s">
        <v>2958</v>
      </c>
      <c r="C646" t="s">
        <v>325</v>
      </c>
      <c r="D646" t="s">
        <v>83</v>
      </c>
      <c r="E646" t="s">
        <v>2320</v>
      </c>
      <c r="F646" t="s">
        <v>2843</v>
      </c>
      <c r="G646" t="s">
        <v>31</v>
      </c>
      <c r="H646" t="s">
        <v>2959</v>
      </c>
      <c r="I646" t="s">
        <v>2960</v>
      </c>
      <c r="J646" t="s">
        <v>2894</v>
      </c>
      <c r="K646" t="s">
        <v>2961</v>
      </c>
      <c r="L646" t="s">
        <v>54</v>
      </c>
    </row>
    <row r="647" spans="1:12">
      <c r="A647">
        <v>683</v>
      </c>
      <c r="B647" t="s">
        <v>2962</v>
      </c>
      <c r="C647" t="s">
        <v>362</v>
      </c>
      <c r="D647" t="s">
        <v>100</v>
      </c>
      <c r="E647" t="s">
        <v>449</v>
      </c>
      <c r="F647" t="s">
        <v>2843</v>
      </c>
      <c r="G647" t="s">
        <v>2914</v>
      </c>
      <c r="H647" t="s">
        <v>2963</v>
      </c>
      <c r="I647" t="s">
        <v>2964</v>
      </c>
      <c r="J647" t="s">
        <v>323</v>
      </c>
      <c r="K647" t="s">
        <v>2965</v>
      </c>
      <c r="L647" t="s">
        <v>21</v>
      </c>
    </row>
    <row r="648" spans="1:12">
      <c r="A648">
        <v>684</v>
      </c>
      <c r="B648" t="s">
        <v>2966</v>
      </c>
      <c r="C648" t="s">
        <v>325</v>
      </c>
      <c r="D648" t="s">
        <v>260</v>
      </c>
      <c r="E648" t="s">
        <v>1396</v>
      </c>
      <c r="F648" t="s">
        <v>2843</v>
      </c>
      <c r="G648" t="s">
        <v>2881</v>
      </c>
      <c r="H648" t="s">
        <v>1359</v>
      </c>
      <c r="I648" t="s">
        <v>2967</v>
      </c>
      <c r="J648" t="s">
        <v>2968</v>
      </c>
      <c r="K648" t="s">
        <v>2920</v>
      </c>
      <c r="L648" t="s">
        <v>21</v>
      </c>
    </row>
    <row r="649" spans="1:12">
      <c r="A649">
        <v>685</v>
      </c>
      <c r="B649" t="s">
        <v>2969</v>
      </c>
      <c r="C649" t="s">
        <v>2887</v>
      </c>
      <c r="D649" t="s">
        <v>13</v>
      </c>
      <c r="E649" t="s">
        <v>627</v>
      </c>
      <c r="F649" t="s">
        <v>2843</v>
      </c>
      <c r="G649" t="s">
        <v>1463</v>
      </c>
      <c r="H649" t="s">
        <v>2970</v>
      </c>
      <c r="I649" t="s">
        <v>2971</v>
      </c>
      <c r="J649" t="s">
        <v>2972</v>
      </c>
      <c r="K649" t="s">
        <v>2973</v>
      </c>
      <c r="L649" t="s">
        <v>36</v>
      </c>
    </row>
    <row r="650" spans="1:12">
      <c r="A650">
        <v>686</v>
      </c>
      <c r="B650" t="s">
        <v>2974</v>
      </c>
      <c r="C650" t="s">
        <v>82</v>
      </c>
      <c r="D650" t="s">
        <v>158</v>
      </c>
      <c r="E650" t="s">
        <v>225</v>
      </c>
      <c r="F650" t="s">
        <v>2843</v>
      </c>
      <c r="G650" t="s">
        <v>2859</v>
      </c>
      <c r="H650" t="s">
        <v>300</v>
      </c>
      <c r="I650" t="s">
        <v>2975</v>
      </c>
      <c r="J650" t="s">
        <v>2856</v>
      </c>
      <c r="K650" t="s">
        <v>2976</v>
      </c>
      <c r="L650" t="s">
        <v>36</v>
      </c>
    </row>
    <row r="651" spans="1:12">
      <c r="A651">
        <v>687</v>
      </c>
      <c r="B651" t="s">
        <v>2977</v>
      </c>
      <c r="C651" t="s">
        <v>2887</v>
      </c>
      <c r="D651" t="s">
        <v>13</v>
      </c>
      <c r="E651" t="s">
        <v>84</v>
      </c>
      <c r="F651" t="s">
        <v>2843</v>
      </c>
      <c r="G651" t="s">
        <v>1463</v>
      </c>
      <c r="H651" t="s">
        <v>300</v>
      </c>
      <c r="I651" t="s">
        <v>2978</v>
      </c>
      <c r="J651" t="s">
        <v>2979</v>
      </c>
      <c r="K651" t="s">
        <v>2980</v>
      </c>
      <c r="L651" t="s">
        <v>54</v>
      </c>
    </row>
    <row r="652" spans="1:12">
      <c r="A652">
        <v>688</v>
      </c>
      <c r="B652" t="s">
        <v>2981</v>
      </c>
      <c r="C652" t="s">
        <v>353</v>
      </c>
      <c r="D652" t="s">
        <v>57</v>
      </c>
      <c r="E652" t="s">
        <v>348</v>
      </c>
      <c r="F652" t="s">
        <v>2843</v>
      </c>
      <c r="G652" t="s">
        <v>1768</v>
      </c>
      <c r="H652" t="s">
        <v>2982</v>
      </c>
      <c r="I652" t="s">
        <v>2983</v>
      </c>
      <c r="J652" t="s">
        <v>2984</v>
      </c>
      <c r="K652" t="s">
        <v>2985</v>
      </c>
      <c r="L652" t="s">
        <v>54</v>
      </c>
    </row>
    <row r="653" spans="1:12">
      <c r="A653">
        <v>689</v>
      </c>
      <c r="B653" t="s">
        <v>2986</v>
      </c>
      <c r="C653" t="s">
        <v>321</v>
      </c>
      <c r="D653" t="s">
        <v>66</v>
      </c>
      <c r="E653" t="s">
        <v>348</v>
      </c>
      <c r="F653" t="s">
        <v>2843</v>
      </c>
      <c r="G653" t="s">
        <v>2987</v>
      </c>
      <c r="H653" t="s">
        <v>2901</v>
      </c>
      <c r="I653" t="s">
        <v>2988</v>
      </c>
      <c r="J653" t="s">
        <v>79</v>
      </c>
      <c r="K653" t="s">
        <v>2989</v>
      </c>
      <c r="L653" t="s">
        <v>36</v>
      </c>
    </row>
    <row r="654" spans="1:12">
      <c r="A654">
        <v>690</v>
      </c>
      <c r="B654" t="s">
        <v>2990</v>
      </c>
      <c r="C654" t="s">
        <v>321</v>
      </c>
      <c r="D654" t="s">
        <v>260</v>
      </c>
      <c r="E654" t="s">
        <v>2877</v>
      </c>
      <c r="F654" t="s">
        <v>2843</v>
      </c>
      <c r="G654" t="s">
        <v>2905</v>
      </c>
      <c r="H654" t="s">
        <v>1359</v>
      </c>
      <c r="I654" t="s">
        <v>2991</v>
      </c>
      <c r="J654" t="s">
        <v>2894</v>
      </c>
      <c r="K654" t="s">
        <v>2992</v>
      </c>
      <c r="L654" t="s">
        <v>54</v>
      </c>
    </row>
    <row r="655" spans="1:12">
      <c r="A655">
        <v>691</v>
      </c>
      <c r="B655" t="s">
        <v>2993</v>
      </c>
      <c r="C655" t="s">
        <v>246</v>
      </c>
      <c r="D655" t="s">
        <v>57</v>
      </c>
      <c r="E655" t="s">
        <v>2877</v>
      </c>
      <c r="F655" t="s">
        <v>2843</v>
      </c>
      <c r="G655" t="s">
        <v>356</v>
      </c>
      <c r="H655" t="s">
        <v>1171</v>
      </c>
      <c r="I655" t="s">
        <v>2994</v>
      </c>
      <c r="J655" t="s">
        <v>2995</v>
      </c>
      <c r="K655" t="s">
        <v>2996</v>
      </c>
      <c r="L655" t="s">
        <v>54</v>
      </c>
    </row>
    <row r="656" spans="1:12">
      <c r="A656">
        <v>692</v>
      </c>
      <c r="B656" t="s">
        <v>2997</v>
      </c>
      <c r="C656" t="s">
        <v>91</v>
      </c>
      <c r="D656" t="s">
        <v>260</v>
      </c>
      <c r="E656" t="s">
        <v>2877</v>
      </c>
      <c r="F656" t="s">
        <v>2843</v>
      </c>
      <c r="G656" t="s">
        <v>31</v>
      </c>
      <c r="H656" t="s">
        <v>300</v>
      </c>
      <c r="I656" t="s">
        <v>2998</v>
      </c>
      <c r="J656" t="s">
        <v>2856</v>
      </c>
      <c r="K656" t="s">
        <v>2999</v>
      </c>
      <c r="L656" t="s">
        <v>21</v>
      </c>
    </row>
    <row r="657" spans="1:12">
      <c r="A657">
        <v>693</v>
      </c>
      <c r="B657" t="s">
        <v>3000</v>
      </c>
      <c r="C657" t="s">
        <v>218</v>
      </c>
      <c r="D657" t="s">
        <v>100</v>
      </c>
      <c r="E657" t="s">
        <v>159</v>
      </c>
      <c r="F657" t="s">
        <v>2843</v>
      </c>
      <c r="G657" t="s">
        <v>2881</v>
      </c>
      <c r="H657" t="s">
        <v>300</v>
      </c>
      <c r="I657" t="s">
        <v>3001</v>
      </c>
      <c r="J657" t="s">
        <v>2968</v>
      </c>
      <c r="K657" t="s">
        <v>3002</v>
      </c>
      <c r="L657" t="s">
        <v>54</v>
      </c>
    </row>
    <row r="658" spans="1:12">
      <c r="A658">
        <v>694</v>
      </c>
      <c r="B658" t="s">
        <v>3003</v>
      </c>
      <c r="C658" t="s">
        <v>200</v>
      </c>
      <c r="D658" t="s">
        <v>66</v>
      </c>
      <c r="E658" t="s">
        <v>2877</v>
      </c>
      <c r="F658" t="s">
        <v>2843</v>
      </c>
      <c r="G658" t="s">
        <v>288</v>
      </c>
      <c r="H658" t="s">
        <v>2041</v>
      </c>
      <c r="I658" t="s">
        <v>3004</v>
      </c>
      <c r="J658" t="s">
        <v>345</v>
      </c>
      <c r="K658" t="s">
        <v>3005</v>
      </c>
      <c r="L658" t="s">
        <v>21</v>
      </c>
    </row>
    <row r="659" spans="1:12">
      <c r="A659">
        <v>695</v>
      </c>
      <c r="B659" t="s">
        <v>3006</v>
      </c>
      <c r="C659" t="s">
        <v>150</v>
      </c>
      <c r="D659" t="s">
        <v>66</v>
      </c>
      <c r="E659" t="s">
        <v>3007</v>
      </c>
      <c r="F659" t="s">
        <v>2843</v>
      </c>
      <c r="G659" t="s">
        <v>3008</v>
      </c>
      <c r="H659" t="s">
        <v>3009</v>
      </c>
      <c r="I659" t="s">
        <v>3010</v>
      </c>
      <c r="J659" t="s">
        <v>3011</v>
      </c>
      <c r="K659" t="s">
        <v>3012</v>
      </c>
      <c r="L659" t="s">
        <v>21</v>
      </c>
    </row>
    <row r="660" spans="1:12">
      <c r="A660">
        <v>696</v>
      </c>
      <c r="B660" t="s">
        <v>3013</v>
      </c>
      <c r="C660" t="s">
        <v>2887</v>
      </c>
      <c r="D660" t="s">
        <v>47</v>
      </c>
      <c r="E660" t="s">
        <v>3014</v>
      </c>
      <c r="F660" t="s">
        <v>2843</v>
      </c>
      <c r="G660" t="s">
        <v>93</v>
      </c>
      <c r="H660" t="s">
        <v>3015</v>
      </c>
      <c r="I660" t="s">
        <v>3016</v>
      </c>
      <c r="J660" t="s">
        <v>3017</v>
      </c>
      <c r="K660" t="s">
        <v>3018</v>
      </c>
      <c r="L660" t="s">
        <v>21</v>
      </c>
    </row>
    <row r="661" spans="1:12">
      <c r="A661">
        <v>697</v>
      </c>
      <c r="B661" t="s">
        <v>3019</v>
      </c>
      <c r="C661" t="s">
        <v>2887</v>
      </c>
      <c r="D661" t="s">
        <v>260</v>
      </c>
      <c r="E661" t="s">
        <v>3020</v>
      </c>
      <c r="F661" t="s">
        <v>2843</v>
      </c>
      <c r="G661" t="s">
        <v>1463</v>
      </c>
      <c r="H661" t="s">
        <v>3021</v>
      </c>
      <c r="I661" t="s">
        <v>3022</v>
      </c>
      <c r="J661" t="s">
        <v>3023</v>
      </c>
      <c r="K661" t="s">
        <v>3024</v>
      </c>
      <c r="L661" t="s">
        <v>21</v>
      </c>
    </row>
    <row r="662" spans="1:12">
      <c r="A662">
        <v>698</v>
      </c>
      <c r="B662" t="s">
        <v>3025</v>
      </c>
      <c r="C662" t="s">
        <v>580</v>
      </c>
      <c r="D662" t="s">
        <v>211</v>
      </c>
      <c r="E662" t="s">
        <v>3020</v>
      </c>
      <c r="F662" t="s">
        <v>2843</v>
      </c>
      <c r="G662" t="s">
        <v>2914</v>
      </c>
      <c r="H662" t="s">
        <v>3026</v>
      </c>
      <c r="I662" t="s">
        <v>3027</v>
      </c>
      <c r="J662" t="s">
        <v>3028</v>
      </c>
      <c r="K662" t="s">
        <v>3029</v>
      </c>
      <c r="L662" t="s">
        <v>21</v>
      </c>
    </row>
    <row r="663" spans="1:12">
      <c r="A663">
        <v>699</v>
      </c>
      <c r="B663" t="s">
        <v>3030</v>
      </c>
      <c r="C663" t="s">
        <v>46</v>
      </c>
      <c r="D663" t="s">
        <v>260</v>
      </c>
      <c r="E663" t="s">
        <v>3031</v>
      </c>
      <c r="F663" t="s">
        <v>2843</v>
      </c>
      <c r="G663" t="s">
        <v>2859</v>
      </c>
      <c r="H663" t="s">
        <v>3032</v>
      </c>
      <c r="I663" t="s">
        <v>3033</v>
      </c>
      <c r="J663" t="s">
        <v>3034</v>
      </c>
      <c r="K663" t="s">
        <v>3035</v>
      </c>
      <c r="L663" t="s">
        <v>21</v>
      </c>
    </row>
    <row r="664" spans="1:12">
      <c r="A664">
        <v>700</v>
      </c>
      <c r="B664" t="s">
        <v>3036</v>
      </c>
      <c r="C664" t="s">
        <v>107</v>
      </c>
      <c r="D664" t="s">
        <v>47</v>
      </c>
      <c r="E664" t="s">
        <v>3037</v>
      </c>
      <c r="F664" t="s">
        <v>2843</v>
      </c>
      <c r="G664" t="s">
        <v>175</v>
      </c>
      <c r="H664" t="s">
        <v>3038</v>
      </c>
      <c r="I664" t="s">
        <v>3039</v>
      </c>
      <c r="J664" t="s">
        <v>2852</v>
      </c>
      <c r="K664" t="s">
        <v>3040</v>
      </c>
      <c r="L664" t="s">
        <v>21</v>
      </c>
    </row>
    <row r="665" spans="1:12">
      <c r="A665">
        <v>701</v>
      </c>
      <c r="B665" t="s">
        <v>3041</v>
      </c>
      <c r="C665" t="s">
        <v>2887</v>
      </c>
      <c r="D665" t="s">
        <v>39</v>
      </c>
      <c r="E665" t="s">
        <v>3042</v>
      </c>
      <c r="F665" t="s">
        <v>2843</v>
      </c>
      <c r="G665" t="s">
        <v>356</v>
      </c>
      <c r="H665" t="s">
        <v>3043</v>
      </c>
      <c r="I665" t="s">
        <v>3044</v>
      </c>
      <c r="J665" t="s">
        <v>3045</v>
      </c>
      <c r="K665" t="s">
        <v>3046</v>
      </c>
      <c r="L665" t="s">
        <v>21</v>
      </c>
    </row>
    <row r="666" spans="1:12">
      <c r="A666">
        <v>702</v>
      </c>
      <c r="B666" t="s">
        <v>3047</v>
      </c>
      <c r="C666" t="s">
        <v>1129</v>
      </c>
      <c r="D666" t="s">
        <v>66</v>
      </c>
      <c r="E666" t="s">
        <v>3048</v>
      </c>
      <c r="F666" t="s">
        <v>2843</v>
      </c>
      <c r="G666" t="s">
        <v>2754</v>
      </c>
      <c r="H666" t="s">
        <v>3049</v>
      </c>
      <c r="I666" t="s">
        <v>3050</v>
      </c>
      <c r="J666" t="s">
        <v>753</v>
      </c>
      <c r="K666" t="s">
        <v>3051</v>
      </c>
      <c r="L666" t="s">
        <v>21</v>
      </c>
    </row>
    <row r="667" spans="1:12">
      <c r="A667">
        <v>703</v>
      </c>
      <c r="B667" t="s">
        <v>3052</v>
      </c>
      <c r="C667" t="s">
        <v>2887</v>
      </c>
      <c r="D667" t="s">
        <v>39</v>
      </c>
      <c r="E667" t="s">
        <v>3053</v>
      </c>
      <c r="F667" t="s">
        <v>2843</v>
      </c>
      <c r="G667" t="s">
        <v>356</v>
      </c>
      <c r="H667" t="s">
        <v>3054</v>
      </c>
      <c r="I667" t="s">
        <v>3055</v>
      </c>
      <c r="J667" t="s">
        <v>3056</v>
      </c>
      <c r="K667" t="s">
        <v>3057</v>
      </c>
      <c r="L667" t="s">
        <v>21</v>
      </c>
    </row>
    <row r="668" spans="1:12">
      <c r="A668">
        <v>704</v>
      </c>
      <c r="B668" t="s">
        <v>3058</v>
      </c>
      <c r="C668" t="s">
        <v>321</v>
      </c>
      <c r="D668" t="s">
        <v>267</v>
      </c>
      <c r="E668" t="s">
        <v>108</v>
      </c>
      <c r="F668" t="s">
        <v>2843</v>
      </c>
      <c r="G668" t="s">
        <v>2881</v>
      </c>
      <c r="H668" t="s">
        <v>2920</v>
      </c>
      <c r="I668" t="s">
        <v>3059</v>
      </c>
      <c r="J668" t="s">
        <v>3060</v>
      </c>
      <c r="K668" t="s">
        <v>2920</v>
      </c>
      <c r="L668" t="s">
        <v>54</v>
      </c>
    </row>
    <row r="669" spans="1:12">
      <c r="A669">
        <v>705</v>
      </c>
      <c r="B669" t="s">
        <v>3061</v>
      </c>
      <c r="C669" t="s">
        <v>91</v>
      </c>
      <c r="D669" t="s">
        <v>47</v>
      </c>
      <c r="E669" t="s">
        <v>3062</v>
      </c>
      <c r="F669" t="s">
        <v>2843</v>
      </c>
      <c r="G669" t="s">
        <v>2859</v>
      </c>
      <c r="H669" t="s">
        <v>3063</v>
      </c>
      <c r="I669" t="s">
        <v>3064</v>
      </c>
      <c r="J669" t="s">
        <v>2852</v>
      </c>
      <c r="K669" t="s">
        <v>3035</v>
      </c>
      <c r="L669" t="s">
        <v>21</v>
      </c>
    </row>
    <row r="670" spans="1:12">
      <c r="A670">
        <v>706</v>
      </c>
      <c r="B670" t="s">
        <v>3065</v>
      </c>
      <c r="C670" t="s">
        <v>56</v>
      </c>
      <c r="D670" t="s">
        <v>57</v>
      </c>
      <c r="E670" t="s">
        <v>1547</v>
      </c>
      <c r="F670" t="s">
        <v>2843</v>
      </c>
      <c r="G670" t="s">
        <v>3066</v>
      </c>
      <c r="H670" t="s">
        <v>3067</v>
      </c>
      <c r="I670" t="s">
        <v>3068</v>
      </c>
      <c r="J670" t="s">
        <v>3069</v>
      </c>
      <c r="K670" t="s">
        <v>3070</v>
      </c>
      <c r="L670" t="s">
        <v>21</v>
      </c>
    </row>
    <row r="671" spans="1:12">
      <c r="A671">
        <v>707</v>
      </c>
      <c r="B671" t="s">
        <v>3071</v>
      </c>
      <c r="C671" t="s">
        <v>321</v>
      </c>
      <c r="D671" t="s">
        <v>39</v>
      </c>
      <c r="E671" t="s">
        <v>1066</v>
      </c>
      <c r="F671" t="s">
        <v>2843</v>
      </c>
      <c r="G671" t="s">
        <v>356</v>
      </c>
      <c r="H671" t="s">
        <v>3072</v>
      </c>
      <c r="I671" t="s">
        <v>3073</v>
      </c>
      <c r="J671" t="s">
        <v>3074</v>
      </c>
      <c r="K671" t="s">
        <v>3075</v>
      </c>
      <c r="L671" t="s">
        <v>36</v>
      </c>
    </row>
    <row r="672" spans="1:12">
      <c r="A672">
        <v>708</v>
      </c>
      <c r="B672" t="s">
        <v>3076</v>
      </c>
      <c r="C672" t="s">
        <v>1129</v>
      </c>
      <c r="D672" t="s">
        <v>260</v>
      </c>
      <c r="E672" t="s">
        <v>381</v>
      </c>
      <c r="F672" t="s">
        <v>2843</v>
      </c>
      <c r="G672" t="s">
        <v>2859</v>
      </c>
      <c r="H672" t="s">
        <v>300</v>
      </c>
      <c r="I672" t="s">
        <v>3077</v>
      </c>
      <c r="J672" t="s">
        <v>2856</v>
      </c>
      <c r="K672" t="s">
        <v>3078</v>
      </c>
      <c r="L672" t="s">
        <v>54</v>
      </c>
    </row>
    <row r="673" spans="1:12">
      <c r="A673">
        <v>709</v>
      </c>
      <c r="B673" t="s">
        <v>3079</v>
      </c>
      <c r="C673" t="s">
        <v>335</v>
      </c>
      <c r="D673" t="s">
        <v>57</v>
      </c>
      <c r="E673" t="s">
        <v>443</v>
      </c>
      <c r="F673" t="s">
        <v>2843</v>
      </c>
      <c r="G673" t="s">
        <v>3080</v>
      </c>
      <c r="H673" t="s">
        <v>300</v>
      </c>
      <c r="I673" t="s">
        <v>3081</v>
      </c>
      <c r="J673" t="s">
        <v>3082</v>
      </c>
      <c r="K673" t="s">
        <v>3083</v>
      </c>
      <c r="L673" t="s">
        <v>21</v>
      </c>
    </row>
    <row r="674" spans="1:12">
      <c r="A674">
        <v>710</v>
      </c>
      <c r="B674" t="s">
        <v>3084</v>
      </c>
      <c r="C674" t="s">
        <v>115</v>
      </c>
      <c r="D674" t="s">
        <v>66</v>
      </c>
      <c r="E674" t="s">
        <v>1084</v>
      </c>
      <c r="F674" t="s">
        <v>2843</v>
      </c>
      <c r="G674" t="s">
        <v>356</v>
      </c>
      <c r="H674" t="s">
        <v>3085</v>
      </c>
      <c r="I674" t="s">
        <v>3086</v>
      </c>
      <c r="J674" t="s">
        <v>3087</v>
      </c>
      <c r="K674" t="s">
        <v>1513</v>
      </c>
      <c r="L674" t="s">
        <v>54</v>
      </c>
    </row>
    <row r="675" spans="1:12">
      <c r="A675">
        <v>711</v>
      </c>
      <c r="B675" t="s">
        <v>3088</v>
      </c>
      <c r="C675" t="s">
        <v>13</v>
      </c>
      <c r="D675" t="s">
        <v>211</v>
      </c>
      <c r="E675" t="s">
        <v>682</v>
      </c>
      <c r="F675" t="s">
        <v>2843</v>
      </c>
      <c r="G675" t="s">
        <v>3089</v>
      </c>
      <c r="H675" t="s">
        <v>1327</v>
      </c>
      <c r="I675" t="s">
        <v>3090</v>
      </c>
      <c r="J675" t="s">
        <v>3091</v>
      </c>
      <c r="K675" t="s">
        <v>3092</v>
      </c>
      <c r="L675" t="s">
        <v>36</v>
      </c>
    </row>
    <row r="676" spans="1:12">
      <c r="A676">
        <v>712</v>
      </c>
      <c r="B676" t="s">
        <v>3093</v>
      </c>
      <c r="C676" t="s">
        <v>2887</v>
      </c>
      <c r="D676" t="s">
        <v>13</v>
      </c>
      <c r="E676" t="s">
        <v>656</v>
      </c>
      <c r="F676" t="s">
        <v>2843</v>
      </c>
      <c r="G676" t="s">
        <v>3094</v>
      </c>
      <c r="H676" t="s">
        <v>3095</v>
      </c>
      <c r="I676" t="s">
        <v>3096</v>
      </c>
      <c r="J676" t="s">
        <v>3097</v>
      </c>
      <c r="K676" t="s">
        <v>3098</v>
      </c>
      <c r="L676" t="s">
        <v>21</v>
      </c>
    </row>
    <row r="677" spans="1:12">
      <c r="A677">
        <v>713</v>
      </c>
      <c r="B677" t="s">
        <v>3099</v>
      </c>
      <c r="C677" t="s">
        <v>82</v>
      </c>
      <c r="D677" t="s">
        <v>100</v>
      </c>
      <c r="E677" t="s">
        <v>682</v>
      </c>
      <c r="F677" t="s">
        <v>2843</v>
      </c>
      <c r="G677" t="s">
        <v>489</v>
      </c>
      <c r="H677" t="s">
        <v>3100</v>
      </c>
      <c r="I677" t="s">
        <v>3101</v>
      </c>
      <c r="J677" t="s">
        <v>345</v>
      </c>
      <c r="K677" t="s">
        <v>3102</v>
      </c>
      <c r="L677" t="s">
        <v>21</v>
      </c>
    </row>
    <row r="678" spans="1:12">
      <c r="A678">
        <v>714</v>
      </c>
      <c r="B678" t="s">
        <v>3103</v>
      </c>
      <c r="C678" t="s">
        <v>335</v>
      </c>
      <c r="D678" t="s">
        <v>47</v>
      </c>
      <c r="E678" t="s">
        <v>3104</v>
      </c>
      <c r="F678" t="s">
        <v>2843</v>
      </c>
      <c r="G678" t="s">
        <v>1532</v>
      </c>
      <c r="H678" t="s">
        <v>3105</v>
      </c>
      <c r="I678" t="s">
        <v>3106</v>
      </c>
      <c r="J678" t="s">
        <v>3107</v>
      </c>
      <c r="K678" t="s">
        <v>3108</v>
      </c>
      <c r="L678" t="s">
        <v>21</v>
      </c>
    </row>
    <row r="679" spans="1:12">
      <c r="A679">
        <v>715</v>
      </c>
      <c r="B679" t="s">
        <v>3109</v>
      </c>
      <c r="C679" t="s">
        <v>2887</v>
      </c>
      <c r="D679" t="s">
        <v>173</v>
      </c>
      <c r="E679" t="s">
        <v>3110</v>
      </c>
      <c r="F679" t="s">
        <v>2843</v>
      </c>
      <c r="G679" t="s">
        <v>313</v>
      </c>
      <c r="H679" t="s">
        <v>3111</v>
      </c>
      <c r="I679" t="s">
        <v>3112</v>
      </c>
      <c r="J679" t="s">
        <v>3113</v>
      </c>
      <c r="K679" t="s">
        <v>3114</v>
      </c>
      <c r="L679" t="s">
        <v>54</v>
      </c>
    </row>
    <row r="680" spans="1:12">
      <c r="A680">
        <v>716</v>
      </c>
      <c r="B680" t="s">
        <v>3115</v>
      </c>
      <c r="C680" t="s">
        <v>2887</v>
      </c>
      <c r="D680" t="s">
        <v>13</v>
      </c>
      <c r="E680" t="s">
        <v>3116</v>
      </c>
      <c r="F680" t="s">
        <v>2843</v>
      </c>
      <c r="G680" t="s">
        <v>356</v>
      </c>
      <c r="H680" t="s">
        <v>3117</v>
      </c>
      <c r="I680" t="s">
        <v>3118</v>
      </c>
      <c r="J680" t="s">
        <v>3119</v>
      </c>
      <c r="K680" t="s">
        <v>3120</v>
      </c>
      <c r="L680" t="s">
        <v>36</v>
      </c>
    </row>
    <row r="681" spans="1:12">
      <c r="A681">
        <v>717</v>
      </c>
      <c r="B681" t="s">
        <v>3121</v>
      </c>
      <c r="C681" t="s">
        <v>165</v>
      </c>
      <c r="D681" t="s">
        <v>267</v>
      </c>
      <c r="E681" t="s">
        <v>3122</v>
      </c>
      <c r="F681" t="s">
        <v>2843</v>
      </c>
      <c r="G681" t="s">
        <v>3123</v>
      </c>
      <c r="H681" t="s">
        <v>3009</v>
      </c>
      <c r="I681" t="s">
        <v>3124</v>
      </c>
      <c r="J681" t="s">
        <v>3125</v>
      </c>
      <c r="K681" t="s">
        <v>3126</v>
      </c>
      <c r="L681" t="s">
        <v>54</v>
      </c>
    </row>
    <row r="682" spans="1:12">
      <c r="A682">
        <v>718</v>
      </c>
      <c r="B682" t="s">
        <v>3127</v>
      </c>
      <c r="C682" t="s">
        <v>2887</v>
      </c>
      <c r="D682" t="s">
        <v>158</v>
      </c>
      <c r="E682" t="s">
        <v>3128</v>
      </c>
      <c r="F682" t="s">
        <v>2843</v>
      </c>
      <c r="G682" t="s">
        <v>31</v>
      </c>
      <c r="H682" t="s">
        <v>2963</v>
      </c>
      <c r="I682" t="s">
        <v>3129</v>
      </c>
      <c r="J682" t="s">
        <v>2894</v>
      </c>
      <c r="K682" t="s">
        <v>3130</v>
      </c>
      <c r="L682" t="s">
        <v>21</v>
      </c>
    </row>
    <row r="683" spans="1:12">
      <c r="A683">
        <v>719</v>
      </c>
      <c r="B683" t="s">
        <v>3131</v>
      </c>
      <c r="C683" t="s">
        <v>2887</v>
      </c>
      <c r="D683" t="s">
        <v>100</v>
      </c>
      <c r="E683" t="s">
        <v>3132</v>
      </c>
      <c r="F683" t="s">
        <v>2843</v>
      </c>
      <c r="G683" t="s">
        <v>356</v>
      </c>
      <c r="H683" t="s">
        <v>3133</v>
      </c>
      <c r="I683" t="s">
        <v>3134</v>
      </c>
      <c r="J683" t="s">
        <v>3135</v>
      </c>
      <c r="K683" t="s">
        <v>3136</v>
      </c>
      <c r="L683" t="s">
        <v>36</v>
      </c>
    </row>
    <row r="684" spans="1:12">
      <c r="A684">
        <v>720</v>
      </c>
      <c r="B684" t="s">
        <v>3137</v>
      </c>
      <c r="C684" t="s">
        <v>2887</v>
      </c>
      <c r="D684" t="s">
        <v>267</v>
      </c>
      <c r="E684" t="s">
        <v>3138</v>
      </c>
      <c r="F684" t="s">
        <v>2843</v>
      </c>
      <c r="G684" t="s">
        <v>2859</v>
      </c>
      <c r="H684" t="s">
        <v>3139</v>
      </c>
      <c r="I684" t="s">
        <v>3140</v>
      </c>
      <c r="J684" t="s">
        <v>3141</v>
      </c>
      <c r="K684" t="s">
        <v>3142</v>
      </c>
      <c r="L684" t="s">
        <v>36</v>
      </c>
    </row>
    <row r="685" spans="1:12">
      <c r="A685">
        <v>721</v>
      </c>
      <c r="B685" t="s">
        <v>3143</v>
      </c>
      <c r="C685" t="s">
        <v>2887</v>
      </c>
      <c r="D685" t="s">
        <v>13</v>
      </c>
      <c r="E685" t="s">
        <v>1525</v>
      </c>
      <c r="F685" t="s">
        <v>2843</v>
      </c>
      <c r="G685" t="s">
        <v>3144</v>
      </c>
      <c r="H685" t="s">
        <v>3145</v>
      </c>
      <c r="I685" t="s">
        <v>3146</v>
      </c>
      <c r="J685" t="s">
        <v>3147</v>
      </c>
      <c r="K685" t="s">
        <v>3148</v>
      </c>
      <c r="L685" t="s">
        <v>54</v>
      </c>
    </row>
    <row r="686" spans="1:12">
      <c r="A686">
        <v>722</v>
      </c>
      <c r="B686" t="s">
        <v>3149</v>
      </c>
      <c r="C686" t="s">
        <v>2887</v>
      </c>
      <c r="D686" t="s">
        <v>286</v>
      </c>
      <c r="E686" t="s">
        <v>800</v>
      </c>
      <c r="F686" t="s">
        <v>2843</v>
      </c>
      <c r="G686" t="s">
        <v>2859</v>
      </c>
      <c r="H686" t="s">
        <v>1359</v>
      </c>
      <c r="I686" t="s">
        <v>3150</v>
      </c>
      <c r="J686" t="s">
        <v>3151</v>
      </c>
      <c r="K686" t="s">
        <v>3152</v>
      </c>
      <c r="L686" t="s">
        <v>36</v>
      </c>
    </row>
    <row r="687" spans="1:12">
      <c r="A687">
        <v>723</v>
      </c>
      <c r="B687" t="s">
        <v>3153</v>
      </c>
      <c r="C687" t="s">
        <v>246</v>
      </c>
      <c r="D687" t="s">
        <v>47</v>
      </c>
      <c r="E687" t="s">
        <v>1469</v>
      </c>
      <c r="F687" t="s">
        <v>2843</v>
      </c>
      <c r="G687" t="s">
        <v>2859</v>
      </c>
      <c r="H687" t="s">
        <v>3154</v>
      </c>
      <c r="I687" t="s">
        <v>3155</v>
      </c>
      <c r="J687" t="s">
        <v>3141</v>
      </c>
      <c r="K687" t="s">
        <v>3156</v>
      </c>
      <c r="L687" t="s">
        <v>54</v>
      </c>
    </row>
    <row r="688" spans="1:12">
      <c r="A688">
        <v>724</v>
      </c>
      <c r="B688" t="s">
        <v>3157</v>
      </c>
      <c r="C688" t="s">
        <v>246</v>
      </c>
      <c r="D688" t="s">
        <v>267</v>
      </c>
      <c r="E688" t="s">
        <v>1692</v>
      </c>
      <c r="F688" t="s">
        <v>2843</v>
      </c>
      <c r="G688" t="s">
        <v>2849</v>
      </c>
      <c r="H688" t="s">
        <v>3158</v>
      </c>
      <c r="I688" t="s">
        <v>3159</v>
      </c>
      <c r="J688" t="s">
        <v>2852</v>
      </c>
      <c r="K688" t="s">
        <v>3160</v>
      </c>
      <c r="L688" t="s">
        <v>21</v>
      </c>
    </row>
    <row r="689" spans="1:12">
      <c r="A689">
        <v>725</v>
      </c>
      <c r="B689" t="s">
        <v>3161</v>
      </c>
      <c r="C689" t="s">
        <v>2887</v>
      </c>
      <c r="D689" t="s">
        <v>13</v>
      </c>
      <c r="E689" t="s">
        <v>2519</v>
      </c>
      <c r="F689" t="s">
        <v>2843</v>
      </c>
      <c r="G689" t="s">
        <v>3162</v>
      </c>
      <c r="H689" t="s">
        <v>2854</v>
      </c>
      <c r="I689" t="s">
        <v>3163</v>
      </c>
      <c r="J689" t="s">
        <v>3164</v>
      </c>
      <c r="K689" t="s">
        <v>3165</v>
      </c>
      <c r="L689" t="s">
        <v>36</v>
      </c>
    </row>
    <row r="690" spans="1:12">
      <c r="A690">
        <v>726</v>
      </c>
      <c r="B690" t="s">
        <v>3166</v>
      </c>
      <c r="C690" t="s">
        <v>2887</v>
      </c>
      <c r="D690" t="s">
        <v>13</v>
      </c>
      <c r="E690" t="s">
        <v>3167</v>
      </c>
      <c r="F690" t="s">
        <v>2843</v>
      </c>
      <c r="G690" t="s">
        <v>3168</v>
      </c>
      <c r="H690" t="s">
        <v>300</v>
      </c>
      <c r="I690" t="s">
        <v>3169</v>
      </c>
      <c r="J690" t="s">
        <v>2856</v>
      </c>
      <c r="K690" t="s">
        <v>3170</v>
      </c>
      <c r="L690" t="s">
        <v>36</v>
      </c>
    </row>
    <row r="691" spans="1:12">
      <c r="A691">
        <v>727</v>
      </c>
      <c r="B691" t="s">
        <v>3171</v>
      </c>
      <c r="C691" t="s">
        <v>46</v>
      </c>
      <c r="D691" t="s">
        <v>211</v>
      </c>
      <c r="E691" t="s">
        <v>1692</v>
      </c>
      <c r="F691" t="s">
        <v>3172</v>
      </c>
      <c r="G691" t="s">
        <v>31</v>
      </c>
      <c r="H691" t="s">
        <v>3173</v>
      </c>
      <c r="I691" t="s">
        <v>3174</v>
      </c>
      <c r="J691" t="s">
        <v>3175</v>
      </c>
      <c r="K691" t="s">
        <v>3176</v>
      </c>
      <c r="L691" t="s">
        <v>21</v>
      </c>
    </row>
    <row r="692" spans="1:12">
      <c r="A692">
        <v>728</v>
      </c>
      <c r="B692" t="s">
        <v>3177</v>
      </c>
      <c r="C692" t="s">
        <v>115</v>
      </c>
      <c r="D692" t="s">
        <v>83</v>
      </c>
      <c r="E692" t="s">
        <v>363</v>
      </c>
      <c r="F692" t="s">
        <v>3172</v>
      </c>
      <c r="G692" t="s">
        <v>175</v>
      </c>
      <c r="H692" t="s">
        <v>300</v>
      </c>
      <c r="I692" t="s">
        <v>3178</v>
      </c>
      <c r="J692" t="s">
        <v>3179</v>
      </c>
      <c r="K692" t="s">
        <v>3180</v>
      </c>
      <c r="L692" t="s">
        <v>21</v>
      </c>
    </row>
    <row r="693" spans="1:12">
      <c r="A693">
        <v>729</v>
      </c>
      <c r="B693" t="s">
        <v>3181</v>
      </c>
      <c r="C693" t="s">
        <v>240</v>
      </c>
      <c r="D693" t="s">
        <v>39</v>
      </c>
      <c r="E693" t="s">
        <v>1066</v>
      </c>
      <c r="F693" t="s">
        <v>3172</v>
      </c>
      <c r="G693" t="s">
        <v>356</v>
      </c>
      <c r="H693" t="s">
        <v>3182</v>
      </c>
      <c r="I693" t="s">
        <v>3183</v>
      </c>
      <c r="J693" t="s">
        <v>3184</v>
      </c>
      <c r="K693" t="s">
        <v>3185</v>
      </c>
      <c r="L693" t="s">
        <v>21</v>
      </c>
    </row>
    <row r="694" spans="1:12">
      <c r="A694">
        <v>730</v>
      </c>
      <c r="B694" t="s">
        <v>3186</v>
      </c>
      <c r="C694" t="s">
        <v>522</v>
      </c>
      <c r="D694" t="s">
        <v>211</v>
      </c>
      <c r="E694" t="s">
        <v>1099</v>
      </c>
      <c r="F694" t="s">
        <v>3172</v>
      </c>
      <c r="G694" t="s">
        <v>3187</v>
      </c>
      <c r="H694" t="s">
        <v>3188</v>
      </c>
      <c r="I694" t="s">
        <v>3189</v>
      </c>
      <c r="J694" t="s">
        <v>3190</v>
      </c>
      <c r="K694" t="s">
        <v>3191</v>
      </c>
      <c r="L694" t="s">
        <v>21</v>
      </c>
    </row>
    <row r="695" spans="1:12">
      <c r="A695">
        <v>731</v>
      </c>
      <c r="B695" t="s">
        <v>3192</v>
      </c>
      <c r="C695" t="s">
        <v>251</v>
      </c>
      <c r="D695" t="s">
        <v>267</v>
      </c>
      <c r="E695" t="s">
        <v>947</v>
      </c>
      <c r="F695" t="s">
        <v>3172</v>
      </c>
      <c r="G695" t="s">
        <v>31</v>
      </c>
      <c r="H695" t="s">
        <v>3193</v>
      </c>
      <c r="I695" t="s">
        <v>3194</v>
      </c>
      <c r="J695" t="s">
        <v>3195</v>
      </c>
      <c r="K695" t="s">
        <v>3196</v>
      </c>
      <c r="L695" t="s">
        <v>21</v>
      </c>
    </row>
    <row r="696" spans="1:12">
      <c r="A696">
        <v>732</v>
      </c>
      <c r="B696" t="s">
        <v>3197</v>
      </c>
      <c r="C696" t="s">
        <v>56</v>
      </c>
      <c r="D696" t="s">
        <v>173</v>
      </c>
      <c r="E696" t="s">
        <v>2326</v>
      </c>
      <c r="F696" t="s">
        <v>3172</v>
      </c>
      <c r="G696" t="s">
        <v>1244</v>
      </c>
      <c r="H696" t="s">
        <v>3173</v>
      </c>
      <c r="I696" t="s">
        <v>3198</v>
      </c>
      <c r="J696" t="s">
        <v>3175</v>
      </c>
      <c r="K696" t="s">
        <v>3199</v>
      </c>
      <c r="L696" t="s">
        <v>21</v>
      </c>
    </row>
    <row r="697" spans="1:12">
      <c r="A697">
        <v>733</v>
      </c>
      <c r="B697" t="s">
        <v>3200</v>
      </c>
      <c r="C697" t="s">
        <v>240</v>
      </c>
      <c r="D697" t="s">
        <v>286</v>
      </c>
      <c r="E697" t="s">
        <v>449</v>
      </c>
      <c r="F697" t="s">
        <v>3172</v>
      </c>
      <c r="G697" t="s">
        <v>2859</v>
      </c>
      <c r="H697" t="s">
        <v>300</v>
      </c>
      <c r="I697" t="s">
        <v>3201</v>
      </c>
      <c r="J697" t="s">
        <v>3202</v>
      </c>
      <c r="K697" t="s">
        <v>3203</v>
      </c>
      <c r="L697" t="s">
        <v>21</v>
      </c>
    </row>
    <row r="698" spans="1:12">
      <c r="A698">
        <v>734</v>
      </c>
      <c r="B698" t="s">
        <v>3204</v>
      </c>
      <c r="C698" t="s">
        <v>1129</v>
      </c>
      <c r="D698" t="s">
        <v>39</v>
      </c>
      <c r="E698" t="s">
        <v>741</v>
      </c>
      <c r="F698" t="s">
        <v>3172</v>
      </c>
      <c r="G698" t="s">
        <v>2859</v>
      </c>
      <c r="H698" t="s">
        <v>3173</v>
      </c>
      <c r="I698" t="s">
        <v>3205</v>
      </c>
      <c r="J698" t="s">
        <v>3175</v>
      </c>
      <c r="K698" t="s">
        <v>3206</v>
      </c>
      <c r="L698" t="s">
        <v>21</v>
      </c>
    </row>
    <row r="699" spans="1:12">
      <c r="A699">
        <v>735</v>
      </c>
      <c r="B699" t="s">
        <v>3207</v>
      </c>
      <c r="C699" t="s">
        <v>74</v>
      </c>
      <c r="D699" t="s">
        <v>211</v>
      </c>
      <c r="E699" t="s">
        <v>627</v>
      </c>
      <c r="F699" t="s">
        <v>3172</v>
      </c>
      <c r="G699" t="s">
        <v>1768</v>
      </c>
      <c r="H699" t="s">
        <v>3208</v>
      </c>
      <c r="I699" t="s">
        <v>3209</v>
      </c>
      <c r="J699" t="s">
        <v>3210</v>
      </c>
      <c r="K699" t="s">
        <v>3211</v>
      </c>
      <c r="L699" t="s">
        <v>54</v>
      </c>
    </row>
    <row r="700" spans="1:12">
      <c r="A700">
        <v>736</v>
      </c>
      <c r="B700" t="s">
        <v>3212</v>
      </c>
      <c r="C700" t="s">
        <v>1129</v>
      </c>
      <c r="D700" t="s">
        <v>66</v>
      </c>
      <c r="E700" t="s">
        <v>893</v>
      </c>
      <c r="F700" t="s">
        <v>3172</v>
      </c>
      <c r="G700" t="s">
        <v>1463</v>
      </c>
      <c r="H700" t="s">
        <v>3173</v>
      </c>
      <c r="I700" t="s">
        <v>3213</v>
      </c>
      <c r="J700" t="s">
        <v>3214</v>
      </c>
      <c r="K700" t="s">
        <v>3215</v>
      </c>
      <c r="L700" t="s">
        <v>36</v>
      </c>
    </row>
    <row r="701" spans="1:12">
      <c r="A701">
        <v>737</v>
      </c>
      <c r="B701" t="s">
        <v>3216</v>
      </c>
      <c r="C701" t="s">
        <v>74</v>
      </c>
      <c r="D701" t="s">
        <v>100</v>
      </c>
      <c r="E701" t="s">
        <v>84</v>
      </c>
      <c r="F701" t="s">
        <v>3172</v>
      </c>
      <c r="G701" t="s">
        <v>3217</v>
      </c>
      <c r="H701" t="s">
        <v>3173</v>
      </c>
      <c r="I701" t="s">
        <v>3218</v>
      </c>
      <c r="J701" t="s">
        <v>3219</v>
      </c>
      <c r="K701" t="s">
        <v>3220</v>
      </c>
      <c r="L701" t="s">
        <v>21</v>
      </c>
    </row>
    <row r="702" spans="1:12">
      <c r="A702">
        <v>738</v>
      </c>
      <c r="B702" t="s">
        <v>3221</v>
      </c>
      <c r="C702" t="s">
        <v>353</v>
      </c>
      <c r="D702" t="s">
        <v>173</v>
      </c>
      <c r="E702" t="s">
        <v>623</v>
      </c>
      <c r="F702" t="s">
        <v>3172</v>
      </c>
      <c r="G702" t="s">
        <v>273</v>
      </c>
      <c r="H702" t="s">
        <v>3222</v>
      </c>
      <c r="I702" t="s">
        <v>3223</v>
      </c>
      <c r="J702" t="s">
        <v>3224</v>
      </c>
      <c r="K702" t="s">
        <v>3225</v>
      </c>
      <c r="L702" t="s">
        <v>21</v>
      </c>
    </row>
    <row r="703" spans="1:12">
      <c r="A703">
        <v>739</v>
      </c>
      <c r="B703" t="s">
        <v>3226</v>
      </c>
      <c r="C703" t="s">
        <v>91</v>
      </c>
      <c r="D703" t="s">
        <v>211</v>
      </c>
      <c r="E703" t="s">
        <v>144</v>
      </c>
      <c r="F703" t="s">
        <v>3172</v>
      </c>
      <c r="G703" t="s">
        <v>2859</v>
      </c>
      <c r="H703" t="s">
        <v>300</v>
      </c>
      <c r="I703" t="s">
        <v>3227</v>
      </c>
      <c r="J703" t="s">
        <v>323</v>
      </c>
      <c r="K703" t="s">
        <v>3228</v>
      </c>
      <c r="L703" t="s">
        <v>21</v>
      </c>
    </row>
    <row r="704" spans="1:12">
      <c r="A704">
        <v>740</v>
      </c>
      <c r="B704" t="s">
        <v>3229</v>
      </c>
      <c r="C704" t="s">
        <v>1129</v>
      </c>
      <c r="D704" t="s">
        <v>158</v>
      </c>
      <c r="E704" t="s">
        <v>174</v>
      </c>
      <c r="F704" t="s">
        <v>3172</v>
      </c>
      <c r="G704" t="s">
        <v>2859</v>
      </c>
      <c r="H704" t="s">
        <v>300</v>
      </c>
      <c r="I704" t="s">
        <v>3230</v>
      </c>
      <c r="J704" t="s">
        <v>3231</v>
      </c>
      <c r="K704" t="s">
        <v>3232</v>
      </c>
      <c r="L704" t="s">
        <v>21</v>
      </c>
    </row>
    <row r="705" spans="1:12">
      <c r="A705">
        <v>741</v>
      </c>
      <c r="B705" t="s">
        <v>3233</v>
      </c>
      <c r="C705" t="s">
        <v>298</v>
      </c>
      <c r="D705" t="s">
        <v>66</v>
      </c>
      <c r="E705" t="s">
        <v>341</v>
      </c>
      <c r="F705" t="s">
        <v>3172</v>
      </c>
      <c r="G705" t="s">
        <v>3217</v>
      </c>
      <c r="H705" t="s">
        <v>300</v>
      </c>
      <c r="I705" t="s">
        <v>3234</v>
      </c>
      <c r="J705" t="s">
        <v>3219</v>
      </c>
      <c r="K705" t="s">
        <v>3232</v>
      </c>
      <c r="L705" t="s">
        <v>3235</v>
      </c>
    </row>
    <row r="706" spans="1:12">
      <c r="A706">
        <v>742</v>
      </c>
      <c r="B706" t="s">
        <v>3236</v>
      </c>
      <c r="C706" t="s">
        <v>46</v>
      </c>
      <c r="D706" t="s">
        <v>47</v>
      </c>
      <c r="E706" t="s">
        <v>299</v>
      </c>
      <c r="F706" t="s">
        <v>3172</v>
      </c>
      <c r="G706" t="s">
        <v>280</v>
      </c>
      <c r="H706" t="s">
        <v>3237</v>
      </c>
      <c r="I706" t="s">
        <v>3238</v>
      </c>
      <c r="J706" t="s">
        <v>3239</v>
      </c>
      <c r="K706" t="s">
        <v>13</v>
      </c>
      <c r="L706" t="s">
        <v>54</v>
      </c>
    </row>
    <row r="707" spans="1:12">
      <c r="A707">
        <v>743</v>
      </c>
      <c r="B707" t="s">
        <v>3240</v>
      </c>
      <c r="C707" t="s">
        <v>46</v>
      </c>
      <c r="D707" t="s">
        <v>39</v>
      </c>
      <c r="E707" t="s">
        <v>137</v>
      </c>
      <c r="F707" t="s">
        <v>3172</v>
      </c>
      <c r="G707" t="s">
        <v>31</v>
      </c>
      <c r="H707" t="s">
        <v>3241</v>
      </c>
      <c r="I707" t="s">
        <v>3242</v>
      </c>
      <c r="J707" t="s">
        <v>3243</v>
      </c>
      <c r="K707" t="s">
        <v>3244</v>
      </c>
      <c r="L707" t="s">
        <v>21</v>
      </c>
    </row>
    <row r="708" spans="1:12">
      <c r="A708">
        <v>744</v>
      </c>
      <c r="B708" t="s">
        <v>3245</v>
      </c>
      <c r="C708" t="s">
        <v>246</v>
      </c>
      <c r="D708" t="s">
        <v>158</v>
      </c>
      <c r="E708" t="s">
        <v>1409</v>
      </c>
      <c r="F708" t="s">
        <v>3172</v>
      </c>
      <c r="G708" t="s">
        <v>31</v>
      </c>
      <c r="H708" t="s">
        <v>3246</v>
      </c>
      <c r="I708" t="s">
        <v>3247</v>
      </c>
      <c r="J708" t="s">
        <v>3248</v>
      </c>
      <c r="K708" t="s">
        <v>3249</v>
      </c>
      <c r="L708" t="s">
        <v>54</v>
      </c>
    </row>
    <row r="709" spans="1:12">
      <c r="A709">
        <v>745</v>
      </c>
      <c r="B709" t="s">
        <v>3250</v>
      </c>
      <c r="C709" t="s">
        <v>82</v>
      </c>
      <c r="D709" t="s">
        <v>158</v>
      </c>
      <c r="E709" t="s">
        <v>893</v>
      </c>
      <c r="F709" t="s">
        <v>3172</v>
      </c>
      <c r="G709" t="s">
        <v>31</v>
      </c>
      <c r="H709" t="s">
        <v>300</v>
      </c>
      <c r="I709" t="s">
        <v>3251</v>
      </c>
      <c r="J709" t="s">
        <v>3202</v>
      </c>
      <c r="K709" t="s">
        <v>3252</v>
      </c>
      <c r="L709" t="s">
        <v>54</v>
      </c>
    </row>
    <row r="710" spans="1:12">
      <c r="A710">
        <v>746</v>
      </c>
      <c r="B710" t="s">
        <v>3253</v>
      </c>
      <c r="C710" t="s">
        <v>2887</v>
      </c>
      <c r="D710" t="s">
        <v>13</v>
      </c>
      <c r="E710" t="s">
        <v>3037</v>
      </c>
      <c r="F710" t="s">
        <v>3172</v>
      </c>
      <c r="G710" t="s">
        <v>31</v>
      </c>
      <c r="H710" t="s">
        <v>3254</v>
      </c>
      <c r="I710" t="s">
        <v>3255</v>
      </c>
      <c r="J710" t="s">
        <v>3256</v>
      </c>
      <c r="K710" t="s">
        <v>3257</v>
      </c>
      <c r="L710" t="s">
        <v>36</v>
      </c>
    </row>
    <row r="711" spans="1:12">
      <c r="A711">
        <v>747</v>
      </c>
      <c r="B711" t="s">
        <v>3258</v>
      </c>
      <c r="C711" t="s">
        <v>2887</v>
      </c>
      <c r="D711" t="s">
        <v>13</v>
      </c>
      <c r="E711" t="s">
        <v>3259</v>
      </c>
      <c r="F711" t="s">
        <v>3172</v>
      </c>
      <c r="G711" t="s">
        <v>1463</v>
      </c>
      <c r="H711" t="s">
        <v>3260</v>
      </c>
      <c r="I711" t="s">
        <v>3261</v>
      </c>
      <c r="J711" t="s">
        <v>3262</v>
      </c>
      <c r="K711" t="s">
        <v>13</v>
      </c>
      <c r="L711" t="s">
        <v>21</v>
      </c>
    </row>
    <row r="712" spans="1:12">
      <c r="A712">
        <v>748</v>
      </c>
      <c r="B712" t="s">
        <v>3263</v>
      </c>
      <c r="C712" t="s">
        <v>321</v>
      </c>
      <c r="D712" t="s">
        <v>66</v>
      </c>
      <c r="E712" t="s">
        <v>1066</v>
      </c>
      <c r="F712" t="s">
        <v>3172</v>
      </c>
      <c r="G712" t="s">
        <v>3264</v>
      </c>
      <c r="H712" t="s">
        <v>3265</v>
      </c>
      <c r="I712" t="s">
        <v>3266</v>
      </c>
      <c r="J712" t="s">
        <v>3267</v>
      </c>
      <c r="K712" t="s">
        <v>13</v>
      </c>
      <c r="L712" t="s">
        <v>54</v>
      </c>
    </row>
    <row r="713" spans="1:12">
      <c r="A713">
        <v>749</v>
      </c>
      <c r="B713" t="s">
        <v>3268</v>
      </c>
      <c r="C713" t="s">
        <v>2887</v>
      </c>
      <c r="D713" t="s">
        <v>13</v>
      </c>
      <c r="E713" t="s">
        <v>411</v>
      </c>
      <c r="F713" t="s">
        <v>3172</v>
      </c>
      <c r="G713" t="s">
        <v>3269</v>
      </c>
      <c r="H713" t="s">
        <v>3270</v>
      </c>
      <c r="I713" t="s">
        <v>3271</v>
      </c>
      <c r="J713" t="s">
        <v>3272</v>
      </c>
      <c r="K713" t="s">
        <v>3273</v>
      </c>
      <c r="L713" t="s">
        <v>54</v>
      </c>
    </row>
    <row r="714" spans="1:12">
      <c r="A714">
        <v>750</v>
      </c>
      <c r="B714" t="s">
        <v>3274</v>
      </c>
      <c r="C714" t="s">
        <v>224</v>
      </c>
      <c r="D714" t="s">
        <v>173</v>
      </c>
      <c r="E714" t="s">
        <v>58</v>
      </c>
      <c r="F714" t="s">
        <v>3172</v>
      </c>
      <c r="G714" t="s">
        <v>1463</v>
      </c>
      <c r="H714" t="s">
        <v>3275</v>
      </c>
      <c r="I714" t="s">
        <v>3276</v>
      </c>
      <c r="J714" t="s">
        <v>3277</v>
      </c>
      <c r="K714" t="s">
        <v>3278</v>
      </c>
      <c r="L714" t="s">
        <v>21</v>
      </c>
    </row>
    <row r="715" spans="1:12">
      <c r="A715">
        <v>751</v>
      </c>
      <c r="B715" t="s">
        <v>3279</v>
      </c>
      <c r="C715" t="s">
        <v>195</v>
      </c>
      <c r="D715" t="s">
        <v>83</v>
      </c>
      <c r="E715" t="s">
        <v>2184</v>
      </c>
      <c r="F715" t="s">
        <v>3172</v>
      </c>
      <c r="G715" t="s">
        <v>31</v>
      </c>
      <c r="H715" t="s">
        <v>3280</v>
      </c>
      <c r="I715" t="s">
        <v>3281</v>
      </c>
      <c r="J715" t="s">
        <v>3175</v>
      </c>
      <c r="K715" t="s">
        <v>3282</v>
      </c>
      <c r="L715" t="s">
        <v>21</v>
      </c>
    </row>
    <row r="716" spans="1:12">
      <c r="A716">
        <v>752</v>
      </c>
      <c r="B716" t="s">
        <v>3283</v>
      </c>
      <c r="C716" t="s">
        <v>74</v>
      </c>
      <c r="D716" t="s">
        <v>66</v>
      </c>
      <c r="E716" t="s">
        <v>732</v>
      </c>
      <c r="F716" t="s">
        <v>3172</v>
      </c>
      <c r="G716" t="s">
        <v>2859</v>
      </c>
      <c r="H716" t="s">
        <v>3280</v>
      </c>
      <c r="I716" t="s">
        <v>3284</v>
      </c>
      <c r="J716" t="s">
        <v>3175</v>
      </c>
      <c r="K716" t="s">
        <v>1681</v>
      </c>
      <c r="L716" t="s">
        <v>21</v>
      </c>
    </row>
    <row r="717" spans="1:12">
      <c r="A717">
        <v>753</v>
      </c>
      <c r="B717" t="s">
        <v>3285</v>
      </c>
      <c r="C717" t="s">
        <v>2887</v>
      </c>
      <c r="D717" t="s">
        <v>13</v>
      </c>
      <c r="E717" t="s">
        <v>3286</v>
      </c>
      <c r="F717" t="s">
        <v>3172</v>
      </c>
      <c r="G717" t="s">
        <v>31</v>
      </c>
      <c r="H717" t="s">
        <v>300</v>
      </c>
      <c r="I717" t="s">
        <v>3287</v>
      </c>
      <c r="J717" t="s">
        <v>3202</v>
      </c>
      <c r="K717" t="s">
        <v>3288</v>
      </c>
      <c r="L717" t="s">
        <v>54</v>
      </c>
    </row>
    <row r="718" spans="1:12">
      <c r="A718">
        <v>754</v>
      </c>
      <c r="B718" t="s">
        <v>3186</v>
      </c>
      <c r="C718" t="s">
        <v>522</v>
      </c>
      <c r="D718" t="s">
        <v>211</v>
      </c>
      <c r="E718" t="s">
        <v>1099</v>
      </c>
      <c r="F718" t="s">
        <v>3172</v>
      </c>
      <c r="G718" t="s">
        <v>3187</v>
      </c>
      <c r="H718" t="s">
        <v>3188</v>
      </c>
      <c r="I718" t="s">
        <v>3289</v>
      </c>
      <c r="J718" t="s">
        <v>3190</v>
      </c>
      <c r="K718" t="s">
        <v>3191</v>
      </c>
      <c r="L718" t="s">
        <v>21</v>
      </c>
    </row>
    <row r="719" spans="1:12">
      <c r="A719">
        <v>755</v>
      </c>
      <c r="B719" t="s">
        <v>3290</v>
      </c>
      <c r="C719" t="s">
        <v>251</v>
      </c>
      <c r="D719" t="s">
        <v>267</v>
      </c>
      <c r="E719" t="s">
        <v>947</v>
      </c>
      <c r="F719" t="s">
        <v>3172</v>
      </c>
      <c r="G719" t="s">
        <v>31</v>
      </c>
      <c r="H719" t="s">
        <v>3193</v>
      </c>
      <c r="I719" t="s">
        <v>3291</v>
      </c>
      <c r="J719" t="s">
        <v>3195</v>
      </c>
      <c r="K719" t="s">
        <v>3196</v>
      </c>
      <c r="L719" t="s">
        <v>21</v>
      </c>
    </row>
    <row r="720" spans="1:12">
      <c r="A720">
        <v>756</v>
      </c>
      <c r="B720" t="s">
        <v>3292</v>
      </c>
      <c r="C720" t="s">
        <v>56</v>
      </c>
      <c r="D720" t="s">
        <v>173</v>
      </c>
      <c r="E720" t="s">
        <v>2326</v>
      </c>
      <c r="F720" t="s">
        <v>3172</v>
      </c>
      <c r="G720" t="s">
        <v>1244</v>
      </c>
      <c r="H720" t="s">
        <v>3173</v>
      </c>
      <c r="I720" t="s">
        <v>3293</v>
      </c>
      <c r="J720" t="s">
        <v>3175</v>
      </c>
      <c r="K720" t="s">
        <v>3199</v>
      </c>
      <c r="L720" t="s">
        <v>21</v>
      </c>
    </row>
    <row r="721" spans="1:12">
      <c r="A721">
        <v>757</v>
      </c>
      <c r="B721" t="s">
        <v>3200</v>
      </c>
      <c r="C721" t="s">
        <v>240</v>
      </c>
      <c r="D721" t="s">
        <v>286</v>
      </c>
      <c r="E721" t="s">
        <v>449</v>
      </c>
      <c r="F721" t="s">
        <v>3172</v>
      </c>
      <c r="G721" t="s">
        <v>2859</v>
      </c>
      <c r="H721" t="s">
        <v>300</v>
      </c>
      <c r="I721" t="s">
        <v>3294</v>
      </c>
      <c r="J721" t="s">
        <v>3202</v>
      </c>
      <c r="K721" t="s">
        <v>3203</v>
      </c>
      <c r="L721" t="s">
        <v>21</v>
      </c>
    </row>
    <row r="722" spans="1:12">
      <c r="A722">
        <v>758</v>
      </c>
      <c r="B722" t="s">
        <v>3295</v>
      </c>
      <c r="C722" t="s">
        <v>1129</v>
      </c>
      <c r="D722" t="s">
        <v>39</v>
      </c>
      <c r="E722" t="s">
        <v>741</v>
      </c>
      <c r="F722" t="s">
        <v>3172</v>
      </c>
      <c r="G722" t="s">
        <v>2859</v>
      </c>
      <c r="H722" t="s">
        <v>3173</v>
      </c>
      <c r="I722" t="s">
        <v>3296</v>
      </c>
      <c r="J722" t="s">
        <v>3175</v>
      </c>
      <c r="K722" t="s">
        <v>3206</v>
      </c>
      <c r="L722" t="s">
        <v>21</v>
      </c>
    </row>
    <row r="723" spans="1:12">
      <c r="A723">
        <v>759</v>
      </c>
      <c r="B723" t="s">
        <v>3240</v>
      </c>
      <c r="C723" t="s">
        <v>46</v>
      </c>
      <c r="D723" t="s">
        <v>39</v>
      </c>
      <c r="E723" t="s">
        <v>137</v>
      </c>
      <c r="F723" t="s">
        <v>3172</v>
      </c>
      <c r="G723" t="s">
        <v>31</v>
      </c>
      <c r="H723" t="s">
        <v>3241</v>
      </c>
      <c r="I723" t="s">
        <v>3297</v>
      </c>
      <c r="J723" t="s">
        <v>3243</v>
      </c>
      <c r="K723" t="s">
        <v>3273</v>
      </c>
      <c r="L723" t="s">
        <v>21</v>
      </c>
    </row>
    <row r="724" spans="1:12">
      <c r="A724">
        <v>760</v>
      </c>
      <c r="B724" t="s">
        <v>3298</v>
      </c>
      <c r="C724" t="s">
        <v>56</v>
      </c>
      <c r="D724" t="s">
        <v>100</v>
      </c>
      <c r="E724" t="s">
        <v>3299</v>
      </c>
      <c r="F724" t="s">
        <v>400</v>
      </c>
      <c r="G724" t="s">
        <v>313</v>
      </c>
      <c r="H724" t="s">
        <v>3300</v>
      </c>
      <c r="I724" t="s">
        <v>3301</v>
      </c>
      <c r="J724" t="s">
        <v>3302</v>
      </c>
      <c r="K724" t="s">
        <v>3303</v>
      </c>
      <c r="L724" t="s">
        <v>21</v>
      </c>
    </row>
    <row r="725" spans="1:12">
      <c r="A725">
        <v>761</v>
      </c>
      <c r="B725" t="s">
        <v>3304</v>
      </c>
      <c r="C725" t="s">
        <v>13</v>
      </c>
      <c r="D725" t="s">
        <v>267</v>
      </c>
      <c r="E725" t="s">
        <v>3305</v>
      </c>
      <c r="F725" t="s">
        <v>400</v>
      </c>
      <c r="G725" t="s">
        <v>3306</v>
      </c>
      <c r="H725" t="s">
        <v>402</v>
      </c>
      <c r="I725" t="s">
        <v>3307</v>
      </c>
      <c r="J725" t="s">
        <v>3308</v>
      </c>
      <c r="K725" t="s">
        <v>3309</v>
      </c>
      <c r="L725" t="s">
        <v>21</v>
      </c>
    </row>
    <row r="726" spans="1:12">
      <c r="A726">
        <v>762</v>
      </c>
      <c r="B726" t="s">
        <v>3310</v>
      </c>
      <c r="C726" t="s">
        <v>298</v>
      </c>
      <c r="D726" t="s">
        <v>57</v>
      </c>
      <c r="E726" t="s">
        <v>3311</v>
      </c>
      <c r="F726" t="s">
        <v>400</v>
      </c>
      <c r="G726" t="s">
        <v>356</v>
      </c>
      <c r="H726" t="s">
        <v>3312</v>
      </c>
      <c r="I726" t="s">
        <v>3313</v>
      </c>
      <c r="J726" t="s">
        <v>3308</v>
      </c>
      <c r="K726" t="s">
        <v>3314</v>
      </c>
      <c r="L726" t="s">
        <v>21</v>
      </c>
    </row>
    <row r="727" spans="1:12">
      <c r="A727">
        <v>763</v>
      </c>
      <c r="B727" t="s">
        <v>3315</v>
      </c>
      <c r="C727" t="s">
        <v>218</v>
      </c>
      <c r="D727" t="s">
        <v>267</v>
      </c>
      <c r="E727" t="s">
        <v>1293</v>
      </c>
      <c r="F727" t="s">
        <v>400</v>
      </c>
      <c r="G727" t="s">
        <v>31</v>
      </c>
      <c r="H727" t="s">
        <v>402</v>
      </c>
      <c r="I727" t="s">
        <v>3316</v>
      </c>
      <c r="J727" t="s">
        <v>3317</v>
      </c>
      <c r="K727" t="s">
        <v>3318</v>
      </c>
      <c r="L727" t="s">
        <v>21</v>
      </c>
    </row>
    <row r="728" spans="1:12">
      <c r="A728">
        <v>764</v>
      </c>
      <c r="B728" t="s">
        <v>3319</v>
      </c>
      <c r="C728" t="s">
        <v>325</v>
      </c>
      <c r="D728" t="s">
        <v>57</v>
      </c>
      <c r="E728" t="s">
        <v>3320</v>
      </c>
      <c r="F728" t="s">
        <v>400</v>
      </c>
      <c r="G728" t="s">
        <v>801</v>
      </c>
      <c r="H728" t="s">
        <v>3321</v>
      </c>
      <c r="I728" t="s">
        <v>3322</v>
      </c>
      <c r="J728" t="s">
        <v>3308</v>
      </c>
      <c r="K728" t="s">
        <v>3323</v>
      </c>
      <c r="L728" t="s">
        <v>36</v>
      </c>
    </row>
    <row r="729" spans="1:12">
      <c r="A729">
        <v>765</v>
      </c>
      <c r="B729" t="s">
        <v>3324</v>
      </c>
      <c r="C729" t="s">
        <v>633</v>
      </c>
      <c r="D729" t="s">
        <v>47</v>
      </c>
      <c r="E729" t="s">
        <v>3325</v>
      </c>
      <c r="F729" t="s">
        <v>400</v>
      </c>
      <c r="G729" t="s">
        <v>31</v>
      </c>
      <c r="H729" t="s">
        <v>402</v>
      </c>
      <c r="I729" t="s">
        <v>3326</v>
      </c>
      <c r="J729" t="s">
        <v>3308</v>
      </c>
      <c r="K729" t="s">
        <v>3327</v>
      </c>
      <c r="L729" t="s">
        <v>21</v>
      </c>
    </row>
    <row r="730" spans="1:12">
      <c r="A730">
        <v>766</v>
      </c>
      <c r="B730" t="s">
        <v>3328</v>
      </c>
      <c r="C730" t="s">
        <v>46</v>
      </c>
      <c r="D730" t="s">
        <v>47</v>
      </c>
      <c r="E730" t="s">
        <v>3329</v>
      </c>
      <c r="F730" t="s">
        <v>400</v>
      </c>
      <c r="G730" t="s">
        <v>3330</v>
      </c>
      <c r="H730" t="s">
        <v>3331</v>
      </c>
      <c r="I730" t="s">
        <v>3332</v>
      </c>
      <c r="J730" t="s">
        <v>3333</v>
      </c>
      <c r="K730" t="s">
        <v>3334</v>
      </c>
      <c r="L730" t="s">
        <v>21</v>
      </c>
    </row>
    <row r="731" spans="1:12">
      <c r="A731">
        <v>767</v>
      </c>
      <c r="B731" t="s">
        <v>3335</v>
      </c>
      <c r="C731" t="s">
        <v>13</v>
      </c>
      <c r="D731" t="s">
        <v>13</v>
      </c>
      <c r="E731" t="s">
        <v>3336</v>
      </c>
      <c r="F731" t="s">
        <v>400</v>
      </c>
      <c r="G731" t="s">
        <v>3337</v>
      </c>
      <c r="H731" t="s">
        <v>433</v>
      </c>
      <c r="I731" t="s">
        <v>3338</v>
      </c>
      <c r="J731" t="s">
        <v>753</v>
      </c>
      <c r="K731" t="s">
        <v>3339</v>
      </c>
      <c r="L731" t="s">
        <v>21</v>
      </c>
    </row>
    <row r="732" spans="1:12">
      <c r="A732">
        <v>768</v>
      </c>
      <c r="B732" t="s">
        <v>3340</v>
      </c>
      <c r="C732" t="s">
        <v>46</v>
      </c>
      <c r="D732" t="s">
        <v>260</v>
      </c>
      <c r="E732" t="s">
        <v>3341</v>
      </c>
      <c r="F732" t="s">
        <v>400</v>
      </c>
      <c r="G732" t="s">
        <v>3330</v>
      </c>
      <c r="H732" t="s">
        <v>402</v>
      </c>
      <c r="I732" t="s">
        <v>3342</v>
      </c>
      <c r="J732" t="s">
        <v>3343</v>
      </c>
      <c r="K732" t="s">
        <v>3344</v>
      </c>
      <c r="L732" t="s">
        <v>21</v>
      </c>
    </row>
    <row r="733" spans="1:12">
      <c r="A733">
        <v>769</v>
      </c>
      <c r="B733" t="s">
        <v>3345</v>
      </c>
      <c r="C733" t="s">
        <v>38</v>
      </c>
      <c r="D733" t="s">
        <v>158</v>
      </c>
      <c r="E733" t="s">
        <v>3346</v>
      </c>
      <c r="F733" t="s">
        <v>400</v>
      </c>
      <c r="G733" t="s">
        <v>356</v>
      </c>
      <c r="H733" t="s">
        <v>3347</v>
      </c>
      <c r="I733" t="s">
        <v>3348</v>
      </c>
      <c r="J733" t="s">
        <v>3349</v>
      </c>
      <c r="K733" t="s">
        <v>3350</v>
      </c>
      <c r="L733" t="s">
        <v>21</v>
      </c>
    </row>
    <row r="734" spans="1:12">
      <c r="A734">
        <v>770</v>
      </c>
      <c r="B734" t="s">
        <v>3351</v>
      </c>
      <c r="C734" t="s">
        <v>13</v>
      </c>
      <c r="D734" t="s">
        <v>13</v>
      </c>
      <c r="E734" t="s">
        <v>3352</v>
      </c>
      <c r="F734" t="s">
        <v>400</v>
      </c>
      <c r="G734" t="s">
        <v>2339</v>
      </c>
      <c r="H734" t="s">
        <v>3353</v>
      </c>
      <c r="I734" t="s">
        <v>3354</v>
      </c>
      <c r="J734" t="s">
        <v>3355</v>
      </c>
      <c r="K734" t="s">
        <v>3356</v>
      </c>
      <c r="L734" t="s">
        <v>21</v>
      </c>
    </row>
    <row r="735" spans="1:12">
      <c r="A735">
        <v>771</v>
      </c>
      <c r="B735" t="s">
        <v>3357</v>
      </c>
      <c r="C735" t="s">
        <v>91</v>
      </c>
      <c r="D735" t="s">
        <v>100</v>
      </c>
      <c r="E735" t="s">
        <v>3358</v>
      </c>
      <c r="F735" t="s">
        <v>400</v>
      </c>
      <c r="G735" t="s">
        <v>3359</v>
      </c>
      <c r="H735" t="s">
        <v>402</v>
      </c>
      <c r="I735" t="s">
        <v>3360</v>
      </c>
      <c r="J735" t="s">
        <v>2437</v>
      </c>
      <c r="K735" t="s">
        <v>3361</v>
      </c>
      <c r="L735" t="s">
        <v>21</v>
      </c>
    </row>
    <row r="736" spans="1:12">
      <c r="A736">
        <v>772</v>
      </c>
      <c r="B736" t="s">
        <v>3362</v>
      </c>
      <c r="C736" t="s">
        <v>218</v>
      </c>
      <c r="D736" t="s">
        <v>83</v>
      </c>
      <c r="E736" t="s">
        <v>3363</v>
      </c>
      <c r="F736" t="s">
        <v>400</v>
      </c>
      <c r="G736" t="s">
        <v>750</v>
      </c>
      <c r="H736" t="s">
        <v>402</v>
      </c>
      <c r="I736" t="s">
        <v>3364</v>
      </c>
      <c r="J736" t="s">
        <v>328</v>
      </c>
      <c r="K736" t="s">
        <v>3365</v>
      </c>
      <c r="L736" t="s">
        <v>21</v>
      </c>
    </row>
    <row r="737" spans="1:12">
      <c r="A737">
        <v>773</v>
      </c>
      <c r="B737" t="s">
        <v>3366</v>
      </c>
      <c r="C737" t="s">
        <v>13</v>
      </c>
      <c r="D737" t="s">
        <v>13</v>
      </c>
      <c r="E737" t="s">
        <v>656</v>
      </c>
      <c r="F737" t="s">
        <v>400</v>
      </c>
      <c r="G737" t="s">
        <v>1683</v>
      </c>
      <c r="H737" t="s">
        <v>433</v>
      </c>
      <c r="I737" t="s">
        <v>3367</v>
      </c>
      <c r="J737" t="s">
        <v>3368</v>
      </c>
      <c r="K737" t="s">
        <v>3369</v>
      </c>
      <c r="L737" t="s">
        <v>21</v>
      </c>
    </row>
    <row r="738" spans="1:12">
      <c r="A738">
        <v>774</v>
      </c>
      <c r="B738" t="s">
        <v>3370</v>
      </c>
      <c r="C738" t="s">
        <v>13</v>
      </c>
      <c r="D738" t="s">
        <v>13</v>
      </c>
      <c r="E738" t="s">
        <v>58</v>
      </c>
      <c r="F738" t="s">
        <v>400</v>
      </c>
      <c r="G738" t="s">
        <v>31</v>
      </c>
      <c r="H738" t="s">
        <v>433</v>
      </c>
      <c r="I738" t="s">
        <v>3371</v>
      </c>
      <c r="J738" t="s">
        <v>3372</v>
      </c>
      <c r="K738" t="s">
        <v>3369</v>
      </c>
      <c r="L738" t="s">
        <v>36</v>
      </c>
    </row>
    <row r="739" spans="1:12">
      <c r="A739">
        <v>775</v>
      </c>
      <c r="B739" t="s">
        <v>3373</v>
      </c>
      <c r="C739" t="s">
        <v>13</v>
      </c>
      <c r="D739" t="s">
        <v>13</v>
      </c>
      <c r="E739" t="s">
        <v>494</v>
      </c>
      <c r="F739" t="s">
        <v>400</v>
      </c>
      <c r="G739" t="s">
        <v>795</v>
      </c>
      <c r="H739" t="s">
        <v>3374</v>
      </c>
      <c r="I739" t="s">
        <v>3375</v>
      </c>
      <c r="J739" t="s">
        <v>3376</v>
      </c>
      <c r="K739" t="s">
        <v>3369</v>
      </c>
      <c r="L739" t="s">
        <v>54</v>
      </c>
    </row>
    <row r="740" spans="1:12">
      <c r="A740">
        <v>776</v>
      </c>
      <c r="B740" t="s">
        <v>3377</v>
      </c>
      <c r="C740" t="s">
        <v>13</v>
      </c>
      <c r="D740" t="s">
        <v>13</v>
      </c>
      <c r="E740" t="s">
        <v>189</v>
      </c>
      <c r="F740" t="s">
        <v>400</v>
      </c>
      <c r="G740" t="s">
        <v>1244</v>
      </c>
      <c r="H740" t="s">
        <v>3378</v>
      </c>
      <c r="I740" t="s">
        <v>3379</v>
      </c>
      <c r="J740" t="s">
        <v>3380</v>
      </c>
      <c r="K740" t="s">
        <v>3381</v>
      </c>
      <c r="L740" t="s">
        <v>21</v>
      </c>
    </row>
    <row r="741" spans="1:12">
      <c r="A741">
        <v>777</v>
      </c>
      <c r="B741" t="s">
        <v>3382</v>
      </c>
      <c r="C741" t="s">
        <v>331</v>
      </c>
      <c r="D741" t="s">
        <v>39</v>
      </c>
      <c r="E741" t="s">
        <v>741</v>
      </c>
      <c r="F741" t="s">
        <v>400</v>
      </c>
      <c r="G741" t="s">
        <v>356</v>
      </c>
      <c r="H741" t="s">
        <v>3383</v>
      </c>
      <c r="I741" t="s">
        <v>3384</v>
      </c>
      <c r="J741" t="s">
        <v>3385</v>
      </c>
      <c r="K741" t="s">
        <v>3369</v>
      </c>
      <c r="L741" t="s">
        <v>36</v>
      </c>
    </row>
    <row r="742" spans="1:12">
      <c r="A742">
        <v>778</v>
      </c>
      <c r="B742" t="s">
        <v>3386</v>
      </c>
      <c r="C742" t="s">
        <v>107</v>
      </c>
      <c r="D742" t="s">
        <v>39</v>
      </c>
      <c r="E742" t="s">
        <v>75</v>
      </c>
      <c r="F742" t="s">
        <v>400</v>
      </c>
      <c r="G742" t="s">
        <v>702</v>
      </c>
      <c r="H742" t="s">
        <v>3387</v>
      </c>
      <c r="I742" t="s">
        <v>3388</v>
      </c>
      <c r="J742" t="s">
        <v>3389</v>
      </c>
      <c r="K742" t="s">
        <v>3390</v>
      </c>
      <c r="L742" t="s">
        <v>21</v>
      </c>
    </row>
    <row r="743" spans="1:12">
      <c r="A743">
        <v>779</v>
      </c>
      <c r="B743" t="s">
        <v>3391</v>
      </c>
      <c r="C743" t="s">
        <v>99</v>
      </c>
      <c r="D743" t="s">
        <v>100</v>
      </c>
      <c r="E743" t="s">
        <v>299</v>
      </c>
      <c r="F743" t="s">
        <v>400</v>
      </c>
      <c r="G743" t="s">
        <v>31</v>
      </c>
      <c r="H743" t="s">
        <v>400</v>
      </c>
      <c r="I743" t="s">
        <v>3392</v>
      </c>
      <c r="J743" t="s">
        <v>3368</v>
      </c>
      <c r="K743" t="s">
        <v>3369</v>
      </c>
      <c r="L743" t="s">
        <v>36</v>
      </c>
    </row>
    <row r="744" spans="1:12">
      <c r="A744">
        <v>780</v>
      </c>
      <c r="B744" t="s">
        <v>3393</v>
      </c>
      <c r="C744" t="s">
        <v>331</v>
      </c>
      <c r="D744" t="s">
        <v>286</v>
      </c>
      <c r="E744" t="s">
        <v>3394</v>
      </c>
      <c r="F744" t="s">
        <v>400</v>
      </c>
      <c r="G744" t="s">
        <v>3264</v>
      </c>
      <c r="H744" t="s">
        <v>402</v>
      </c>
      <c r="I744" t="s">
        <v>3395</v>
      </c>
      <c r="J744" t="s">
        <v>3396</v>
      </c>
      <c r="K744" t="s">
        <v>3397</v>
      </c>
      <c r="L744" t="s">
        <v>54</v>
      </c>
    </row>
    <row r="745" spans="1:12">
      <c r="A745">
        <v>781</v>
      </c>
      <c r="B745" t="s">
        <v>3398</v>
      </c>
      <c r="C745" t="s">
        <v>200</v>
      </c>
      <c r="D745" t="s">
        <v>267</v>
      </c>
      <c r="E745" t="s">
        <v>3399</v>
      </c>
      <c r="F745" t="s">
        <v>400</v>
      </c>
      <c r="G745" t="s">
        <v>145</v>
      </c>
      <c r="H745" t="s">
        <v>3353</v>
      </c>
      <c r="I745" t="s">
        <v>3400</v>
      </c>
      <c r="J745" t="s">
        <v>2437</v>
      </c>
      <c r="K745" t="s">
        <v>3401</v>
      </c>
      <c r="L745" t="s">
        <v>21</v>
      </c>
    </row>
    <row r="746" spans="1:12">
      <c r="A746">
        <v>782</v>
      </c>
      <c r="B746" t="s">
        <v>3402</v>
      </c>
      <c r="C746" t="s">
        <v>522</v>
      </c>
      <c r="D746" t="s">
        <v>286</v>
      </c>
      <c r="E746" t="s">
        <v>3403</v>
      </c>
      <c r="F746" t="s">
        <v>400</v>
      </c>
      <c r="G746" t="s">
        <v>3404</v>
      </c>
      <c r="H746" t="s">
        <v>3405</v>
      </c>
      <c r="I746" t="s">
        <v>3406</v>
      </c>
      <c r="J746" t="s">
        <v>3368</v>
      </c>
      <c r="K746" t="s">
        <v>3407</v>
      </c>
      <c r="L746" t="s">
        <v>21</v>
      </c>
    </row>
    <row r="747" spans="1:12">
      <c r="A747">
        <v>783</v>
      </c>
      <c r="B747" t="s">
        <v>1493</v>
      </c>
      <c r="C747" t="s">
        <v>321</v>
      </c>
      <c r="D747" t="s">
        <v>173</v>
      </c>
      <c r="E747" t="s">
        <v>1093</v>
      </c>
      <c r="F747" t="s">
        <v>400</v>
      </c>
      <c r="G747" t="s">
        <v>1683</v>
      </c>
      <c r="H747" t="s">
        <v>3353</v>
      </c>
      <c r="I747" t="s">
        <v>3408</v>
      </c>
      <c r="J747" t="s">
        <v>3409</v>
      </c>
      <c r="K747" t="s">
        <v>3369</v>
      </c>
      <c r="L747" t="s">
        <v>21</v>
      </c>
    </row>
    <row r="748" spans="1:12">
      <c r="A748">
        <v>784</v>
      </c>
      <c r="B748" t="s">
        <v>3410</v>
      </c>
      <c r="C748" t="s">
        <v>107</v>
      </c>
      <c r="D748" t="s">
        <v>211</v>
      </c>
      <c r="E748" t="s">
        <v>571</v>
      </c>
      <c r="F748" t="s">
        <v>400</v>
      </c>
      <c r="G748" t="s">
        <v>356</v>
      </c>
      <c r="H748" t="s">
        <v>3411</v>
      </c>
      <c r="I748" t="s">
        <v>3412</v>
      </c>
      <c r="J748" t="s">
        <v>3368</v>
      </c>
      <c r="K748" t="s">
        <v>3413</v>
      </c>
      <c r="L748" t="s">
        <v>21</v>
      </c>
    </row>
    <row r="749" spans="1:12">
      <c r="A749">
        <v>785</v>
      </c>
      <c r="B749" t="s">
        <v>3414</v>
      </c>
      <c r="C749" t="s">
        <v>165</v>
      </c>
      <c r="D749" t="s">
        <v>211</v>
      </c>
      <c r="E749" t="s">
        <v>656</v>
      </c>
      <c r="F749" t="s">
        <v>400</v>
      </c>
      <c r="G749" t="s">
        <v>1683</v>
      </c>
      <c r="H749" t="s">
        <v>400</v>
      </c>
      <c r="I749" t="s">
        <v>3415</v>
      </c>
      <c r="J749" t="s">
        <v>3368</v>
      </c>
      <c r="K749" t="s">
        <v>3416</v>
      </c>
      <c r="L749" t="s">
        <v>21</v>
      </c>
    </row>
    <row r="750" spans="1:12">
      <c r="A750">
        <v>786</v>
      </c>
      <c r="B750" t="s">
        <v>3417</v>
      </c>
      <c r="C750" t="s">
        <v>107</v>
      </c>
      <c r="D750" t="s">
        <v>47</v>
      </c>
      <c r="E750" t="s">
        <v>600</v>
      </c>
      <c r="F750" t="s">
        <v>400</v>
      </c>
      <c r="G750" t="s">
        <v>750</v>
      </c>
      <c r="H750" t="s">
        <v>3418</v>
      </c>
      <c r="I750" t="s">
        <v>3419</v>
      </c>
      <c r="J750" t="s">
        <v>1011</v>
      </c>
      <c r="K750" t="s">
        <v>3420</v>
      </c>
      <c r="L750" t="s">
        <v>21</v>
      </c>
    </row>
    <row r="751" spans="1:12">
      <c r="A751">
        <v>787</v>
      </c>
      <c r="B751" t="s">
        <v>3421</v>
      </c>
      <c r="C751" t="s">
        <v>74</v>
      </c>
      <c r="D751" t="s">
        <v>286</v>
      </c>
      <c r="E751" t="s">
        <v>600</v>
      </c>
      <c r="F751" t="s">
        <v>400</v>
      </c>
      <c r="G751" t="s">
        <v>31</v>
      </c>
      <c r="H751" t="s">
        <v>3422</v>
      </c>
      <c r="I751" t="s">
        <v>3423</v>
      </c>
      <c r="J751" t="s">
        <v>3424</v>
      </c>
      <c r="K751" t="s">
        <v>3369</v>
      </c>
      <c r="L751" t="s">
        <v>21</v>
      </c>
    </row>
    <row r="752" spans="1:12">
      <c r="A752">
        <v>788</v>
      </c>
      <c r="B752" t="s">
        <v>3425</v>
      </c>
      <c r="C752" t="s">
        <v>115</v>
      </c>
      <c r="D752" t="s">
        <v>211</v>
      </c>
      <c r="E752" t="s">
        <v>144</v>
      </c>
      <c r="F752" t="s">
        <v>400</v>
      </c>
      <c r="G752" t="s">
        <v>85</v>
      </c>
      <c r="H752" t="s">
        <v>402</v>
      </c>
      <c r="I752" t="s">
        <v>3426</v>
      </c>
      <c r="J752" t="s">
        <v>3396</v>
      </c>
      <c r="K752" t="s">
        <v>3427</v>
      </c>
      <c r="L752" t="s">
        <v>54</v>
      </c>
    </row>
    <row r="753" spans="1:12">
      <c r="A753">
        <v>789</v>
      </c>
      <c r="B753" t="s">
        <v>3428</v>
      </c>
      <c r="C753" t="s">
        <v>522</v>
      </c>
      <c r="D753" t="s">
        <v>211</v>
      </c>
      <c r="E753" t="s">
        <v>151</v>
      </c>
      <c r="F753" t="s">
        <v>400</v>
      </c>
      <c r="G753" t="s">
        <v>3429</v>
      </c>
      <c r="H753" t="s">
        <v>402</v>
      </c>
      <c r="I753" t="s">
        <v>3430</v>
      </c>
      <c r="J753" t="s">
        <v>3431</v>
      </c>
      <c r="K753" t="s">
        <v>3432</v>
      </c>
      <c r="L753" t="s">
        <v>21</v>
      </c>
    </row>
    <row r="754" spans="1:12">
      <c r="A754">
        <v>790</v>
      </c>
      <c r="B754" t="s">
        <v>3433</v>
      </c>
      <c r="C754" t="s">
        <v>633</v>
      </c>
      <c r="D754" t="s">
        <v>267</v>
      </c>
      <c r="E754" t="s">
        <v>287</v>
      </c>
      <c r="F754" t="s">
        <v>400</v>
      </c>
      <c r="G754" t="s">
        <v>145</v>
      </c>
      <c r="H754" t="s">
        <v>400</v>
      </c>
      <c r="I754" t="s">
        <v>3434</v>
      </c>
      <c r="J754" t="s">
        <v>3435</v>
      </c>
      <c r="K754" t="s">
        <v>3369</v>
      </c>
      <c r="L754" t="s">
        <v>21</v>
      </c>
    </row>
    <row r="755" spans="1:12">
      <c r="A755">
        <v>791</v>
      </c>
      <c r="B755" t="s">
        <v>3436</v>
      </c>
      <c r="C755" t="s">
        <v>195</v>
      </c>
      <c r="D755" t="s">
        <v>286</v>
      </c>
      <c r="E755" t="s">
        <v>287</v>
      </c>
      <c r="F755" t="s">
        <v>400</v>
      </c>
      <c r="G755" t="s">
        <v>31</v>
      </c>
      <c r="H755" t="s">
        <v>3422</v>
      </c>
      <c r="I755" t="s">
        <v>3437</v>
      </c>
      <c r="J755" t="s">
        <v>3424</v>
      </c>
      <c r="K755" t="s">
        <v>3438</v>
      </c>
      <c r="L755" t="s">
        <v>21</v>
      </c>
    </row>
    <row r="756" spans="1:12">
      <c r="A756">
        <v>792</v>
      </c>
      <c r="B756" t="s">
        <v>3439</v>
      </c>
      <c r="C756" t="s">
        <v>335</v>
      </c>
      <c r="D756" t="s">
        <v>100</v>
      </c>
      <c r="E756" t="s">
        <v>348</v>
      </c>
      <c r="F756" t="s">
        <v>400</v>
      </c>
      <c r="G756" t="s">
        <v>3264</v>
      </c>
      <c r="H756" t="s">
        <v>402</v>
      </c>
      <c r="I756" t="s">
        <v>3440</v>
      </c>
      <c r="J756" t="s">
        <v>3396</v>
      </c>
      <c r="K756" t="s">
        <v>3441</v>
      </c>
      <c r="L756" t="s">
        <v>54</v>
      </c>
    </row>
    <row r="757" spans="1:12">
      <c r="A757">
        <v>793</v>
      </c>
      <c r="B757" t="s">
        <v>3442</v>
      </c>
      <c r="C757" t="s">
        <v>267</v>
      </c>
      <c r="D757" t="s">
        <v>13</v>
      </c>
      <c r="E757" t="s">
        <v>166</v>
      </c>
      <c r="F757" t="s">
        <v>400</v>
      </c>
      <c r="G757" t="s">
        <v>3443</v>
      </c>
      <c r="H757" t="s">
        <v>3444</v>
      </c>
      <c r="I757" t="s">
        <v>3445</v>
      </c>
      <c r="J757" t="s">
        <v>3368</v>
      </c>
      <c r="K757" t="s">
        <v>3369</v>
      </c>
      <c r="L757" t="s">
        <v>54</v>
      </c>
    </row>
    <row r="758" spans="1:12">
      <c r="A758">
        <v>794</v>
      </c>
      <c r="B758" t="s">
        <v>3446</v>
      </c>
      <c r="C758" t="s">
        <v>240</v>
      </c>
      <c r="D758" t="s">
        <v>39</v>
      </c>
      <c r="E758" t="s">
        <v>2877</v>
      </c>
      <c r="F758" t="s">
        <v>400</v>
      </c>
      <c r="G758" t="s">
        <v>3447</v>
      </c>
      <c r="H758" t="s">
        <v>3448</v>
      </c>
      <c r="I758" t="s">
        <v>3449</v>
      </c>
      <c r="J758" t="s">
        <v>3368</v>
      </c>
      <c r="K758" t="s">
        <v>3450</v>
      </c>
      <c r="L758" t="s">
        <v>54</v>
      </c>
    </row>
    <row r="759" spans="1:12">
      <c r="A759">
        <v>795</v>
      </c>
      <c r="B759" t="s">
        <v>3451</v>
      </c>
      <c r="C759" t="s">
        <v>107</v>
      </c>
      <c r="D759" t="s">
        <v>260</v>
      </c>
      <c r="E759" t="s">
        <v>1659</v>
      </c>
      <c r="F759" t="s">
        <v>400</v>
      </c>
      <c r="G759" t="s">
        <v>3452</v>
      </c>
      <c r="H759" t="s">
        <v>400</v>
      </c>
      <c r="I759" t="s">
        <v>3453</v>
      </c>
      <c r="J759" t="s">
        <v>3368</v>
      </c>
      <c r="K759" t="s">
        <v>3454</v>
      </c>
      <c r="L759" t="s">
        <v>21</v>
      </c>
    </row>
    <row r="760" spans="1:12">
      <c r="A760">
        <v>796</v>
      </c>
      <c r="B760" t="s">
        <v>3455</v>
      </c>
      <c r="C760" t="s">
        <v>331</v>
      </c>
      <c r="D760" t="s">
        <v>83</v>
      </c>
      <c r="E760" t="s">
        <v>1076</v>
      </c>
      <c r="F760" t="s">
        <v>400</v>
      </c>
      <c r="G760" t="s">
        <v>3456</v>
      </c>
      <c r="H760" t="s">
        <v>402</v>
      </c>
      <c r="I760" t="s">
        <v>3457</v>
      </c>
      <c r="J760" t="s">
        <v>3368</v>
      </c>
      <c r="K760" t="s">
        <v>3458</v>
      </c>
      <c r="L760" t="s">
        <v>21</v>
      </c>
    </row>
    <row r="761" spans="1:12">
      <c r="A761">
        <v>797</v>
      </c>
      <c r="B761" t="s">
        <v>3459</v>
      </c>
      <c r="C761" t="s">
        <v>321</v>
      </c>
      <c r="D761" t="s">
        <v>66</v>
      </c>
      <c r="E761" t="s">
        <v>1099</v>
      </c>
      <c r="F761" t="s">
        <v>400</v>
      </c>
      <c r="G761" t="s">
        <v>3460</v>
      </c>
      <c r="H761" t="s">
        <v>402</v>
      </c>
      <c r="I761" t="s">
        <v>3461</v>
      </c>
      <c r="J761" t="s">
        <v>3462</v>
      </c>
      <c r="K761" t="s">
        <v>3369</v>
      </c>
      <c r="L761" t="s">
        <v>21</v>
      </c>
    </row>
    <row r="762" spans="1:12">
      <c r="A762">
        <v>798</v>
      </c>
      <c r="B762" t="s">
        <v>3463</v>
      </c>
      <c r="C762" t="s">
        <v>362</v>
      </c>
      <c r="D762" t="s">
        <v>39</v>
      </c>
      <c r="E762" t="s">
        <v>947</v>
      </c>
      <c r="F762" t="s">
        <v>400</v>
      </c>
      <c r="G762" t="s">
        <v>907</v>
      </c>
      <c r="H762" t="s">
        <v>402</v>
      </c>
      <c r="I762" t="s">
        <v>3464</v>
      </c>
      <c r="J762" t="s">
        <v>910</v>
      </c>
      <c r="K762" t="s">
        <v>3369</v>
      </c>
      <c r="L762" t="s">
        <v>21</v>
      </c>
    </row>
    <row r="763" spans="1:12">
      <c r="A763">
        <v>799</v>
      </c>
      <c r="B763" t="s">
        <v>3465</v>
      </c>
      <c r="C763" t="s">
        <v>13</v>
      </c>
      <c r="D763" t="s">
        <v>13</v>
      </c>
      <c r="E763" t="s">
        <v>3466</v>
      </c>
      <c r="F763" t="s">
        <v>400</v>
      </c>
      <c r="G763" t="s">
        <v>356</v>
      </c>
      <c r="H763" t="s">
        <v>3467</v>
      </c>
      <c r="I763" t="s">
        <v>3468</v>
      </c>
      <c r="J763" t="s">
        <v>3469</v>
      </c>
      <c r="K763" t="s">
        <v>3470</v>
      </c>
      <c r="L763" t="s">
        <v>54</v>
      </c>
    </row>
    <row r="764" spans="1:12">
      <c r="A764">
        <v>800</v>
      </c>
      <c r="B764" t="s">
        <v>3471</v>
      </c>
      <c r="C764" t="s">
        <v>13</v>
      </c>
      <c r="D764" t="s">
        <v>13</v>
      </c>
      <c r="E764" t="s">
        <v>3472</v>
      </c>
      <c r="F764" t="s">
        <v>400</v>
      </c>
      <c r="G764" t="s">
        <v>31</v>
      </c>
      <c r="H764" t="s">
        <v>3321</v>
      </c>
      <c r="I764" t="s">
        <v>3473</v>
      </c>
      <c r="J764" t="s">
        <v>3308</v>
      </c>
      <c r="K764" t="s">
        <v>3474</v>
      </c>
      <c r="L764" t="s">
        <v>21</v>
      </c>
    </row>
    <row r="765" spans="1:12">
      <c r="A765">
        <v>801</v>
      </c>
      <c r="B765" t="s">
        <v>3475</v>
      </c>
      <c r="C765" t="s">
        <v>195</v>
      </c>
      <c r="D765" t="s">
        <v>100</v>
      </c>
      <c r="E765" t="s">
        <v>3476</v>
      </c>
      <c r="F765" t="s">
        <v>400</v>
      </c>
      <c r="G765" t="s">
        <v>356</v>
      </c>
      <c r="H765" t="s">
        <v>3477</v>
      </c>
      <c r="I765" t="s">
        <v>3478</v>
      </c>
      <c r="J765" t="s">
        <v>3479</v>
      </c>
      <c r="K765" t="s">
        <v>3480</v>
      </c>
      <c r="L765" t="s">
        <v>21</v>
      </c>
    </row>
    <row r="766" spans="1:12">
      <c r="A766">
        <v>802</v>
      </c>
      <c r="B766" t="s">
        <v>3481</v>
      </c>
      <c r="C766" t="s">
        <v>13</v>
      </c>
      <c r="D766" t="s">
        <v>13</v>
      </c>
      <c r="E766" t="s">
        <v>1525</v>
      </c>
      <c r="F766" t="s">
        <v>400</v>
      </c>
      <c r="G766" t="s">
        <v>2914</v>
      </c>
      <c r="H766" t="s">
        <v>433</v>
      </c>
      <c r="I766" t="s">
        <v>3482</v>
      </c>
      <c r="J766" t="s">
        <v>3483</v>
      </c>
      <c r="K766" t="s">
        <v>3484</v>
      </c>
      <c r="L766" t="s">
        <v>36</v>
      </c>
    </row>
    <row r="767" spans="1:12">
      <c r="A767">
        <v>803</v>
      </c>
      <c r="B767" t="s">
        <v>3485</v>
      </c>
      <c r="C767" t="s">
        <v>362</v>
      </c>
      <c r="D767" t="s">
        <v>286</v>
      </c>
      <c r="E767" t="s">
        <v>1113</v>
      </c>
      <c r="F767" t="s">
        <v>400</v>
      </c>
      <c r="G767" t="s">
        <v>3187</v>
      </c>
      <c r="H767" t="s">
        <v>3486</v>
      </c>
      <c r="I767" t="s">
        <v>402</v>
      </c>
      <c r="J767" t="s">
        <v>3487</v>
      </c>
      <c r="K767" t="s">
        <v>753</v>
      </c>
      <c r="L767" t="s">
        <v>21</v>
      </c>
    </row>
    <row r="768" spans="1:12">
      <c r="A768">
        <v>804</v>
      </c>
      <c r="B768" t="s">
        <v>3488</v>
      </c>
      <c r="C768" t="s">
        <v>150</v>
      </c>
      <c r="D768" t="s">
        <v>286</v>
      </c>
      <c r="E768" t="s">
        <v>893</v>
      </c>
      <c r="F768" t="s">
        <v>400</v>
      </c>
      <c r="G768" t="s">
        <v>1463</v>
      </c>
      <c r="H768" t="s">
        <v>400</v>
      </c>
      <c r="I768" t="s">
        <v>3489</v>
      </c>
      <c r="J768" t="s">
        <v>3490</v>
      </c>
      <c r="K768" t="s">
        <v>3369</v>
      </c>
      <c r="L768" t="s">
        <v>54</v>
      </c>
    </row>
    <row r="769" spans="1:12">
      <c r="A769">
        <v>805</v>
      </c>
      <c r="B769" t="s">
        <v>3491</v>
      </c>
      <c r="C769" t="s">
        <v>331</v>
      </c>
      <c r="D769" t="s">
        <v>100</v>
      </c>
      <c r="E769" t="s">
        <v>1146</v>
      </c>
      <c r="F769" t="s">
        <v>400</v>
      </c>
      <c r="G769" t="s">
        <v>3447</v>
      </c>
      <c r="H769" t="s">
        <v>3492</v>
      </c>
      <c r="I769" t="s">
        <v>3493</v>
      </c>
      <c r="J769" t="s">
        <v>3368</v>
      </c>
      <c r="K769" t="s">
        <v>3494</v>
      </c>
      <c r="L769" t="s">
        <v>21</v>
      </c>
    </row>
    <row r="770" spans="1:12">
      <c r="A770">
        <v>806</v>
      </c>
      <c r="B770" t="s">
        <v>3495</v>
      </c>
      <c r="C770" t="s">
        <v>165</v>
      </c>
      <c r="D770" t="s">
        <v>211</v>
      </c>
      <c r="E770" t="s">
        <v>1586</v>
      </c>
      <c r="F770" t="s">
        <v>400</v>
      </c>
      <c r="G770" t="s">
        <v>750</v>
      </c>
      <c r="H770" t="s">
        <v>3496</v>
      </c>
      <c r="I770" t="s">
        <v>3497</v>
      </c>
      <c r="J770" t="s">
        <v>328</v>
      </c>
      <c r="K770" t="s">
        <v>3498</v>
      </c>
      <c r="L770" t="s">
        <v>21</v>
      </c>
    </row>
    <row r="771" spans="1:12">
      <c r="A771">
        <v>807</v>
      </c>
      <c r="B771" t="s">
        <v>3499</v>
      </c>
      <c r="C771" t="s">
        <v>1129</v>
      </c>
      <c r="D771" t="s">
        <v>211</v>
      </c>
      <c r="E771" t="s">
        <v>144</v>
      </c>
      <c r="F771" t="s">
        <v>400</v>
      </c>
      <c r="G771" t="s">
        <v>3500</v>
      </c>
      <c r="H771" t="s">
        <v>3501</v>
      </c>
      <c r="I771" t="s">
        <v>3502</v>
      </c>
      <c r="J771" t="s">
        <v>3503</v>
      </c>
      <c r="K771" t="s">
        <v>3369</v>
      </c>
      <c r="L771" t="s">
        <v>21</v>
      </c>
    </row>
    <row r="772" spans="1:12">
      <c r="A772">
        <v>808</v>
      </c>
      <c r="B772" t="s">
        <v>3504</v>
      </c>
      <c r="C772" t="s">
        <v>224</v>
      </c>
      <c r="D772" t="s">
        <v>211</v>
      </c>
      <c r="E772" t="s">
        <v>299</v>
      </c>
      <c r="F772" t="s">
        <v>400</v>
      </c>
      <c r="G772" t="s">
        <v>31</v>
      </c>
      <c r="H772" t="s">
        <v>402</v>
      </c>
      <c r="I772" t="s">
        <v>3505</v>
      </c>
      <c r="J772" t="s">
        <v>3368</v>
      </c>
      <c r="K772" t="s">
        <v>3506</v>
      </c>
      <c r="L772" t="s">
        <v>36</v>
      </c>
    </row>
    <row r="773" spans="1:12">
      <c r="A773">
        <v>809</v>
      </c>
      <c r="B773" t="s">
        <v>3507</v>
      </c>
      <c r="C773" t="s">
        <v>331</v>
      </c>
      <c r="D773" t="s">
        <v>66</v>
      </c>
      <c r="E773" t="s">
        <v>166</v>
      </c>
      <c r="F773" t="s">
        <v>400</v>
      </c>
      <c r="G773" t="s">
        <v>3443</v>
      </c>
      <c r="H773" t="s">
        <v>400</v>
      </c>
      <c r="I773" t="s">
        <v>3508</v>
      </c>
      <c r="J773" t="s">
        <v>3509</v>
      </c>
      <c r="K773" t="s">
        <v>3369</v>
      </c>
      <c r="L773" t="s">
        <v>21</v>
      </c>
    </row>
    <row r="774" spans="1:12">
      <c r="A774">
        <v>810</v>
      </c>
      <c r="B774" t="s">
        <v>3510</v>
      </c>
      <c r="C774" t="s">
        <v>13</v>
      </c>
      <c r="D774" t="s">
        <v>13</v>
      </c>
      <c r="E774" t="s">
        <v>3511</v>
      </c>
      <c r="F774" t="s">
        <v>400</v>
      </c>
      <c r="G774" t="s">
        <v>3512</v>
      </c>
      <c r="H774" t="s">
        <v>3513</v>
      </c>
      <c r="I774" t="s">
        <v>3514</v>
      </c>
      <c r="J774" t="s">
        <v>3515</v>
      </c>
      <c r="K774" t="s">
        <v>3516</v>
      </c>
      <c r="L774" t="s">
        <v>21</v>
      </c>
    </row>
    <row r="775" spans="1:12">
      <c r="A775">
        <v>812</v>
      </c>
      <c r="B775" t="s">
        <v>3517</v>
      </c>
      <c r="C775" t="s">
        <v>91</v>
      </c>
      <c r="D775" t="s">
        <v>260</v>
      </c>
      <c r="E775" t="s">
        <v>3518</v>
      </c>
      <c r="F775" t="s">
        <v>400</v>
      </c>
      <c r="G775" t="s">
        <v>31</v>
      </c>
      <c r="H775" t="s">
        <v>3519</v>
      </c>
      <c r="I775" t="s">
        <v>3520</v>
      </c>
      <c r="J775" t="s">
        <v>3521</v>
      </c>
      <c r="K775" t="s">
        <v>3522</v>
      </c>
      <c r="L775" t="s">
        <v>21</v>
      </c>
    </row>
    <row r="776" spans="1:12">
      <c r="A776">
        <v>813</v>
      </c>
      <c r="B776" t="s">
        <v>3523</v>
      </c>
      <c r="C776" t="s">
        <v>200</v>
      </c>
      <c r="D776" t="s">
        <v>158</v>
      </c>
      <c r="E776" t="s">
        <v>3524</v>
      </c>
      <c r="F776" t="s">
        <v>400</v>
      </c>
      <c r="G776" t="s">
        <v>356</v>
      </c>
      <c r="H776" t="s">
        <v>3525</v>
      </c>
      <c r="I776" t="s">
        <v>3526</v>
      </c>
      <c r="J776" t="s">
        <v>3527</v>
      </c>
      <c r="K776" t="s">
        <v>3528</v>
      </c>
      <c r="L776" t="s">
        <v>21</v>
      </c>
    </row>
    <row r="777" spans="1:12">
      <c r="A777">
        <v>814</v>
      </c>
      <c r="B777" t="s">
        <v>3529</v>
      </c>
      <c r="C777" t="s">
        <v>13</v>
      </c>
      <c r="D777" t="s">
        <v>13</v>
      </c>
      <c r="E777" t="s">
        <v>3530</v>
      </c>
      <c r="F777" t="s">
        <v>400</v>
      </c>
      <c r="G777" t="s">
        <v>3443</v>
      </c>
      <c r="H777" t="s">
        <v>433</v>
      </c>
      <c r="I777" t="s">
        <v>3531</v>
      </c>
      <c r="J777" t="s">
        <v>3308</v>
      </c>
      <c r="K777" t="s">
        <v>13</v>
      </c>
      <c r="L777" t="s">
        <v>54</v>
      </c>
    </row>
    <row r="778" spans="1:12">
      <c r="A778">
        <v>815</v>
      </c>
      <c r="B778" t="s">
        <v>3532</v>
      </c>
      <c r="C778" t="s">
        <v>13</v>
      </c>
      <c r="D778" t="s">
        <v>13</v>
      </c>
      <c r="E778" t="s">
        <v>3311</v>
      </c>
      <c r="F778" t="s">
        <v>400</v>
      </c>
      <c r="G778" t="s">
        <v>1244</v>
      </c>
      <c r="H778" t="s">
        <v>402</v>
      </c>
      <c r="I778" t="s">
        <v>3533</v>
      </c>
      <c r="J778" t="s">
        <v>3302</v>
      </c>
      <c r="K778" t="s">
        <v>3534</v>
      </c>
      <c r="L778" t="s">
        <v>21</v>
      </c>
    </row>
    <row r="779" spans="1:12">
      <c r="A779">
        <v>816</v>
      </c>
      <c r="B779" t="s">
        <v>3535</v>
      </c>
      <c r="C779" t="s">
        <v>65</v>
      </c>
      <c r="D779" t="s">
        <v>83</v>
      </c>
      <c r="E779" t="s">
        <v>3305</v>
      </c>
      <c r="F779" t="s">
        <v>400</v>
      </c>
      <c r="G779" t="s">
        <v>145</v>
      </c>
      <c r="H779" t="s">
        <v>3353</v>
      </c>
      <c r="I779" t="s">
        <v>3536</v>
      </c>
      <c r="J779" t="s">
        <v>3537</v>
      </c>
      <c r="K779" t="s">
        <v>3538</v>
      </c>
      <c r="L779" t="s">
        <v>21</v>
      </c>
    </row>
    <row r="780" spans="1:12">
      <c r="A780">
        <v>817</v>
      </c>
      <c r="B780" t="s">
        <v>3539</v>
      </c>
      <c r="C780" t="s">
        <v>246</v>
      </c>
      <c r="D780" t="s">
        <v>260</v>
      </c>
      <c r="E780" t="s">
        <v>591</v>
      </c>
      <c r="F780" t="s">
        <v>400</v>
      </c>
      <c r="G780" t="s">
        <v>1788</v>
      </c>
      <c r="H780" t="s">
        <v>3540</v>
      </c>
      <c r="I780" t="s">
        <v>3541</v>
      </c>
      <c r="J780" t="s">
        <v>3542</v>
      </c>
      <c r="K780" t="s">
        <v>3126</v>
      </c>
      <c r="L780" t="s">
        <v>54</v>
      </c>
    </row>
    <row r="781" spans="1:12">
      <c r="A781">
        <v>818</v>
      </c>
      <c r="B781" t="s">
        <v>3543</v>
      </c>
      <c r="C781" t="s">
        <v>13</v>
      </c>
      <c r="D781" t="s">
        <v>260</v>
      </c>
      <c r="E781" t="s">
        <v>2320</v>
      </c>
      <c r="F781" t="s">
        <v>400</v>
      </c>
      <c r="G781" t="s">
        <v>3544</v>
      </c>
      <c r="H781" t="s">
        <v>400</v>
      </c>
      <c r="I781" t="s">
        <v>3545</v>
      </c>
      <c r="J781" t="s">
        <v>3368</v>
      </c>
      <c r="K781" t="s">
        <v>3546</v>
      </c>
      <c r="L781" t="s">
        <v>54</v>
      </c>
    </row>
    <row r="782" spans="1:12">
      <c r="A782">
        <v>819</v>
      </c>
      <c r="B782" t="s">
        <v>3547</v>
      </c>
      <c r="C782" t="s">
        <v>13</v>
      </c>
      <c r="D782" t="s">
        <v>13</v>
      </c>
      <c r="E782" t="s">
        <v>698</v>
      </c>
      <c r="F782" t="s">
        <v>400</v>
      </c>
      <c r="G782" t="s">
        <v>3429</v>
      </c>
      <c r="H782" t="s">
        <v>433</v>
      </c>
      <c r="I782" t="s">
        <v>3548</v>
      </c>
      <c r="J782" t="s">
        <v>3549</v>
      </c>
      <c r="K782" t="s">
        <v>3550</v>
      </c>
      <c r="L782" t="s">
        <v>21</v>
      </c>
    </row>
    <row r="783" spans="1:12">
      <c r="A783">
        <v>821</v>
      </c>
      <c r="B783" t="s">
        <v>3551</v>
      </c>
      <c r="C783" t="s">
        <v>107</v>
      </c>
      <c r="D783" t="s">
        <v>158</v>
      </c>
      <c r="E783" t="s">
        <v>3552</v>
      </c>
      <c r="F783" t="s">
        <v>3467</v>
      </c>
      <c r="G783" t="s">
        <v>24</v>
      </c>
      <c r="H783" t="s">
        <v>3553</v>
      </c>
      <c r="I783" t="s">
        <v>3554</v>
      </c>
      <c r="J783" t="s">
        <v>3555</v>
      </c>
      <c r="K783" t="s">
        <v>3556</v>
      </c>
      <c r="L783" t="s">
        <v>21</v>
      </c>
    </row>
    <row r="784" spans="1:12">
      <c r="A784">
        <v>822</v>
      </c>
      <c r="B784" t="s">
        <v>3557</v>
      </c>
      <c r="C784" t="s">
        <v>13</v>
      </c>
      <c r="D784" t="s">
        <v>13</v>
      </c>
      <c r="E784" t="s">
        <v>3558</v>
      </c>
      <c r="F784" t="s">
        <v>3467</v>
      </c>
      <c r="G784" t="s">
        <v>3559</v>
      </c>
      <c r="H784" t="s">
        <v>3560</v>
      </c>
      <c r="I784" t="s">
        <v>3561</v>
      </c>
      <c r="J784" t="s">
        <v>3562</v>
      </c>
      <c r="K784" t="s">
        <v>3563</v>
      </c>
      <c r="L784" t="s">
        <v>21</v>
      </c>
    </row>
    <row r="785" spans="1:12">
      <c r="A785">
        <v>823</v>
      </c>
      <c r="B785" t="s">
        <v>3564</v>
      </c>
      <c r="C785" t="s">
        <v>200</v>
      </c>
      <c r="D785" t="s">
        <v>66</v>
      </c>
      <c r="E785" t="s">
        <v>3565</v>
      </c>
      <c r="F785" t="s">
        <v>3467</v>
      </c>
      <c r="G785" t="s">
        <v>3566</v>
      </c>
      <c r="H785" t="s">
        <v>3567</v>
      </c>
      <c r="I785" t="s">
        <v>3568</v>
      </c>
      <c r="J785" t="s">
        <v>3555</v>
      </c>
      <c r="K785" t="s">
        <v>3569</v>
      </c>
      <c r="L785" t="s">
        <v>21</v>
      </c>
    </row>
    <row r="786" spans="1:12">
      <c r="A786">
        <v>824</v>
      </c>
      <c r="B786" t="s">
        <v>3570</v>
      </c>
      <c r="C786" t="s">
        <v>522</v>
      </c>
      <c r="D786" t="s">
        <v>83</v>
      </c>
      <c r="E786" t="s">
        <v>3571</v>
      </c>
      <c r="F786" t="s">
        <v>3467</v>
      </c>
      <c r="G786" t="s">
        <v>3572</v>
      </c>
      <c r="H786" t="s">
        <v>3573</v>
      </c>
      <c r="I786" t="s">
        <v>3574</v>
      </c>
      <c r="J786" t="s">
        <v>3555</v>
      </c>
      <c r="K786" t="s">
        <v>3575</v>
      </c>
      <c r="L786" t="s">
        <v>21</v>
      </c>
    </row>
    <row r="787" spans="1:12">
      <c r="A787">
        <v>825</v>
      </c>
      <c r="B787" t="s">
        <v>3576</v>
      </c>
      <c r="C787" t="s">
        <v>13</v>
      </c>
      <c r="D787" t="s">
        <v>13</v>
      </c>
      <c r="E787" t="s">
        <v>3577</v>
      </c>
      <c r="F787" t="s">
        <v>3467</v>
      </c>
      <c r="G787" t="s">
        <v>261</v>
      </c>
      <c r="H787" t="s">
        <v>1999</v>
      </c>
      <c r="I787" t="s">
        <v>3578</v>
      </c>
      <c r="J787" t="s">
        <v>3579</v>
      </c>
      <c r="K787" t="s">
        <v>3580</v>
      </c>
      <c r="L787" t="s">
        <v>21</v>
      </c>
    </row>
    <row r="788" spans="1:12">
      <c r="A788">
        <v>826</v>
      </c>
      <c r="B788" t="s">
        <v>3465</v>
      </c>
      <c r="C788" t="s">
        <v>13</v>
      </c>
      <c r="D788" t="s">
        <v>13</v>
      </c>
      <c r="E788" t="s">
        <v>3466</v>
      </c>
      <c r="F788" t="s">
        <v>3467</v>
      </c>
      <c r="G788" t="s">
        <v>68</v>
      </c>
      <c r="H788" t="s">
        <v>433</v>
      </c>
      <c r="I788" t="s">
        <v>3468</v>
      </c>
      <c r="J788" t="s">
        <v>3469</v>
      </c>
      <c r="K788" t="s">
        <v>3470</v>
      </c>
      <c r="L788" t="s">
        <v>54</v>
      </c>
    </row>
    <row r="789" spans="1:12">
      <c r="A789">
        <v>827</v>
      </c>
      <c r="B789" t="s">
        <v>3581</v>
      </c>
      <c r="C789" t="s">
        <v>298</v>
      </c>
      <c r="D789" t="s">
        <v>47</v>
      </c>
      <c r="E789" t="s">
        <v>3582</v>
      </c>
      <c r="F789" t="s">
        <v>3467</v>
      </c>
      <c r="G789" t="s">
        <v>356</v>
      </c>
      <c r="H789" t="s">
        <v>3583</v>
      </c>
      <c r="I789" t="s">
        <v>3584</v>
      </c>
      <c r="J789" t="s">
        <v>3585</v>
      </c>
      <c r="K789" t="s">
        <v>3586</v>
      </c>
      <c r="L789" t="s">
        <v>21</v>
      </c>
    </row>
    <row r="790" spans="1:12">
      <c r="A790">
        <v>828</v>
      </c>
      <c r="B790" t="s">
        <v>3587</v>
      </c>
      <c r="C790" t="s">
        <v>580</v>
      </c>
      <c r="D790" t="s">
        <v>158</v>
      </c>
      <c r="E790" t="s">
        <v>3588</v>
      </c>
      <c r="F790" t="s">
        <v>3467</v>
      </c>
      <c r="G790" t="s">
        <v>68</v>
      </c>
      <c r="H790" t="s">
        <v>433</v>
      </c>
      <c r="I790" t="s">
        <v>3589</v>
      </c>
      <c r="J790" t="s">
        <v>3585</v>
      </c>
      <c r="K790" t="s">
        <v>3590</v>
      </c>
      <c r="L790" t="s">
        <v>21</v>
      </c>
    </row>
    <row r="791" spans="1:12">
      <c r="A791">
        <v>829</v>
      </c>
      <c r="B791" t="s">
        <v>3591</v>
      </c>
      <c r="C791" t="s">
        <v>13</v>
      </c>
      <c r="D791" t="s">
        <v>13</v>
      </c>
      <c r="E791" t="s">
        <v>3592</v>
      </c>
      <c r="F791" t="s">
        <v>3467</v>
      </c>
      <c r="G791" t="s">
        <v>1244</v>
      </c>
      <c r="H791" t="s">
        <v>433</v>
      </c>
      <c r="I791" t="s">
        <v>3593</v>
      </c>
      <c r="J791" t="s">
        <v>3594</v>
      </c>
      <c r="K791" t="s">
        <v>3595</v>
      </c>
      <c r="L791" t="s">
        <v>21</v>
      </c>
    </row>
    <row r="792" spans="1:12">
      <c r="A792">
        <v>830</v>
      </c>
      <c r="B792" t="s">
        <v>3596</v>
      </c>
      <c r="C792" t="s">
        <v>224</v>
      </c>
      <c r="D792" t="s">
        <v>39</v>
      </c>
      <c r="E792" t="s">
        <v>1048</v>
      </c>
      <c r="F792" t="s">
        <v>3467</v>
      </c>
      <c r="G792" t="s">
        <v>3559</v>
      </c>
      <c r="H792" t="s">
        <v>3597</v>
      </c>
      <c r="I792" t="s">
        <v>3598</v>
      </c>
      <c r="J792" t="s">
        <v>3599</v>
      </c>
      <c r="K792" t="s">
        <v>3600</v>
      </c>
      <c r="L792" t="s">
        <v>21</v>
      </c>
    </row>
    <row r="793" spans="1:12">
      <c r="A793">
        <v>831</v>
      </c>
      <c r="B793" t="s">
        <v>3601</v>
      </c>
      <c r="C793" t="s">
        <v>335</v>
      </c>
      <c r="D793" t="s">
        <v>211</v>
      </c>
      <c r="E793" t="s">
        <v>3602</v>
      </c>
      <c r="F793" t="s">
        <v>3467</v>
      </c>
      <c r="G793" t="s">
        <v>2646</v>
      </c>
      <c r="H793" t="s">
        <v>1999</v>
      </c>
      <c r="I793" t="s">
        <v>3603</v>
      </c>
      <c r="J793" t="s">
        <v>3585</v>
      </c>
      <c r="K793" t="s">
        <v>2412</v>
      </c>
      <c r="L793" t="s">
        <v>21</v>
      </c>
    </row>
    <row r="794" spans="1:12">
      <c r="A794">
        <v>832</v>
      </c>
      <c r="B794" t="s">
        <v>3604</v>
      </c>
      <c r="C794" t="s">
        <v>38</v>
      </c>
      <c r="D794" t="s">
        <v>260</v>
      </c>
      <c r="E794" t="s">
        <v>3605</v>
      </c>
      <c r="F794" t="s">
        <v>3467</v>
      </c>
      <c r="G794" t="s">
        <v>3606</v>
      </c>
      <c r="H794" t="s">
        <v>1999</v>
      </c>
      <c r="I794" t="s">
        <v>3607</v>
      </c>
      <c r="J794" t="s">
        <v>3585</v>
      </c>
      <c r="K794" t="s">
        <v>3608</v>
      </c>
      <c r="L794" t="s">
        <v>54</v>
      </c>
    </row>
    <row r="795" spans="1:12">
      <c r="A795">
        <v>833</v>
      </c>
      <c r="B795" t="s">
        <v>3609</v>
      </c>
      <c r="C795" t="s">
        <v>240</v>
      </c>
      <c r="D795" t="s">
        <v>83</v>
      </c>
      <c r="E795" t="s">
        <v>3610</v>
      </c>
      <c r="F795" t="s">
        <v>3467</v>
      </c>
      <c r="G795" t="s">
        <v>2642</v>
      </c>
      <c r="H795" t="s">
        <v>1999</v>
      </c>
      <c r="I795" t="s">
        <v>3611</v>
      </c>
      <c r="J795" t="s">
        <v>3585</v>
      </c>
      <c r="K795" t="s">
        <v>3612</v>
      </c>
      <c r="L795" t="s">
        <v>21</v>
      </c>
    </row>
    <row r="796" spans="1:12">
      <c r="A796">
        <v>834</v>
      </c>
      <c r="B796" t="s">
        <v>3613</v>
      </c>
      <c r="C796" t="s">
        <v>38</v>
      </c>
      <c r="D796" t="s">
        <v>267</v>
      </c>
      <c r="E796" t="s">
        <v>3014</v>
      </c>
      <c r="F796" t="s">
        <v>3467</v>
      </c>
      <c r="G796" t="s">
        <v>145</v>
      </c>
      <c r="H796" t="s">
        <v>1999</v>
      </c>
      <c r="I796" t="s">
        <v>3614</v>
      </c>
      <c r="J796" t="s">
        <v>3585</v>
      </c>
      <c r="K796" t="s">
        <v>3612</v>
      </c>
      <c r="L796" t="s">
        <v>21</v>
      </c>
    </row>
    <row r="797" spans="1:12">
      <c r="A797">
        <v>835</v>
      </c>
      <c r="B797" t="s">
        <v>3615</v>
      </c>
      <c r="C797" t="s">
        <v>580</v>
      </c>
      <c r="D797" t="s">
        <v>211</v>
      </c>
      <c r="E797" t="s">
        <v>3167</v>
      </c>
      <c r="F797" t="s">
        <v>3467</v>
      </c>
      <c r="G797" t="s">
        <v>68</v>
      </c>
      <c r="H797" t="s">
        <v>433</v>
      </c>
      <c r="I797" t="s">
        <v>3616</v>
      </c>
      <c r="J797" t="s">
        <v>3585</v>
      </c>
      <c r="K797" t="s">
        <v>2096</v>
      </c>
      <c r="L797" t="s">
        <v>54</v>
      </c>
    </row>
    <row r="798" spans="1:12">
      <c r="A798">
        <v>836</v>
      </c>
      <c r="B798" t="s">
        <v>3617</v>
      </c>
      <c r="C798" t="s">
        <v>230</v>
      </c>
      <c r="D798" t="s">
        <v>158</v>
      </c>
      <c r="E798" t="s">
        <v>954</v>
      </c>
      <c r="F798" t="s">
        <v>3467</v>
      </c>
      <c r="G798" t="s">
        <v>1712</v>
      </c>
      <c r="H798" t="s">
        <v>1999</v>
      </c>
      <c r="I798" t="s">
        <v>3618</v>
      </c>
      <c r="J798" t="s">
        <v>3585</v>
      </c>
      <c r="K798" t="s">
        <v>3619</v>
      </c>
      <c r="L798" t="s">
        <v>21</v>
      </c>
    </row>
    <row r="799" spans="1:12">
      <c r="A799">
        <v>837</v>
      </c>
      <c r="B799" t="s">
        <v>3620</v>
      </c>
      <c r="C799" t="s">
        <v>13</v>
      </c>
      <c r="D799" t="s">
        <v>47</v>
      </c>
      <c r="E799" t="s">
        <v>1164</v>
      </c>
      <c r="F799" t="s">
        <v>3467</v>
      </c>
      <c r="G799" t="s">
        <v>2914</v>
      </c>
      <c r="H799" t="s">
        <v>1999</v>
      </c>
      <c r="I799" t="s">
        <v>3621</v>
      </c>
      <c r="J799" t="s">
        <v>3622</v>
      </c>
      <c r="K799" t="s">
        <v>3623</v>
      </c>
      <c r="L799" t="s">
        <v>36</v>
      </c>
    </row>
    <row r="800" spans="1:12">
      <c r="A800">
        <v>838</v>
      </c>
      <c r="B800" t="s">
        <v>3433</v>
      </c>
      <c r="C800" t="s">
        <v>195</v>
      </c>
      <c r="D800" t="s">
        <v>47</v>
      </c>
      <c r="E800" t="s">
        <v>279</v>
      </c>
      <c r="F800" t="s">
        <v>3467</v>
      </c>
      <c r="G800" t="s">
        <v>145</v>
      </c>
      <c r="H800" t="s">
        <v>1999</v>
      </c>
      <c r="I800" t="s">
        <v>3624</v>
      </c>
      <c r="J800" t="s">
        <v>3625</v>
      </c>
      <c r="K800" t="s">
        <v>3626</v>
      </c>
      <c r="L800" t="s">
        <v>21</v>
      </c>
    </row>
    <row r="801" spans="1:12">
      <c r="A801">
        <v>839</v>
      </c>
      <c r="B801" t="s">
        <v>3627</v>
      </c>
      <c r="C801" t="s">
        <v>56</v>
      </c>
      <c r="D801" t="s">
        <v>39</v>
      </c>
      <c r="E801" t="s">
        <v>235</v>
      </c>
      <c r="F801" t="s">
        <v>3467</v>
      </c>
      <c r="G801" t="s">
        <v>3264</v>
      </c>
      <c r="H801" t="s">
        <v>1999</v>
      </c>
      <c r="I801" t="s">
        <v>3628</v>
      </c>
      <c r="J801" t="s">
        <v>3629</v>
      </c>
      <c r="K801" t="s">
        <v>13</v>
      </c>
      <c r="L801" t="s">
        <v>54</v>
      </c>
    </row>
    <row r="802" spans="1:12">
      <c r="A802">
        <v>840</v>
      </c>
      <c r="B802" t="s">
        <v>3630</v>
      </c>
      <c r="C802" t="s">
        <v>1129</v>
      </c>
      <c r="D802" t="s">
        <v>83</v>
      </c>
      <c r="E802" t="s">
        <v>174</v>
      </c>
      <c r="F802" t="s">
        <v>3467</v>
      </c>
      <c r="G802" t="s">
        <v>3631</v>
      </c>
      <c r="H802" t="s">
        <v>433</v>
      </c>
      <c r="I802" t="s">
        <v>3632</v>
      </c>
      <c r="J802" t="s">
        <v>3585</v>
      </c>
      <c r="K802" t="s">
        <v>391</v>
      </c>
      <c r="L802" t="s">
        <v>36</v>
      </c>
    </row>
    <row r="803" spans="1:12">
      <c r="A803">
        <v>841</v>
      </c>
      <c r="B803" t="s">
        <v>3633</v>
      </c>
      <c r="C803" t="s">
        <v>56</v>
      </c>
      <c r="D803" t="s">
        <v>211</v>
      </c>
      <c r="E803" t="s">
        <v>174</v>
      </c>
      <c r="F803" t="s">
        <v>3467</v>
      </c>
      <c r="G803" t="s">
        <v>3634</v>
      </c>
      <c r="H803" t="s">
        <v>1043</v>
      </c>
      <c r="I803" t="s">
        <v>3635</v>
      </c>
      <c r="J803" t="s">
        <v>3585</v>
      </c>
      <c r="K803" t="s">
        <v>3636</v>
      </c>
      <c r="L803" t="s">
        <v>21</v>
      </c>
    </row>
    <row r="804" spans="1:12">
      <c r="A804">
        <v>843</v>
      </c>
      <c r="B804" t="s">
        <v>3523</v>
      </c>
      <c r="C804" t="s">
        <v>200</v>
      </c>
      <c r="D804" t="s">
        <v>158</v>
      </c>
      <c r="E804" t="s">
        <v>3524</v>
      </c>
      <c r="F804" t="s">
        <v>3467</v>
      </c>
      <c r="G804" t="s">
        <v>356</v>
      </c>
      <c r="H804" t="s">
        <v>3525</v>
      </c>
      <c r="I804" t="s">
        <v>3637</v>
      </c>
      <c r="J804" t="s">
        <v>3527</v>
      </c>
      <c r="K804" t="s">
        <v>3528</v>
      </c>
      <c r="L804" t="s">
        <v>21</v>
      </c>
    </row>
    <row r="805" spans="1:12">
      <c r="A805">
        <v>844</v>
      </c>
      <c r="B805" t="s">
        <v>3638</v>
      </c>
      <c r="C805" t="s">
        <v>335</v>
      </c>
      <c r="D805" t="s">
        <v>211</v>
      </c>
      <c r="E805" t="s">
        <v>3602</v>
      </c>
      <c r="F805" t="s">
        <v>3467</v>
      </c>
      <c r="G805" t="s">
        <v>2646</v>
      </c>
      <c r="H805" t="s">
        <v>1999</v>
      </c>
      <c r="I805" t="s">
        <v>3639</v>
      </c>
      <c r="J805" t="s">
        <v>3585</v>
      </c>
      <c r="K805" t="s">
        <v>2412</v>
      </c>
      <c r="L805" t="s">
        <v>21</v>
      </c>
    </row>
    <row r="806" spans="1:12">
      <c r="A806">
        <v>845</v>
      </c>
      <c r="B806" t="s">
        <v>3640</v>
      </c>
      <c r="C806" t="s">
        <v>38</v>
      </c>
      <c r="D806" t="s">
        <v>260</v>
      </c>
      <c r="E806" t="s">
        <v>3605</v>
      </c>
      <c r="F806" t="s">
        <v>3467</v>
      </c>
      <c r="G806" t="s">
        <v>3606</v>
      </c>
      <c r="H806" t="s">
        <v>1999</v>
      </c>
      <c r="I806" t="s">
        <v>3641</v>
      </c>
      <c r="J806" t="s">
        <v>3585</v>
      </c>
      <c r="K806" t="s">
        <v>3608</v>
      </c>
      <c r="L806" t="s">
        <v>54</v>
      </c>
    </row>
    <row r="807" spans="1:12">
      <c r="A807">
        <v>846</v>
      </c>
      <c r="B807" t="s">
        <v>3642</v>
      </c>
      <c r="C807" t="s">
        <v>165</v>
      </c>
      <c r="D807" t="s">
        <v>286</v>
      </c>
      <c r="E807" t="s">
        <v>3605</v>
      </c>
      <c r="F807" t="s">
        <v>3467</v>
      </c>
      <c r="G807" t="s">
        <v>31</v>
      </c>
      <c r="H807" t="s">
        <v>1999</v>
      </c>
      <c r="I807" t="s">
        <v>3643</v>
      </c>
      <c r="J807" t="s">
        <v>3585</v>
      </c>
      <c r="K807" t="s">
        <v>3644</v>
      </c>
      <c r="L807" t="s">
        <v>54</v>
      </c>
    </row>
    <row r="808" spans="1:12">
      <c r="A808">
        <v>847</v>
      </c>
      <c r="B808" t="s">
        <v>3645</v>
      </c>
      <c r="C808" t="s">
        <v>331</v>
      </c>
      <c r="D808" t="s">
        <v>66</v>
      </c>
      <c r="E808" t="s">
        <v>3014</v>
      </c>
      <c r="F808" t="s">
        <v>3467</v>
      </c>
      <c r="G808" t="s">
        <v>3566</v>
      </c>
      <c r="H808" t="s">
        <v>1999</v>
      </c>
      <c r="I808" t="s">
        <v>3646</v>
      </c>
      <c r="J808" t="s">
        <v>3585</v>
      </c>
      <c r="K808" t="s">
        <v>3612</v>
      </c>
      <c r="L808" t="s">
        <v>21</v>
      </c>
    </row>
    <row r="809" spans="1:12">
      <c r="A809">
        <v>848</v>
      </c>
      <c r="B809" t="s">
        <v>3647</v>
      </c>
      <c r="C809" t="s">
        <v>195</v>
      </c>
      <c r="D809" t="s">
        <v>100</v>
      </c>
      <c r="E809" t="s">
        <v>3476</v>
      </c>
      <c r="F809" t="s">
        <v>3467</v>
      </c>
      <c r="G809" t="s">
        <v>68</v>
      </c>
      <c r="H809" t="s">
        <v>3477</v>
      </c>
      <c r="I809" t="s">
        <v>3648</v>
      </c>
      <c r="J809" t="s">
        <v>3649</v>
      </c>
      <c r="K809" t="s">
        <v>3650</v>
      </c>
      <c r="L809" t="s">
        <v>54</v>
      </c>
    </row>
    <row r="810" spans="1:12">
      <c r="A810">
        <v>849</v>
      </c>
      <c r="B810" t="s">
        <v>3651</v>
      </c>
      <c r="C810" t="s">
        <v>331</v>
      </c>
      <c r="D810" t="s">
        <v>66</v>
      </c>
      <c r="E810" t="s">
        <v>1677</v>
      </c>
      <c r="F810" t="s">
        <v>3467</v>
      </c>
      <c r="G810" t="s">
        <v>31</v>
      </c>
      <c r="H810" t="s">
        <v>1999</v>
      </c>
      <c r="I810" t="s">
        <v>3652</v>
      </c>
      <c r="J810" t="s">
        <v>3585</v>
      </c>
      <c r="K810" t="s">
        <v>2096</v>
      </c>
      <c r="L810" t="s">
        <v>21</v>
      </c>
    </row>
    <row r="811" spans="1:12">
      <c r="A811">
        <v>850</v>
      </c>
      <c r="B811" t="s">
        <v>3653</v>
      </c>
      <c r="C811" t="s">
        <v>195</v>
      </c>
      <c r="D811" t="s">
        <v>267</v>
      </c>
      <c r="E811" t="s">
        <v>1340</v>
      </c>
      <c r="F811" t="s">
        <v>3467</v>
      </c>
      <c r="G811" t="s">
        <v>109</v>
      </c>
      <c r="H811" t="s">
        <v>1999</v>
      </c>
      <c r="I811" t="s">
        <v>3654</v>
      </c>
      <c r="J811" t="s">
        <v>3655</v>
      </c>
      <c r="K811" t="s">
        <v>3656</v>
      </c>
      <c r="L811" t="s">
        <v>54</v>
      </c>
    </row>
    <row r="812" spans="1:12">
      <c r="A812">
        <v>851</v>
      </c>
      <c r="B812" t="s">
        <v>3657</v>
      </c>
      <c r="C812" t="s">
        <v>13</v>
      </c>
      <c r="D812" t="s">
        <v>13</v>
      </c>
      <c r="E812" t="s">
        <v>1307</v>
      </c>
      <c r="F812" t="s">
        <v>3467</v>
      </c>
      <c r="G812" t="s">
        <v>2892</v>
      </c>
      <c r="H812" t="s">
        <v>1999</v>
      </c>
      <c r="I812" t="s">
        <v>3658</v>
      </c>
      <c r="J812" t="s">
        <v>3585</v>
      </c>
      <c r="K812" t="s">
        <v>3659</v>
      </c>
      <c r="L812" t="s">
        <v>36</v>
      </c>
    </row>
    <row r="813" spans="1:12">
      <c r="A813">
        <v>852</v>
      </c>
      <c r="B813" t="s">
        <v>3660</v>
      </c>
      <c r="C813" t="s">
        <v>38</v>
      </c>
      <c r="D813" t="s">
        <v>39</v>
      </c>
      <c r="E813" t="s">
        <v>3286</v>
      </c>
      <c r="F813" t="s">
        <v>3467</v>
      </c>
      <c r="G813" t="s">
        <v>145</v>
      </c>
      <c r="H813" t="s">
        <v>1999</v>
      </c>
      <c r="I813" t="s">
        <v>3661</v>
      </c>
      <c r="J813" t="s">
        <v>3662</v>
      </c>
      <c r="K813" t="s">
        <v>3663</v>
      </c>
      <c r="L813" t="s">
        <v>21</v>
      </c>
    </row>
    <row r="814" spans="1:12">
      <c r="A814">
        <v>853</v>
      </c>
      <c r="B814" t="s">
        <v>3664</v>
      </c>
      <c r="C814" t="s">
        <v>200</v>
      </c>
      <c r="D814" t="s">
        <v>267</v>
      </c>
      <c r="E814" t="s">
        <v>1150</v>
      </c>
      <c r="F814" t="s">
        <v>3467</v>
      </c>
      <c r="G814" t="s">
        <v>31</v>
      </c>
      <c r="H814" t="s">
        <v>3567</v>
      </c>
      <c r="I814" t="s">
        <v>3665</v>
      </c>
      <c r="J814" t="s">
        <v>3666</v>
      </c>
      <c r="K814" t="s">
        <v>3667</v>
      </c>
      <c r="L814" t="s">
        <v>21</v>
      </c>
    </row>
    <row r="815" spans="1:12">
      <c r="A815">
        <v>854</v>
      </c>
      <c r="B815" t="s">
        <v>3668</v>
      </c>
      <c r="C815" t="s">
        <v>13</v>
      </c>
      <c r="D815" t="s">
        <v>47</v>
      </c>
      <c r="E815" t="s">
        <v>1164</v>
      </c>
      <c r="F815" t="s">
        <v>3467</v>
      </c>
      <c r="G815" t="s">
        <v>2914</v>
      </c>
      <c r="H815" t="s">
        <v>1999</v>
      </c>
      <c r="I815" t="s">
        <v>3669</v>
      </c>
      <c r="J815" t="s">
        <v>3622</v>
      </c>
      <c r="K815" t="s">
        <v>3670</v>
      </c>
      <c r="L815" t="s">
        <v>36</v>
      </c>
    </row>
    <row r="816" spans="1:12">
      <c r="A816">
        <v>855</v>
      </c>
      <c r="B816" t="s">
        <v>3671</v>
      </c>
      <c r="C816" t="s">
        <v>46</v>
      </c>
      <c r="D816" t="s">
        <v>260</v>
      </c>
      <c r="E816" t="s">
        <v>137</v>
      </c>
      <c r="F816" t="s">
        <v>3467</v>
      </c>
      <c r="G816" t="s">
        <v>1463</v>
      </c>
      <c r="H816" t="s">
        <v>1999</v>
      </c>
      <c r="I816" t="s">
        <v>3672</v>
      </c>
      <c r="J816" t="s">
        <v>3673</v>
      </c>
      <c r="K816" t="s">
        <v>3626</v>
      </c>
      <c r="L816" t="s">
        <v>21</v>
      </c>
    </row>
    <row r="817" spans="1:12">
      <c r="A817">
        <v>856</v>
      </c>
      <c r="B817" t="s">
        <v>3674</v>
      </c>
      <c r="C817" t="s">
        <v>46</v>
      </c>
      <c r="D817" t="s">
        <v>260</v>
      </c>
      <c r="E817" t="s">
        <v>294</v>
      </c>
      <c r="F817" t="s">
        <v>3467</v>
      </c>
      <c r="G817" t="s">
        <v>3443</v>
      </c>
      <c r="H817" t="s">
        <v>433</v>
      </c>
      <c r="I817" t="s">
        <v>3675</v>
      </c>
      <c r="J817" t="s">
        <v>3585</v>
      </c>
      <c r="K817" t="s">
        <v>3626</v>
      </c>
      <c r="L817" t="s">
        <v>21</v>
      </c>
    </row>
    <row r="818" spans="1:12">
      <c r="A818">
        <v>858</v>
      </c>
      <c r="B818" t="s">
        <v>3676</v>
      </c>
      <c r="C818" t="s">
        <v>3677</v>
      </c>
      <c r="D818" t="s">
        <v>13</v>
      </c>
      <c r="E818" t="s">
        <v>3677</v>
      </c>
      <c r="F818" t="s">
        <v>3678</v>
      </c>
      <c r="G818" t="s">
        <v>1712</v>
      </c>
      <c r="H818" t="s">
        <v>3567</v>
      </c>
      <c r="I818" t="s">
        <v>3679</v>
      </c>
      <c r="J818" t="s">
        <v>3680</v>
      </c>
      <c r="K818" t="s">
        <v>3681</v>
      </c>
      <c r="L818" t="s">
        <v>21</v>
      </c>
    </row>
    <row r="819" spans="1:12">
      <c r="A819">
        <v>859</v>
      </c>
      <c r="B819" t="s">
        <v>3682</v>
      </c>
      <c r="C819" t="s">
        <v>3683</v>
      </c>
      <c r="D819" t="s">
        <v>13</v>
      </c>
      <c r="E819" t="s">
        <v>3683</v>
      </c>
      <c r="F819" t="s">
        <v>3678</v>
      </c>
      <c r="G819" t="s">
        <v>68</v>
      </c>
      <c r="H819" t="s">
        <v>433</v>
      </c>
      <c r="I819" t="s">
        <v>3684</v>
      </c>
      <c r="J819" t="s">
        <v>3685</v>
      </c>
      <c r="K819" t="s">
        <v>3686</v>
      </c>
      <c r="L819" t="s">
        <v>54</v>
      </c>
    </row>
    <row r="820" spans="1:12">
      <c r="A820">
        <v>862</v>
      </c>
      <c r="B820" t="s">
        <v>3687</v>
      </c>
      <c r="C820" t="s">
        <v>230</v>
      </c>
      <c r="D820" t="s">
        <v>286</v>
      </c>
      <c r="E820" t="s">
        <v>3688</v>
      </c>
      <c r="F820" t="s">
        <v>3678</v>
      </c>
      <c r="G820" t="s">
        <v>3689</v>
      </c>
      <c r="H820" t="s">
        <v>3567</v>
      </c>
      <c r="I820" t="s">
        <v>3690</v>
      </c>
      <c r="J820" t="s">
        <v>3680</v>
      </c>
      <c r="K820" t="s">
        <v>3691</v>
      </c>
      <c r="L820" t="s">
        <v>54</v>
      </c>
    </row>
    <row r="821" spans="1:12">
      <c r="A821">
        <v>863</v>
      </c>
      <c r="B821" t="s">
        <v>3692</v>
      </c>
      <c r="C821" t="s">
        <v>200</v>
      </c>
      <c r="D821" t="s">
        <v>66</v>
      </c>
      <c r="E821" t="s">
        <v>3565</v>
      </c>
      <c r="F821" t="s">
        <v>3678</v>
      </c>
      <c r="G821" t="s">
        <v>3566</v>
      </c>
      <c r="H821" t="s">
        <v>3567</v>
      </c>
      <c r="I821" t="s">
        <v>3568</v>
      </c>
      <c r="J821" t="s">
        <v>3555</v>
      </c>
      <c r="K821" t="s">
        <v>3569</v>
      </c>
      <c r="L821" t="s">
        <v>21</v>
      </c>
    </row>
    <row r="822" spans="1:12">
      <c r="A822">
        <v>864</v>
      </c>
      <c r="B822" t="s">
        <v>3693</v>
      </c>
      <c r="C822" t="s">
        <v>522</v>
      </c>
      <c r="D822" t="s">
        <v>83</v>
      </c>
      <c r="E822" t="s">
        <v>3571</v>
      </c>
      <c r="F822" t="s">
        <v>3678</v>
      </c>
      <c r="G822" t="s">
        <v>3694</v>
      </c>
      <c r="H822" t="s">
        <v>3695</v>
      </c>
      <c r="I822" t="s">
        <v>3574</v>
      </c>
      <c r="J822" t="s">
        <v>3555</v>
      </c>
      <c r="K822" t="s">
        <v>3575</v>
      </c>
      <c r="L822" t="s">
        <v>21</v>
      </c>
    </row>
    <row r="823" spans="1:12">
      <c r="A823">
        <v>865</v>
      </c>
      <c r="B823" t="s">
        <v>3696</v>
      </c>
      <c r="C823" t="s">
        <v>240</v>
      </c>
      <c r="D823" t="s">
        <v>39</v>
      </c>
      <c r="E823" t="s">
        <v>3697</v>
      </c>
      <c r="F823" t="s">
        <v>3678</v>
      </c>
      <c r="G823" t="s">
        <v>3559</v>
      </c>
      <c r="H823" t="s">
        <v>3698</v>
      </c>
      <c r="I823" t="s">
        <v>3699</v>
      </c>
      <c r="J823" t="s">
        <v>3700</v>
      </c>
      <c r="K823" t="s">
        <v>3701</v>
      </c>
      <c r="L823" t="s">
        <v>21</v>
      </c>
    </row>
    <row r="824" spans="1:12">
      <c r="A824">
        <v>866</v>
      </c>
      <c r="B824" t="s">
        <v>3702</v>
      </c>
      <c r="C824" t="s">
        <v>633</v>
      </c>
      <c r="D824" t="s">
        <v>47</v>
      </c>
      <c r="E824" t="s">
        <v>3588</v>
      </c>
      <c r="F824" t="s">
        <v>3678</v>
      </c>
      <c r="G824" t="s">
        <v>3703</v>
      </c>
      <c r="H824" t="s">
        <v>3704</v>
      </c>
      <c r="I824" t="s">
        <v>3705</v>
      </c>
      <c r="J824" t="s">
        <v>3700</v>
      </c>
      <c r="K824" t="s">
        <v>2146</v>
      </c>
      <c r="L824" t="s">
        <v>36</v>
      </c>
    </row>
    <row r="825" spans="1:12">
      <c r="A825">
        <v>867</v>
      </c>
      <c r="B825" t="s">
        <v>3706</v>
      </c>
      <c r="C825" t="s">
        <v>13</v>
      </c>
      <c r="D825" t="s">
        <v>13</v>
      </c>
      <c r="E825" t="s">
        <v>3707</v>
      </c>
      <c r="F825" t="s">
        <v>3678</v>
      </c>
      <c r="G825" t="s">
        <v>3708</v>
      </c>
      <c r="H825" t="s">
        <v>3709</v>
      </c>
      <c r="I825" t="s">
        <v>3710</v>
      </c>
      <c r="J825" t="s">
        <v>753</v>
      </c>
      <c r="K825" t="s">
        <v>3711</v>
      </c>
      <c r="L825" t="s">
        <v>21</v>
      </c>
    </row>
    <row r="826" spans="1:12">
      <c r="A826">
        <v>868</v>
      </c>
      <c r="B826" t="s">
        <v>3712</v>
      </c>
      <c r="C826" t="s">
        <v>321</v>
      </c>
      <c r="D826" t="s">
        <v>47</v>
      </c>
      <c r="E826" t="s">
        <v>3713</v>
      </c>
      <c r="F826" t="s">
        <v>3678</v>
      </c>
      <c r="G826" t="s">
        <v>3714</v>
      </c>
      <c r="H826" t="s">
        <v>3567</v>
      </c>
      <c r="I826" t="s">
        <v>3715</v>
      </c>
      <c r="J826" t="s">
        <v>3680</v>
      </c>
      <c r="K826" t="s">
        <v>3716</v>
      </c>
      <c r="L826" t="s">
        <v>54</v>
      </c>
    </row>
    <row r="827" spans="1:12">
      <c r="A827">
        <v>869</v>
      </c>
      <c r="B827" t="s">
        <v>3717</v>
      </c>
      <c r="C827" t="s">
        <v>200</v>
      </c>
      <c r="D827" t="s">
        <v>57</v>
      </c>
      <c r="E827" t="s">
        <v>3718</v>
      </c>
      <c r="F827" t="s">
        <v>3678</v>
      </c>
      <c r="G827" t="s">
        <v>3719</v>
      </c>
      <c r="H827" t="s">
        <v>3720</v>
      </c>
      <c r="I827" t="s">
        <v>3721</v>
      </c>
      <c r="J827" t="s">
        <v>328</v>
      </c>
      <c r="K827" t="s">
        <v>3722</v>
      </c>
      <c r="L827" t="s">
        <v>21</v>
      </c>
    </row>
    <row r="828" spans="1:12">
      <c r="A828">
        <v>870</v>
      </c>
      <c r="B828" t="s">
        <v>3723</v>
      </c>
      <c r="C828" t="s">
        <v>74</v>
      </c>
      <c r="D828" t="s">
        <v>39</v>
      </c>
      <c r="E828" t="s">
        <v>3724</v>
      </c>
      <c r="F828" t="s">
        <v>3678</v>
      </c>
      <c r="G828" t="s">
        <v>3559</v>
      </c>
      <c r="H828" t="s">
        <v>3725</v>
      </c>
      <c r="I828" t="s">
        <v>3726</v>
      </c>
      <c r="J828" t="s">
        <v>3727</v>
      </c>
      <c r="K828" t="s">
        <v>3728</v>
      </c>
      <c r="L828" t="s">
        <v>36</v>
      </c>
    </row>
    <row r="829" spans="1:12">
      <c r="A829">
        <v>871</v>
      </c>
      <c r="B829" t="s">
        <v>3729</v>
      </c>
      <c r="C829" t="s">
        <v>1129</v>
      </c>
      <c r="D829" t="s">
        <v>267</v>
      </c>
      <c r="E829" t="s">
        <v>1671</v>
      </c>
      <c r="F829" t="s">
        <v>3678</v>
      </c>
      <c r="G829" t="s">
        <v>3730</v>
      </c>
      <c r="H829" t="s">
        <v>3731</v>
      </c>
      <c r="I829" t="s">
        <v>3732</v>
      </c>
      <c r="J829" t="s">
        <v>3733</v>
      </c>
      <c r="K829" t="s">
        <v>3734</v>
      </c>
      <c r="L829" t="s">
        <v>21</v>
      </c>
    </row>
    <row r="830" spans="1:12">
      <c r="A830">
        <v>872</v>
      </c>
      <c r="B830" t="s">
        <v>3735</v>
      </c>
      <c r="C830" t="s">
        <v>362</v>
      </c>
      <c r="D830" t="s">
        <v>158</v>
      </c>
      <c r="E830" t="s">
        <v>387</v>
      </c>
      <c r="F830" t="s">
        <v>3678</v>
      </c>
      <c r="G830" t="s">
        <v>3736</v>
      </c>
      <c r="H830" t="s">
        <v>3567</v>
      </c>
      <c r="I830" t="s">
        <v>3737</v>
      </c>
      <c r="J830" t="s">
        <v>3733</v>
      </c>
      <c r="K830" t="s">
        <v>3738</v>
      </c>
      <c r="L830" t="s">
        <v>54</v>
      </c>
    </row>
    <row r="831" spans="1:12">
      <c r="A831">
        <v>873</v>
      </c>
      <c r="B831" t="s">
        <v>3739</v>
      </c>
      <c r="C831" t="s">
        <v>74</v>
      </c>
      <c r="D831" t="s">
        <v>173</v>
      </c>
      <c r="E831" t="s">
        <v>1109</v>
      </c>
      <c r="F831" t="s">
        <v>3678</v>
      </c>
      <c r="G831" t="s">
        <v>3559</v>
      </c>
      <c r="H831" t="s">
        <v>3567</v>
      </c>
      <c r="I831" t="s">
        <v>3740</v>
      </c>
      <c r="J831" t="s">
        <v>3741</v>
      </c>
      <c r="K831" t="s">
        <v>3742</v>
      </c>
      <c r="L831" t="s">
        <v>21</v>
      </c>
    </row>
    <row r="832" spans="1:12">
      <c r="A832">
        <v>874</v>
      </c>
      <c r="B832" t="s">
        <v>3743</v>
      </c>
      <c r="C832" t="s">
        <v>107</v>
      </c>
      <c r="D832" t="s">
        <v>100</v>
      </c>
      <c r="E832" t="s">
        <v>571</v>
      </c>
      <c r="F832" t="s">
        <v>3678</v>
      </c>
      <c r="G832" t="s">
        <v>3744</v>
      </c>
      <c r="H832" t="s">
        <v>433</v>
      </c>
      <c r="I832" t="s">
        <v>3745</v>
      </c>
      <c r="J832" t="s">
        <v>3733</v>
      </c>
      <c r="K832" t="s">
        <v>3738</v>
      </c>
      <c r="L832" t="s">
        <v>54</v>
      </c>
    </row>
    <row r="833" spans="1:12">
      <c r="A833">
        <v>875</v>
      </c>
      <c r="B833" t="s">
        <v>3746</v>
      </c>
      <c r="C833" t="s">
        <v>200</v>
      </c>
      <c r="D833" t="s">
        <v>211</v>
      </c>
      <c r="E833" t="s">
        <v>422</v>
      </c>
      <c r="F833" t="s">
        <v>3678</v>
      </c>
      <c r="G833" t="s">
        <v>1712</v>
      </c>
      <c r="H833" t="s">
        <v>3567</v>
      </c>
      <c r="I833" t="s">
        <v>3747</v>
      </c>
      <c r="J833" t="s">
        <v>3733</v>
      </c>
      <c r="K833" t="s">
        <v>3748</v>
      </c>
      <c r="L833" t="s">
        <v>54</v>
      </c>
    </row>
    <row r="834" spans="1:12">
      <c r="A834">
        <v>876</v>
      </c>
      <c r="B834" t="s">
        <v>3749</v>
      </c>
      <c r="C834" t="s">
        <v>331</v>
      </c>
      <c r="D834" t="s">
        <v>100</v>
      </c>
      <c r="E834" t="s">
        <v>2126</v>
      </c>
      <c r="F834" t="s">
        <v>3678</v>
      </c>
      <c r="G834" t="s">
        <v>3750</v>
      </c>
      <c r="H834" t="s">
        <v>3567</v>
      </c>
      <c r="I834" t="s">
        <v>3751</v>
      </c>
      <c r="J834" t="s">
        <v>3733</v>
      </c>
      <c r="K834" t="s">
        <v>3752</v>
      </c>
      <c r="L834" t="s">
        <v>21</v>
      </c>
    </row>
    <row r="835" spans="1:12">
      <c r="A835">
        <v>877</v>
      </c>
      <c r="B835" t="s">
        <v>3664</v>
      </c>
      <c r="C835" t="s">
        <v>200</v>
      </c>
      <c r="D835" t="s">
        <v>267</v>
      </c>
      <c r="E835" t="s">
        <v>1150</v>
      </c>
      <c r="F835" t="s">
        <v>3678</v>
      </c>
      <c r="G835" t="s">
        <v>3559</v>
      </c>
      <c r="H835" t="s">
        <v>3567</v>
      </c>
      <c r="I835" t="s">
        <v>3753</v>
      </c>
      <c r="J835" t="s">
        <v>3666</v>
      </c>
      <c r="K835" t="s">
        <v>3754</v>
      </c>
      <c r="L835" t="s">
        <v>21</v>
      </c>
    </row>
    <row r="836" spans="1:12">
      <c r="A836">
        <v>878</v>
      </c>
      <c r="B836" t="s">
        <v>3755</v>
      </c>
      <c r="C836" t="s">
        <v>230</v>
      </c>
      <c r="D836" t="s">
        <v>83</v>
      </c>
      <c r="E836" t="s">
        <v>818</v>
      </c>
      <c r="F836" t="s">
        <v>3678</v>
      </c>
      <c r="G836" t="s">
        <v>280</v>
      </c>
      <c r="H836" t="s">
        <v>3709</v>
      </c>
      <c r="I836" t="s">
        <v>3756</v>
      </c>
      <c r="J836" t="s">
        <v>3757</v>
      </c>
      <c r="K836" t="s">
        <v>3758</v>
      </c>
      <c r="L836" t="s">
        <v>54</v>
      </c>
    </row>
    <row r="837" spans="1:12">
      <c r="A837">
        <v>879</v>
      </c>
      <c r="B837" t="s">
        <v>3759</v>
      </c>
      <c r="C837" t="s">
        <v>150</v>
      </c>
      <c r="D837" t="s">
        <v>267</v>
      </c>
      <c r="E837" t="s">
        <v>713</v>
      </c>
      <c r="F837" t="s">
        <v>3678</v>
      </c>
      <c r="G837" t="s">
        <v>85</v>
      </c>
      <c r="H837" t="s">
        <v>3567</v>
      </c>
      <c r="I837" t="s">
        <v>3760</v>
      </c>
      <c r="J837" t="s">
        <v>3733</v>
      </c>
      <c r="K837" t="s">
        <v>3761</v>
      </c>
      <c r="L837" t="s">
        <v>54</v>
      </c>
    </row>
    <row r="838" spans="1:12">
      <c r="A838">
        <v>880</v>
      </c>
      <c r="B838" t="s">
        <v>3762</v>
      </c>
      <c r="C838" t="s">
        <v>1129</v>
      </c>
      <c r="D838" t="s">
        <v>173</v>
      </c>
      <c r="E838" t="s">
        <v>893</v>
      </c>
      <c r="F838" t="s">
        <v>3678</v>
      </c>
      <c r="G838" t="s">
        <v>3763</v>
      </c>
      <c r="H838" t="s">
        <v>3764</v>
      </c>
      <c r="I838" t="s">
        <v>3765</v>
      </c>
      <c r="J838" t="s">
        <v>3766</v>
      </c>
      <c r="K838" t="s">
        <v>3767</v>
      </c>
      <c r="L838" t="s">
        <v>21</v>
      </c>
    </row>
    <row r="839" spans="1:12">
      <c r="A839">
        <v>881</v>
      </c>
      <c r="B839" t="s">
        <v>3768</v>
      </c>
      <c r="C839" t="s">
        <v>522</v>
      </c>
      <c r="D839" t="s">
        <v>267</v>
      </c>
      <c r="E839" t="s">
        <v>1917</v>
      </c>
      <c r="F839" t="s">
        <v>3678</v>
      </c>
      <c r="G839" t="s">
        <v>1712</v>
      </c>
      <c r="H839" t="s">
        <v>3567</v>
      </c>
      <c r="I839" t="s">
        <v>3769</v>
      </c>
      <c r="J839" t="s">
        <v>3733</v>
      </c>
      <c r="K839" t="s">
        <v>3770</v>
      </c>
      <c r="L839" t="s">
        <v>36</v>
      </c>
    </row>
    <row r="840" spans="1:12">
      <c r="A840">
        <v>882</v>
      </c>
      <c r="B840" t="s">
        <v>3771</v>
      </c>
      <c r="C840" t="s">
        <v>107</v>
      </c>
      <c r="D840" t="s">
        <v>173</v>
      </c>
      <c r="E840" t="s">
        <v>603</v>
      </c>
      <c r="F840" t="s">
        <v>3678</v>
      </c>
      <c r="G840" t="s">
        <v>3429</v>
      </c>
      <c r="H840" t="s">
        <v>3731</v>
      </c>
      <c r="I840" t="s">
        <v>3772</v>
      </c>
      <c r="J840" t="s">
        <v>3773</v>
      </c>
      <c r="K840" t="s">
        <v>3432</v>
      </c>
      <c r="L840" t="s">
        <v>21</v>
      </c>
    </row>
    <row r="841" spans="1:12">
      <c r="A841">
        <v>883</v>
      </c>
      <c r="B841" t="s">
        <v>3774</v>
      </c>
      <c r="C841" t="s">
        <v>321</v>
      </c>
      <c r="D841" t="s">
        <v>39</v>
      </c>
      <c r="E841" t="s">
        <v>231</v>
      </c>
      <c r="F841" t="s">
        <v>3678</v>
      </c>
      <c r="G841" t="s">
        <v>280</v>
      </c>
      <c r="H841" t="s">
        <v>3775</v>
      </c>
      <c r="I841" t="s">
        <v>3776</v>
      </c>
      <c r="J841" t="s">
        <v>3777</v>
      </c>
      <c r="K841" t="s">
        <v>3758</v>
      </c>
      <c r="L841" t="s">
        <v>54</v>
      </c>
    </row>
    <row r="842" spans="1:12">
      <c r="A842">
        <v>884</v>
      </c>
      <c r="B842" t="s">
        <v>3778</v>
      </c>
      <c r="C842" t="s">
        <v>224</v>
      </c>
      <c r="D842" t="s">
        <v>260</v>
      </c>
      <c r="E842" t="s">
        <v>151</v>
      </c>
      <c r="F842" t="s">
        <v>3678</v>
      </c>
      <c r="G842" t="s">
        <v>3779</v>
      </c>
      <c r="H842" t="s">
        <v>3780</v>
      </c>
      <c r="I842" t="s">
        <v>3781</v>
      </c>
      <c r="J842" t="s">
        <v>3782</v>
      </c>
      <c r="K842" t="s">
        <v>3783</v>
      </c>
      <c r="L842" t="s">
        <v>54</v>
      </c>
    </row>
    <row r="843" spans="1:12">
      <c r="A843">
        <v>885</v>
      </c>
      <c r="B843" t="s">
        <v>3784</v>
      </c>
      <c r="C843" t="s">
        <v>46</v>
      </c>
      <c r="D843" t="s">
        <v>47</v>
      </c>
      <c r="E843" t="s">
        <v>341</v>
      </c>
      <c r="F843" t="s">
        <v>3678</v>
      </c>
      <c r="G843" t="s">
        <v>3785</v>
      </c>
      <c r="H843" t="s">
        <v>3764</v>
      </c>
      <c r="I843" t="s">
        <v>3786</v>
      </c>
      <c r="J843" t="s">
        <v>3773</v>
      </c>
      <c r="K843" t="s">
        <v>3787</v>
      </c>
      <c r="L843" t="s">
        <v>21</v>
      </c>
    </row>
    <row r="844" spans="1:12">
      <c r="A844">
        <v>886</v>
      </c>
      <c r="B844" t="s">
        <v>3788</v>
      </c>
      <c r="C844" t="s">
        <v>65</v>
      </c>
      <c r="D844" t="s">
        <v>57</v>
      </c>
      <c r="E844" t="s">
        <v>3789</v>
      </c>
      <c r="F844" t="s">
        <v>3790</v>
      </c>
      <c r="G844" t="s">
        <v>3791</v>
      </c>
      <c r="H844" t="s">
        <v>3792</v>
      </c>
      <c r="I844" t="s">
        <v>3793</v>
      </c>
      <c r="J844" t="s">
        <v>3794</v>
      </c>
      <c r="K844" t="s">
        <v>3795</v>
      </c>
      <c r="L844" t="s">
        <v>21</v>
      </c>
    </row>
    <row r="845" spans="1:12">
      <c r="A845">
        <v>887</v>
      </c>
      <c r="B845" t="s">
        <v>3796</v>
      </c>
      <c r="C845" t="s">
        <v>13</v>
      </c>
      <c r="D845" t="s">
        <v>13</v>
      </c>
      <c r="E845" t="s">
        <v>3789</v>
      </c>
      <c r="F845" t="s">
        <v>3790</v>
      </c>
      <c r="G845" t="s">
        <v>3797</v>
      </c>
      <c r="H845" t="s">
        <v>3798</v>
      </c>
      <c r="I845" t="s">
        <v>3799</v>
      </c>
      <c r="J845" t="s">
        <v>3800</v>
      </c>
      <c r="K845" t="s">
        <v>3801</v>
      </c>
      <c r="L845" t="s">
        <v>36</v>
      </c>
    </row>
    <row r="846" spans="1:12">
      <c r="A846">
        <v>888</v>
      </c>
      <c r="B846" t="s">
        <v>3802</v>
      </c>
      <c r="C846" t="s">
        <v>298</v>
      </c>
      <c r="D846" t="s">
        <v>57</v>
      </c>
      <c r="E846" t="s">
        <v>3311</v>
      </c>
      <c r="F846" t="s">
        <v>3790</v>
      </c>
      <c r="G846" t="s">
        <v>3803</v>
      </c>
      <c r="H846" t="s">
        <v>3312</v>
      </c>
      <c r="I846" t="s">
        <v>3804</v>
      </c>
      <c r="J846" t="s">
        <v>3805</v>
      </c>
      <c r="K846" t="s">
        <v>3806</v>
      </c>
      <c r="L846" t="s">
        <v>54</v>
      </c>
    </row>
    <row r="847" spans="1:12">
      <c r="A847">
        <v>889</v>
      </c>
      <c r="B847" t="s">
        <v>3807</v>
      </c>
      <c r="C847" t="s">
        <v>115</v>
      </c>
      <c r="D847" t="s">
        <v>83</v>
      </c>
      <c r="E847" t="s">
        <v>3808</v>
      </c>
      <c r="F847" t="s">
        <v>3790</v>
      </c>
      <c r="G847" t="s">
        <v>3809</v>
      </c>
      <c r="H847" t="s">
        <v>3810</v>
      </c>
      <c r="I847" t="s">
        <v>3811</v>
      </c>
      <c r="J847" t="s">
        <v>3812</v>
      </c>
      <c r="K847" t="s">
        <v>3813</v>
      </c>
      <c r="L847" t="s">
        <v>36</v>
      </c>
    </row>
    <row r="848" spans="1:12">
      <c r="A848">
        <v>890</v>
      </c>
      <c r="B848" t="s">
        <v>3814</v>
      </c>
      <c r="C848" t="s">
        <v>13</v>
      </c>
      <c r="D848" t="s">
        <v>13</v>
      </c>
      <c r="E848" t="s">
        <v>3815</v>
      </c>
      <c r="F848" t="s">
        <v>3790</v>
      </c>
      <c r="G848" t="s">
        <v>68</v>
      </c>
      <c r="H848" t="s">
        <v>3072</v>
      </c>
      <c r="I848" t="s">
        <v>3816</v>
      </c>
      <c r="J848" t="s">
        <v>3817</v>
      </c>
      <c r="K848" t="s">
        <v>3818</v>
      </c>
      <c r="L848" t="s">
        <v>54</v>
      </c>
    </row>
    <row r="849" spans="1:12">
      <c r="A849">
        <v>891</v>
      </c>
      <c r="B849" t="s">
        <v>3819</v>
      </c>
      <c r="C849" t="s">
        <v>46</v>
      </c>
      <c r="D849" t="s">
        <v>83</v>
      </c>
      <c r="E849" t="s">
        <v>3820</v>
      </c>
      <c r="F849" t="s">
        <v>3790</v>
      </c>
      <c r="G849" t="s">
        <v>3821</v>
      </c>
      <c r="H849" t="s">
        <v>433</v>
      </c>
      <c r="I849" t="s">
        <v>3822</v>
      </c>
      <c r="J849" t="s">
        <v>3823</v>
      </c>
      <c r="K849" t="s">
        <v>3801</v>
      </c>
      <c r="L849" t="s">
        <v>54</v>
      </c>
    </row>
    <row r="850" spans="1:12">
      <c r="A850">
        <v>892</v>
      </c>
      <c r="B850" t="s">
        <v>3824</v>
      </c>
      <c r="C850" t="s">
        <v>13</v>
      </c>
      <c r="D850" t="s">
        <v>13</v>
      </c>
      <c r="E850" t="s">
        <v>3042</v>
      </c>
      <c r="F850" t="s">
        <v>3790</v>
      </c>
      <c r="G850" t="s">
        <v>49</v>
      </c>
      <c r="H850" t="s">
        <v>3825</v>
      </c>
      <c r="I850" t="s">
        <v>3826</v>
      </c>
      <c r="J850" t="s">
        <v>3827</v>
      </c>
      <c r="K850" t="s">
        <v>3828</v>
      </c>
      <c r="L850" t="s">
        <v>54</v>
      </c>
    </row>
    <row r="851" spans="1:12">
      <c r="A851">
        <v>893</v>
      </c>
      <c r="B851" t="s">
        <v>3829</v>
      </c>
      <c r="C851" t="s">
        <v>1129</v>
      </c>
      <c r="D851" t="s">
        <v>211</v>
      </c>
      <c r="E851" t="s">
        <v>1076</v>
      </c>
      <c r="F851" t="s">
        <v>3790</v>
      </c>
      <c r="G851" t="s">
        <v>801</v>
      </c>
      <c r="H851" t="s">
        <v>3790</v>
      </c>
      <c r="I851" t="s">
        <v>3830</v>
      </c>
      <c r="J851" t="s">
        <v>3831</v>
      </c>
      <c r="K851" t="s">
        <v>3832</v>
      </c>
      <c r="L851" t="s">
        <v>54</v>
      </c>
    </row>
    <row r="852" spans="1:12">
      <c r="A852">
        <v>894</v>
      </c>
      <c r="B852" t="s">
        <v>3833</v>
      </c>
      <c r="C852" t="s">
        <v>91</v>
      </c>
      <c r="D852" t="s">
        <v>83</v>
      </c>
      <c r="E852" t="s">
        <v>201</v>
      </c>
      <c r="F852" t="s">
        <v>3790</v>
      </c>
      <c r="G852" t="s">
        <v>3834</v>
      </c>
      <c r="H852" t="s">
        <v>3790</v>
      </c>
      <c r="I852" t="s">
        <v>3835</v>
      </c>
      <c r="J852" t="s">
        <v>3831</v>
      </c>
      <c r="K852" t="s">
        <v>3836</v>
      </c>
      <c r="L852" t="s">
        <v>21</v>
      </c>
    </row>
    <row r="853" spans="1:12">
      <c r="A853">
        <v>895</v>
      </c>
      <c r="B853" t="s">
        <v>3837</v>
      </c>
      <c r="C853" t="s">
        <v>74</v>
      </c>
      <c r="D853" t="s">
        <v>267</v>
      </c>
      <c r="E853" t="s">
        <v>643</v>
      </c>
      <c r="F853" t="s">
        <v>3790</v>
      </c>
      <c r="G853" t="s">
        <v>85</v>
      </c>
      <c r="H853" t="s">
        <v>3838</v>
      </c>
      <c r="I853" t="s">
        <v>87</v>
      </c>
      <c r="J853" t="s">
        <v>3839</v>
      </c>
      <c r="K853" t="s">
        <v>3840</v>
      </c>
      <c r="L853" t="s">
        <v>54</v>
      </c>
    </row>
    <row r="854" spans="1:12">
      <c r="A854">
        <v>896</v>
      </c>
      <c r="B854" t="s">
        <v>3041</v>
      </c>
      <c r="C854" t="s">
        <v>200</v>
      </c>
      <c r="D854" t="s">
        <v>39</v>
      </c>
      <c r="E854" t="s">
        <v>3042</v>
      </c>
      <c r="F854" t="s">
        <v>3841</v>
      </c>
      <c r="G854" t="s">
        <v>68</v>
      </c>
      <c r="H854" t="s">
        <v>3842</v>
      </c>
      <c r="I854" t="s">
        <v>3843</v>
      </c>
      <c r="J854" t="s">
        <v>3844</v>
      </c>
      <c r="K854" t="s">
        <v>3845</v>
      </c>
      <c r="L854" t="s">
        <v>54</v>
      </c>
    </row>
    <row r="855" spans="1:12">
      <c r="A855">
        <v>897</v>
      </c>
      <c r="B855" t="s">
        <v>3846</v>
      </c>
      <c r="C855" t="s">
        <v>46</v>
      </c>
      <c r="D855" t="s">
        <v>260</v>
      </c>
      <c r="E855" t="s">
        <v>613</v>
      </c>
      <c r="F855" t="s">
        <v>3790</v>
      </c>
      <c r="G855" t="s">
        <v>3847</v>
      </c>
      <c r="H855" t="s">
        <v>3072</v>
      </c>
      <c r="I855" t="s">
        <v>3848</v>
      </c>
      <c r="J855" t="s">
        <v>3831</v>
      </c>
      <c r="K855" t="s">
        <v>3828</v>
      </c>
      <c r="L855" t="s">
        <v>21</v>
      </c>
    </row>
    <row r="856" spans="1:12">
      <c r="A856">
        <v>898</v>
      </c>
      <c r="B856" t="s">
        <v>3849</v>
      </c>
      <c r="C856" t="s">
        <v>353</v>
      </c>
      <c r="D856" t="s">
        <v>158</v>
      </c>
      <c r="E856" t="s">
        <v>3789</v>
      </c>
      <c r="F856" t="s">
        <v>3790</v>
      </c>
      <c r="G856" t="s">
        <v>93</v>
      </c>
      <c r="H856" t="s">
        <v>3850</v>
      </c>
      <c r="I856" t="s">
        <v>3851</v>
      </c>
      <c r="J856" t="s">
        <v>3852</v>
      </c>
      <c r="K856" t="s">
        <v>3853</v>
      </c>
      <c r="L856" t="s">
        <v>36</v>
      </c>
    </row>
    <row r="857" spans="1:12">
      <c r="A857">
        <v>899</v>
      </c>
      <c r="B857" t="s">
        <v>3854</v>
      </c>
      <c r="C857" t="s">
        <v>251</v>
      </c>
      <c r="D857" t="s">
        <v>267</v>
      </c>
      <c r="E857" t="s">
        <v>3789</v>
      </c>
      <c r="F857" t="s">
        <v>3790</v>
      </c>
      <c r="G857" t="s">
        <v>3855</v>
      </c>
      <c r="H857" t="s">
        <v>3790</v>
      </c>
      <c r="I857" t="s">
        <v>3856</v>
      </c>
      <c r="J857" t="s">
        <v>3857</v>
      </c>
      <c r="K857" t="s">
        <v>3801</v>
      </c>
      <c r="L857" t="s">
        <v>54</v>
      </c>
    </row>
    <row r="858" spans="1:12">
      <c r="A858">
        <v>900</v>
      </c>
      <c r="B858" t="s">
        <v>3345</v>
      </c>
      <c r="C858" t="s">
        <v>38</v>
      </c>
      <c r="D858" t="s">
        <v>158</v>
      </c>
      <c r="E858" t="s">
        <v>3346</v>
      </c>
      <c r="F858" t="s">
        <v>3790</v>
      </c>
      <c r="G858" t="s">
        <v>3858</v>
      </c>
      <c r="H858" t="s">
        <v>3859</v>
      </c>
      <c r="I858" t="s">
        <v>3860</v>
      </c>
      <c r="J858" t="s">
        <v>3861</v>
      </c>
      <c r="K858" t="s">
        <v>3862</v>
      </c>
      <c r="L858" t="s">
        <v>54</v>
      </c>
    </row>
    <row r="859" spans="1:12">
      <c r="A859">
        <v>901</v>
      </c>
      <c r="B859" t="s">
        <v>3863</v>
      </c>
      <c r="C859" t="s">
        <v>13</v>
      </c>
      <c r="D859" t="s">
        <v>13</v>
      </c>
      <c r="E859" t="s">
        <v>3864</v>
      </c>
      <c r="F859" t="s">
        <v>3790</v>
      </c>
      <c r="G859" t="s">
        <v>3865</v>
      </c>
      <c r="H859" t="s">
        <v>3790</v>
      </c>
      <c r="I859" t="s">
        <v>3866</v>
      </c>
      <c r="J859" t="s">
        <v>3867</v>
      </c>
      <c r="K859" t="s">
        <v>3868</v>
      </c>
      <c r="L859" t="s">
        <v>21</v>
      </c>
    </row>
    <row r="860" spans="1:12">
      <c r="A860">
        <v>902</v>
      </c>
      <c r="B860" t="s">
        <v>3869</v>
      </c>
      <c r="C860" t="s">
        <v>13</v>
      </c>
      <c r="D860" t="s">
        <v>13</v>
      </c>
      <c r="E860" t="s">
        <v>2078</v>
      </c>
      <c r="F860" t="s">
        <v>3790</v>
      </c>
      <c r="G860" t="s">
        <v>3870</v>
      </c>
      <c r="H860" t="s">
        <v>3790</v>
      </c>
      <c r="I860" t="s">
        <v>3871</v>
      </c>
      <c r="J860" t="s">
        <v>3831</v>
      </c>
      <c r="K860" t="s">
        <v>3872</v>
      </c>
      <c r="L860" t="s">
        <v>21</v>
      </c>
    </row>
    <row r="861" spans="1:12">
      <c r="A861">
        <v>903</v>
      </c>
      <c r="B861" t="s">
        <v>3873</v>
      </c>
      <c r="C861" t="s">
        <v>13</v>
      </c>
      <c r="D861" t="s">
        <v>13</v>
      </c>
      <c r="E861" t="s">
        <v>3815</v>
      </c>
      <c r="F861" t="s">
        <v>3790</v>
      </c>
      <c r="G861" t="s">
        <v>68</v>
      </c>
      <c r="H861" t="s">
        <v>3072</v>
      </c>
      <c r="I861" t="s">
        <v>3726</v>
      </c>
      <c r="J861" t="s">
        <v>3728</v>
      </c>
      <c r="K861" t="s">
        <v>3874</v>
      </c>
      <c r="L861" t="s">
        <v>36</v>
      </c>
    </row>
    <row r="862" spans="1:12">
      <c r="A862">
        <v>904</v>
      </c>
      <c r="B862" t="s">
        <v>3875</v>
      </c>
      <c r="C862" t="s">
        <v>74</v>
      </c>
      <c r="D862" t="s">
        <v>39</v>
      </c>
      <c r="E862" t="s">
        <v>3724</v>
      </c>
      <c r="F862" t="s">
        <v>3790</v>
      </c>
      <c r="G862" t="s">
        <v>3809</v>
      </c>
      <c r="H862" t="s">
        <v>3876</v>
      </c>
      <c r="I862" t="s">
        <v>3877</v>
      </c>
      <c r="J862" t="s">
        <v>3728</v>
      </c>
      <c r="K862" t="s">
        <v>3878</v>
      </c>
      <c r="L862" t="s">
        <v>54</v>
      </c>
    </row>
    <row r="863" spans="1:12">
      <c r="A863">
        <v>905</v>
      </c>
      <c r="B863" t="s">
        <v>3879</v>
      </c>
      <c r="C863" t="s">
        <v>331</v>
      </c>
      <c r="D863" t="s">
        <v>47</v>
      </c>
      <c r="E863" t="s">
        <v>3880</v>
      </c>
      <c r="F863" t="s">
        <v>3790</v>
      </c>
      <c r="G863" t="s">
        <v>68</v>
      </c>
      <c r="H863" t="s">
        <v>3881</v>
      </c>
      <c r="I863" t="s">
        <v>3882</v>
      </c>
      <c r="J863" t="s">
        <v>3831</v>
      </c>
      <c r="K863" t="s">
        <v>3883</v>
      </c>
      <c r="L863" t="s">
        <v>54</v>
      </c>
    </row>
    <row r="864" spans="1:12">
      <c r="A864">
        <v>906</v>
      </c>
      <c r="B864" t="s">
        <v>3884</v>
      </c>
      <c r="C864" t="s">
        <v>580</v>
      </c>
      <c r="D864" t="s">
        <v>267</v>
      </c>
      <c r="E864" t="s">
        <v>3132</v>
      </c>
      <c r="F864" t="s">
        <v>3790</v>
      </c>
      <c r="G864" t="s">
        <v>31</v>
      </c>
      <c r="H864" t="s">
        <v>3885</v>
      </c>
      <c r="I864" t="s">
        <v>3886</v>
      </c>
      <c r="J864" t="s">
        <v>3831</v>
      </c>
      <c r="K864" t="s">
        <v>3887</v>
      </c>
      <c r="L864" t="s">
        <v>36</v>
      </c>
    </row>
    <row r="865" spans="1:12">
      <c r="A865">
        <v>907</v>
      </c>
      <c r="B865" t="s">
        <v>3041</v>
      </c>
      <c r="C865" t="s">
        <v>13</v>
      </c>
      <c r="D865" t="s">
        <v>13</v>
      </c>
      <c r="E865" t="s">
        <v>3042</v>
      </c>
      <c r="F865" t="s">
        <v>3790</v>
      </c>
      <c r="G865" t="s">
        <v>3888</v>
      </c>
      <c r="H865" t="s">
        <v>3043</v>
      </c>
      <c r="I865" t="s">
        <v>3889</v>
      </c>
      <c r="J865" t="s">
        <v>3890</v>
      </c>
      <c r="K865" t="s">
        <v>3845</v>
      </c>
      <c r="L865" t="s">
        <v>54</v>
      </c>
    </row>
    <row r="866" spans="1:12">
      <c r="A866">
        <v>908</v>
      </c>
      <c r="B866" t="s">
        <v>3891</v>
      </c>
      <c r="C866" t="s">
        <v>46</v>
      </c>
      <c r="D866" t="s">
        <v>39</v>
      </c>
      <c r="E866" t="s">
        <v>1117</v>
      </c>
      <c r="F866" t="s">
        <v>3790</v>
      </c>
      <c r="G866" t="s">
        <v>3892</v>
      </c>
      <c r="H866" t="s">
        <v>3790</v>
      </c>
      <c r="I866" t="s">
        <v>3893</v>
      </c>
      <c r="J866" t="s">
        <v>3831</v>
      </c>
      <c r="K866" t="s">
        <v>3894</v>
      </c>
      <c r="L866" t="s">
        <v>54</v>
      </c>
    </row>
    <row r="867" spans="1:12">
      <c r="A867">
        <v>909</v>
      </c>
      <c r="B867" t="s">
        <v>3895</v>
      </c>
      <c r="C867" t="s">
        <v>13</v>
      </c>
      <c r="D867" t="s">
        <v>13</v>
      </c>
      <c r="E867" t="s">
        <v>201</v>
      </c>
      <c r="F867" t="s">
        <v>3790</v>
      </c>
      <c r="G867" t="s">
        <v>3834</v>
      </c>
      <c r="H867" t="s">
        <v>3790</v>
      </c>
      <c r="I867" t="s">
        <v>3835</v>
      </c>
      <c r="J867" t="s">
        <v>3831</v>
      </c>
      <c r="K867" t="s">
        <v>3896</v>
      </c>
      <c r="L867" t="s">
        <v>21</v>
      </c>
    </row>
    <row r="868" spans="1:12">
      <c r="A868">
        <v>910</v>
      </c>
      <c r="B868" t="s">
        <v>3897</v>
      </c>
      <c r="C868" t="s">
        <v>200</v>
      </c>
      <c r="D868" t="s">
        <v>211</v>
      </c>
      <c r="E868" t="s">
        <v>893</v>
      </c>
      <c r="F868" t="s">
        <v>3790</v>
      </c>
      <c r="G868" t="s">
        <v>3898</v>
      </c>
      <c r="H868" t="s">
        <v>3899</v>
      </c>
      <c r="I868" t="s">
        <v>3900</v>
      </c>
      <c r="J868" t="s">
        <v>3901</v>
      </c>
      <c r="K868" t="s">
        <v>3902</v>
      </c>
      <c r="L868" t="s">
        <v>21</v>
      </c>
    </row>
    <row r="869" spans="1:12">
      <c r="A869">
        <v>911</v>
      </c>
      <c r="B869" t="s">
        <v>3903</v>
      </c>
      <c r="C869" t="s">
        <v>298</v>
      </c>
      <c r="D869" t="s">
        <v>66</v>
      </c>
      <c r="E869" t="s">
        <v>1203</v>
      </c>
      <c r="F869" t="s">
        <v>3790</v>
      </c>
      <c r="G869" t="s">
        <v>31</v>
      </c>
      <c r="H869" t="s">
        <v>3790</v>
      </c>
      <c r="I869" t="s">
        <v>3904</v>
      </c>
      <c r="J869" t="s">
        <v>3831</v>
      </c>
      <c r="K869" t="s">
        <v>3905</v>
      </c>
      <c r="L869" t="s">
        <v>21</v>
      </c>
    </row>
    <row r="870" spans="1:12">
      <c r="A870">
        <v>912</v>
      </c>
      <c r="B870" t="s">
        <v>3906</v>
      </c>
      <c r="C870" t="s">
        <v>13</v>
      </c>
      <c r="D870" t="s">
        <v>13</v>
      </c>
      <c r="E870" t="s">
        <v>84</v>
      </c>
      <c r="F870" t="s">
        <v>3790</v>
      </c>
      <c r="G870" t="s">
        <v>1463</v>
      </c>
      <c r="H870" t="s">
        <v>3790</v>
      </c>
      <c r="I870" t="s">
        <v>3907</v>
      </c>
      <c r="J870" t="s">
        <v>3831</v>
      </c>
      <c r="K870" t="s">
        <v>3908</v>
      </c>
      <c r="L870" t="s">
        <v>54</v>
      </c>
    </row>
    <row r="871" spans="1:12">
      <c r="A871">
        <v>913</v>
      </c>
      <c r="B871" t="s">
        <v>3909</v>
      </c>
      <c r="C871" t="s">
        <v>46</v>
      </c>
      <c r="D871" t="s">
        <v>158</v>
      </c>
      <c r="E871" t="s">
        <v>348</v>
      </c>
      <c r="F871" t="s">
        <v>3790</v>
      </c>
      <c r="G871" t="s">
        <v>3910</v>
      </c>
      <c r="H871" t="s">
        <v>3911</v>
      </c>
      <c r="I871" t="s">
        <v>3912</v>
      </c>
      <c r="J871" t="s">
        <v>3913</v>
      </c>
      <c r="K871" t="s">
        <v>3914</v>
      </c>
      <c r="L871" t="s">
        <v>54</v>
      </c>
    </row>
    <row r="872" spans="1:12">
      <c r="A872">
        <v>914</v>
      </c>
      <c r="B872" t="s">
        <v>3915</v>
      </c>
      <c r="C872" t="s">
        <v>298</v>
      </c>
      <c r="D872" t="s">
        <v>267</v>
      </c>
      <c r="E872" t="s">
        <v>174</v>
      </c>
      <c r="F872" t="s">
        <v>3790</v>
      </c>
      <c r="G872" t="s">
        <v>2914</v>
      </c>
      <c r="H872" t="s">
        <v>300</v>
      </c>
      <c r="I872" t="s">
        <v>3916</v>
      </c>
      <c r="J872" t="s">
        <v>3917</v>
      </c>
      <c r="K872" t="s">
        <v>3918</v>
      </c>
      <c r="L872" t="s">
        <v>21</v>
      </c>
    </row>
    <row r="873" spans="1:12">
      <c r="A873">
        <v>915</v>
      </c>
      <c r="B873" t="s">
        <v>3919</v>
      </c>
      <c r="C873" t="s">
        <v>218</v>
      </c>
      <c r="D873" t="s">
        <v>158</v>
      </c>
      <c r="E873" t="s">
        <v>235</v>
      </c>
      <c r="F873" t="s">
        <v>3790</v>
      </c>
      <c r="G873" t="s">
        <v>3920</v>
      </c>
      <c r="H873" t="s">
        <v>3921</v>
      </c>
      <c r="I873" t="s">
        <v>3922</v>
      </c>
      <c r="J873" t="s">
        <v>3831</v>
      </c>
      <c r="K873" t="s">
        <v>3828</v>
      </c>
      <c r="L873" t="s">
        <v>21</v>
      </c>
    </row>
    <row r="874" spans="1:12">
      <c r="A874">
        <v>916</v>
      </c>
      <c r="B874" t="s">
        <v>3923</v>
      </c>
      <c r="C874" t="s">
        <v>115</v>
      </c>
      <c r="D874" t="s">
        <v>286</v>
      </c>
      <c r="E874" t="s">
        <v>279</v>
      </c>
      <c r="F874" t="s">
        <v>3790</v>
      </c>
      <c r="G874" t="s">
        <v>3898</v>
      </c>
      <c r="H874" t="s">
        <v>3838</v>
      </c>
      <c r="I874" t="s">
        <v>3924</v>
      </c>
      <c r="J874" t="s">
        <v>3925</v>
      </c>
      <c r="K874" t="s">
        <v>3926</v>
      </c>
      <c r="L874" t="s">
        <v>36</v>
      </c>
    </row>
    <row r="875" spans="1:12">
      <c r="A875">
        <v>917</v>
      </c>
      <c r="B875" t="s">
        <v>3927</v>
      </c>
      <c r="C875" t="s">
        <v>246</v>
      </c>
      <c r="D875" t="s">
        <v>100</v>
      </c>
      <c r="E875" t="s">
        <v>144</v>
      </c>
      <c r="F875" t="s">
        <v>3790</v>
      </c>
      <c r="G875" t="s">
        <v>1688</v>
      </c>
      <c r="H875" t="s">
        <v>3790</v>
      </c>
      <c r="I875" t="s">
        <v>3928</v>
      </c>
      <c r="J875" t="s">
        <v>3929</v>
      </c>
      <c r="K875" t="s">
        <v>3828</v>
      </c>
      <c r="L875" t="s">
        <v>21</v>
      </c>
    </row>
    <row r="876" spans="1:12">
      <c r="A876">
        <v>918</v>
      </c>
      <c r="B876" t="s">
        <v>3930</v>
      </c>
      <c r="C876" t="s">
        <v>91</v>
      </c>
      <c r="D876" t="s">
        <v>158</v>
      </c>
      <c r="E876" t="s">
        <v>1426</v>
      </c>
      <c r="F876" t="s">
        <v>3790</v>
      </c>
      <c r="G876" t="s">
        <v>3931</v>
      </c>
      <c r="H876" t="s">
        <v>3932</v>
      </c>
      <c r="I876" t="s">
        <v>3933</v>
      </c>
      <c r="J876" t="s">
        <v>3934</v>
      </c>
      <c r="K876" t="s">
        <v>3935</v>
      </c>
      <c r="L876" t="s">
        <v>21</v>
      </c>
    </row>
    <row r="877" spans="1:12">
      <c r="A877">
        <v>919</v>
      </c>
      <c r="B877" t="s">
        <v>3936</v>
      </c>
      <c r="C877" t="s">
        <v>13</v>
      </c>
      <c r="D877" t="s">
        <v>13</v>
      </c>
      <c r="E877" t="s">
        <v>623</v>
      </c>
      <c r="F877" t="s">
        <v>3790</v>
      </c>
      <c r="G877" t="s">
        <v>213</v>
      </c>
      <c r="H877" t="s">
        <v>3790</v>
      </c>
      <c r="I877" t="s">
        <v>3937</v>
      </c>
      <c r="J877" t="s">
        <v>3831</v>
      </c>
      <c r="K877" t="s">
        <v>3938</v>
      </c>
      <c r="L877" t="s">
        <v>54</v>
      </c>
    </row>
    <row r="878" spans="1:12">
      <c r="A878">
        <v>920</v>
      </c>
      <c r="B878" t="s">
        <v>3939</v>
      </c>
      <c r="C878" t="s">
        <v>46</v>
      </c>
      <c r="D878" t="s">
        <v>100</v>
      </c>
      <c r="E878" t="s">
        <v>174</v>
      </c>
      <c r="F878" t="s">
        <v>3790</v>
      </c>
      <c r="G878" t="s">
        <v>31</v>
      </c>
      <c r="H878" t="s">
        <v>3790</v>
      </c>
      <c r="I878" t="s">
        <v>3940</v>
      </c>
      <c r="J878" t="s">
        <v>3831</v>
      </c>
      <c r="K878" t="s">
        <v>3941</v>
      </c>
      <c r="L878" t="s">
        <v>36</v>
      </c>
    </row>
    <row r="879" spans="1:12">
      <c r="A879">
        <v>921</v>
      </c>
      <c r="B879" t="s">
        <v>3942</v>
      </c>
      <c r="C879" t="s">
        <v>13</v>
      </c>
      <c r="D879" t="s">
        <v>13</v>
      </c>
      <c r="E879" t="s">
        <v>3943</v>
      </c>
      <c r="F879" t="s">
        <v>3790</v>
      </c>
      <c r="G879" t="s">
        <v>3944</v>
      </c>
      <c r="H879" t="s">
        <v>3945</v>
      </c>
      <c r="I879" t="s">
        <v>3946</v>
      </c>
      <c r="J879" t="s">
        <v>3947</v>
      </c>
      <c r="K879" t="s">
        <v>3948</v>
      </c>
      <c r="L879" t="s">
        <v>21</v>
      </c>
    </row>
    <row r="880" spans="1:12">
      <c r="A880">
        <v>922</v>
      </c>
      <c r="B880" t="s">
        <v>3949</v>
      </c>
      <c r="C880" t="s">
        <v>13</v>
      </c>
      <c r="D880" t="s">
        <v>13</v>
      </c>
      <c r="E880" t="s">
        <v>1093</v>
      </c>
      <c r="F880" t="s">
        <v>3790</v>
      </c>
      <c r="G880" t="s">
        <v>984</v>
      </c>
      <c r="H880" t="s">
        <v>3380</v>
      </c>
      <c r="I880" t="s">
        <v>3950</v>
      </c>
      <c r="J880" t="s">
        <v>753</v>
      </c>
      <c r="K880" t="s">
        <v>3951</v>
      </c>
      <c r="L880" t="s">
        <v>54</v>
      </c>
    </row>
    <row r="881" spans="1:12">
      <c r="A881">
        <v>923</v>
      </c>
      <c r="B881" t="s">
        <v>3952</v>
      </c>
      <c r="C881" t="s">
        <v>251</v>
      </c>
      <c r="D881" t="s">
        <v>267</v>
      </c>
      <c r="E881" t="s">
        <v>3789</v>
      </c>
      <c r="F881" t="s">
        <v>3790</v>
      </c>
      <c r="G881" t="s">
        <v>3953</v>
      </c>
      <c r="H881" t="s">
        <v>3798</v>
      </c>
      <c r="I881" t="s">
        <v>3954</v>
      </c>
      <c r="J881" t="s">
        <v>3955</v>
      </c>
      <c r="K881" t="s">
        <v>3956</v>
      </c>
      <c r="L881" t="s">
        <v>54</v>
      </c>
    </row>
    <row r="882" spans="1:12">
      <c r="A882">
        <v>924</v>
      </c>
      <c r="B882" t="s">
        <v>3957</v>
      </c>
      <c r="C882" t="s">
        <v>321</v>
      </c>
      <c r="D882" t="s">
        <v>66</v>
      </c>
      <c r="E882" t="s">
        <v>713</v>
      </c>
      <c r="F882" t="s">
        <v>3790</v>
      </c>
      <c r="G882" t="s">
        <v>31</v>
      </c>
      <c r="H882" t="s">
        <v>3790</v>
      </c>
      <c r="I882" t="s">
        <v>3958</v>
      </c>
      <c r="J882" t="s">
        <v>3831</v>
      </c>
      <c r="K882" t="s">
        <v>3959</v>
      </c>
      <c r="L882" t="s">
        <v>21</v>
      </c>
    </row>
    <row r="883" spans="1:12">
      <c r="A883">
        <v>925</v>
      </c>
      <c r="B883" t="s">
        <v>3960</v>
      </c>
      <c r="C883" t="s">
        <v>74</v>
      </c>
      <c r="D883" t="s">
        <v>211</v>
      </c>
      <c r="E883" t="s">
        <v>623</v>
      </c>
      <c r="F883" t="s">
        <v>295</v>
      </c>
      <c r="G883" t="s">
        <v>273</v>
      </c>
      <c r="H883" t="s">
        <v>3961</v>
      </c>
      <c r="I883" t="s">
        <v>3962</v>
      </c>
      <c r="J883" t="s">
        <v>3963</v>
      </c>
      <c r="K883" t="s">
        <v>3964</v>
      </c>
      <c r="L883" t="s">
        <v>21</v>
      </c>
    </row>
    <row r="884" spans="1:12">
      <c r="A884">
        <v>926</v>
      </c>
      <c r="B884" t="s">
        <v>3965</v>
      </c>
      <c r="C884" t="s">
        <v>38</v>
      </c>
      <c r="D884" t="s">
        <v>39</v>
      </c>
      <c r="E884" t="s">
        <v>893</v>
      </c>
      <c r="F884" t="s">
        <v>3790</v>
      </c>
      <c r="G884" t="s">
        <v>175</v>
      </c>
      <c r="H884" t="s">
        <v>3966</v>
      </c>
      <c r="I884" t="s">
        <v>3967</v>
      </c>
      <c r="J884" t="s">
        <v>3968</v>
      </c>
      <c r="K884" t="s">
        <v>3828</v>
      </c>
      <c r="L884" t="s">
        <v>21</v>
      </c>
    </row>
    <row r="885" spans="1:12">
      <c r="A885">
        <v>927</v>
      </c>
      <c r="B885" t="s">
        <v>3969</v>
      </c>
      <c r="C885" t="s">
        <v>82</v>
      </c>
      <c r="D885" t="s">
        <v>66</v>
      </c>
      <c r="E885" t="s">
        <v>294</v>
      </c>
      <c r="F885" t="s">
        <v>3790</v>
      </c>
      <c r="G885" t="s">
        <v>145</v>
      </c>
      <c r="H885" t="s">
        <v>3790</v>
      </c>
      <c r="I885" t="s">
        <v>3970</v>
      </c>
      <c r="J885" t="s">
        <v>3831</v>
      </c>
      <c r="K885" t="s">
        <v>3828</v>
      </c>
      <c r="L885" t="s">
        <v>21</v>
      </c>
    </row>
    <row r="886" spans="1:12">
      <c r="A886">
        <v>928</v>
      </c>
      <c r="B886" t="s">
        <v>3971</v>
      </c>
      <c r="C886" t="s">
        <v>298</v>
      </c>
      <c r="D886" t="s">
        <v>57</v>
      </c>
      <c r="E886" t="s">
        <v>3311</v>
      </c>
      <c r="F886" t="s">
        <v>3321</v>
      </c>
      <c r="G886" t="s">
        <v>3803</v>
      </c>
      <c r="H886" t="s">
        <v>3312</v>
      </c>
      <c r="I886" t="s">
        <v>3972</v>
      </c>
      <c r="J886" t="s">
        <v>3973</v>
      </c>
      <c r="K886" t="s">
        <v>3974</v>
      </c>
      <c r="L886" t="s">
        <v>54</v>
      </c>
    </row>
    <row r="887" spans="1:12">
      <c r="A887">
        <v>929</v>
      </c>
      <c r="B887" t="s">
        <v>3975</v>
      </c>
      <c r="C887" t="s">
        <v>218</v>
      </c>
      <c r="D887" t="s">
        <v>100</v>
      </c>
      <c r="E887" t="s">
        <v>3976</v>
      </c>
      <c r="F887" t="s">
        <v>3977</v>
      </c>
      <c r="G887" t="s">
        <v>1123</v>
      </c>
      <c r="H887" t="s">
        <v>3977</v>
      </c>
      <c r="I887" t="s">
        <v>3978</v>
      </c>
      <c r="J887" t="s">
        <v>3979</v>
      </c>
      <c r="K887" t="s">
        <v>3980</v>
      </c>
      <c r="L887" t="s">
        <v>54</v>
      </c>
    </row>
    <row r="888" spans="1:12">
      <c r="A888">
        <v>930</v>
      </c>
      <c r="B888" t="s">
        <v>3981</v>
      </c>
      <c r="C888" t="s">
        <v>13</v>
      </c>
      <c r="D888" t="s">
        <v>13</v>
      </c>
      <c r="E888" t="s">
        <v>3982</v>
      </c>
      <c r="F888" t="s">
        <v>3790</v>
      </c>
      <c r="G888" t="s">
        <v>3983</v>
      </c>
      <c r="H888" t="s">
        <v>3984</v>
      </c>
      <c r="I888" t="s">
        <v>3985</v>
      </c>
      <c r="J888" t="s">
        <v>3986</v>
      </c>
      <c r="K888" t="s">
        <v>3987</v>
      </c>
      <c r="L888" t="s">
        <v>36</v>
      </c>
    </row>
    <row r="889" spans="1:12">
      <c r="A889">
        <v>935</v>
      </c>
      <c r="B889" t="s">
        <v>3988</v>
      </c>
      <c r="C889" t="s">
        <v>13</v>
      </c>
      <c r="D889" t="s">
        <v>13</v>
      </c>
      <c r="E889" t="s">
        <v>3989</v>
      </c>
      <c r="F889" t="s">
        <v>3790</v>
      </c>
      <c r="G889" t="s">
        <v>3990</v>
      </c>
      <c r="H889" t="s">
        <v>3991</v>
      </c>
      <c r="I889" t="s">
        <v>3992</v>
      </c>
      <c r="J889" t="s">
        <v>3993</v>
      </c>
      <c r="K889" t="s">
        <v>3994</v>
      </c>
      <c r="L889" t="s">
        <v>21</v>
      </c>
    </row>
    <row r="890" spans="1:12">
      <c r="A890">
        <v>936</v>
      </c>
      <c r="B890" t="s">
        <v>3995</v>
      </c>
      <c r="C890" t="s">
        <v>13</v>
      </c>
      <c r="D890" t="s">
        <v>13</v>
      </c>
      <c r="E890" t="s">
        <v>3996</v>
      </c>
      <c r="F890" t="s">
        <v>3790</v>
      </c>
      <c r="G890" t="s">
        <v>2469</v>
      </c>
      <c r="H890" t="s">
        <v>3997</v>
      </c>
      <c r="I890" t="s">
        <v>3998</v>
      </c>
      <c r="J890" t="s">
        <v>3999</v>
      </c>
      <c r="K890" t="s">
        <v>4000</v>
      </c>
      <c r="L890" t="s">
        <v>54</v>
      </c>
    </row>
    <row r="891" spans="1:12">
      <c r="A891">
        <v>940</v>
      </c>
      <c r="B891" t="s">
        <v>4001</v>
      </c>
      <c r="C891" t="s">
        <v>13</v>
      </c>
      <c r="D891" t="s">
        <v>13</v>
      </c>
      <c r="E891" t="s">
        <v>3989</v>
      </c>
      <c r="F891" t="s">
        <v>3790</v>
      </c>
      <c r="G891" t="s">
        <v>1449</v>
      </c>
      <c r="H891" t="s">
        <v>3991</v>
      </c>
      <c r="I891" t="s">
        <v>4002</v>
      </c>
      <c r="J891" t="s">
        <v>3993</v>
      </c>
      <c r="K891" t="s">
        <v>3994</v>
      </c>
      <c r="L891" t="s">
        <v>21</v>
      </c>
    </row>
    <row r="892" spans="1:12">
      <c r="A892">
        <v>941</v>
      </c>
      <c r="B892" t="s">
        <v>4003</v>
      </c>
      <c r="C892" t="s">
        <v>13</v>
      </c>
      <c r="D892" t="s">
        <v>13</v>
      </c>
      <c r="E892" t="s">
        <v>4004</v>
      </c>
      <c r="F892" t="s">
        <v>4005</v>
      </c>
      <c r="G892" t="s">
        <v>3359</v>
      </c>
      <c r="H892" t="s">
        <v>4005</v>
      </c>
      <c r="I892" t="s">
        <v>4006</v>
      </c>
      <c r="J892" t="s">
        <v>4007</v>
      </c>
      <c r="K892" t="s">
        <v>4008</v>
      </c>
      <c r="L892" t="s">
        <v>21</v>
      </c>
    </row>
    <row r="893" spans="1:12">
      <c r="A893">
        <v>942</v>
      </c>
      <c r="B893" t="s">
        <v>4009</v>
      </c>
      <c r="C893" t="s">
        <v>13</v>
      </c>
      <c r="D893" t="s">
        <v>13</v>
      </c>
      <c r="E893" t="s">
        <v>777</v>
      </c>
      <c r="F893" t="s">
        <v>4005</v>
      </c>
      <c r="G893" t="s">
        <v>4010</v>
      </c>
      <c r="H893" t="s">
        <v>4005</v>
      </c>
      <c r="I893" t="s">
        <v>4011</v>
      </c>
      <c r="J893" t="s">
        <v>4012</v>
      </c>
      <c r="K893" t="s">
        <v>4013</v>
      </c>
      <c r="L893" t="s">
        <v>36</v>
      </c>
    </row>
    <row r="894" spans="1:12">
      <c r="A894">
        <v>944</v>
      </c>
      <c r="B894" t="s">
        <v>4014</v>
      </c>
      <c r="C894" t="s">
        <v>13</v>
      </c>
      <c r="D894" t="s">
        <v>13</v>
      </c>
      <c r="E894" t="s">
        <v>4015</v>
      </c>
      <c r="F894" t="s">
        <v>4016</v>
      </c>
      <c r="G894" t="s">
        <v>4010</v>
      </c>
      <c r="H894" t="s">
        <v>4016</v>
      </c>
      <c r="I894" t="s">
        <v>4011</v>
      </c>
      <c r="J894" t="s">
        <v>4017</v>
      </c>
      <c r="K894" t="s">
        <v>4018</v>
      </c>
      <c r="L894" t="s">
        <v>36</v>
      </c>
    </row>
    <row r="895" spans="1:12">
      <c r="A895">
        <v>945</v>
      </c>
      <c r="B895" t="s">
        <v>4019</v>
      </c>
      <c r="C895" t="s">
        <v>13</v>
      </c>
      <c r="D895" t="s">
        <v>13</v>
      </c>
      <c r="E895" t="s">
        <v>3577</v>
      </c>
      <c r="F895" t="s">
        <v>1118</v>
      </c>
      <c r="G895" t="s">
        <v>356</v>
      </c>
      <c r="H895" t="s">
        <v>1118</v>
      </c>
      <c r="I895" t="s">
        <v>4020</v>
      </c>
      <c r="J895" t="s">
        <v>4021</v>
      </c>
      <c r="K895" t="s">
        <v>4022</v>
      </c>
      <c r="L895" t="s">
        <v>54</v>
      </c>
    </row>
    <row r="896" spans="1:12">
      <c r="A896">
        <v>946</v>
      </c>
      <c r="B896" t="s">
        <v>4023</v>
      </c>
      <c r="C896" t="s">
        <v>13</v>
      </c>
      <c r="D896" t="s">
        <v>13</v>
      </c>
      <c r="E896" t="s">
        <v>4024</v>
      </c>
      <c r="F896" t="s">
        <v>4005</v>
      </c>
      <c r="G896" t="s">
        <v>2321</v>
      </c>
      <c r="H896" t="s">
        <v>4025</v>
      </c>
      <c r="I896" t="s">
        <v>4026</v>
      </c>
      <c r="J896" t="s">
        <v>4027</v>
      </c>
      <c r="K896" t="s">
        <v>4028</v>
      </c>
      <c r="L896" t="s">
        <v>36</v>
      </c>
    </row>
    <row r="897" spans="1:12">
      <c r="A897">
        <v>947</v>
      </c>
      <c r="B897" t="s">
        <v>4029</v>
      </c>
      <c r="C897" t="s">
        <v>13</v>
      </c>
      <c r="D897" t="s">
        <v>13</v>
      </c>
      <c r="E897" t="s">
        <v>4030</v>
      </c>
      <c r="F897" t="s">
        <v>4016</v>
      </c>
      <c r="G897" t="s">
        <v>4031</v>
      </c>
      <c r="H897" t="s">
        <v>4016</v>
      </c>
      <c r="I897" t="s">
        <v>4032</v>
      </c>
      <c r="J897" t="s">
        <v>4033</v>
      </c>
      <c r="K897" t="s">
        <v>13</v>
      </c>
      <c r="L897" t="s">
        <v>54</v>
      </c>
    </row>
    <row r="898" spans="1:12">
      <c r="A898">
        <v>948</v>
      </c>
      <c r="B898" t="s">
        <v>4034</v>
      </c>
      <c r="C898" t="s">
        <v>13</v>
      </c>
      <c r="D898" t="s">
        <v>13</v>
      </c>
      <c r="E898" t="s">
        <v>4035</v>
      </c>
      <c r="F898" t="s">
        <v>1118</v>
      </c>
      <c r="G898" t="s">
        <v>370</v>
      </c>
      <c r="H898" t="s">
        <v>1118</v>
      </c>
      <c r="I898" t="s">
        <v>4036</v>
      </c>
      <c r="J898" t="s">
        <v>4037</v>
      </c>
      <c r="K898" t="s">
        <v>4038</v>
      </c>
      <c r="L898" t="s">
        <v>36</v>
      </c>
    </row>
    <row r="899" spans="1:12">
      <c r="A899">
        <v>949</v>
      </c>
      <c r="B899" t="s">
        <v>4039</v>
      </c>
      <c r="C899" t="s">
        <v>82</v>
      </c>
      <c r="D899" t="s">
        <v>173</v>
      </c>
      <c r="E899" t="s">
        <v>4040</v>
      </c>
      <c r="F899" t="s">
        <v>4005</v>
      </c>
      <c r="G899" t="s">
        <v>3809</v>
      </c>
      <c r="H899" t="s">
        <v>4041</v>
      </c>
      <c r="I899" t="s">
        <v>4042</v>
      </c>
      <c r="J899" t="s">
        <v>4043</v>
      </c>
      <c r="K899" t="s">
        <v>4044</v>
      </c>
      <c r="L899" t="s">
        <v>54</v>
      </c>
    </row>
    <row r="900" spans="1:12">
      <c r="A900">
        <v>950</v>
      </c>
      <c r="B900" t="s">
        <v>4045</v>
      </c>
      <c r="C900" t="s">
        <v>13</v>
      </c>
      <c r="D900" t="s">
        <v>13</v>
      </c>
      <c r="E900" t="s">
        <v>4046</v>
      </c>
      <c r="F900" t="s">
        <v>4016</v>
      </c>
      <c r="G900" t="s">
        <v>4047</v>
      </c>
      <c r="H900" t="s">
        <v>4016</v>
      </c>
      <c r="I900" t="s">
        <v>4048</v>
      </c>
      <c r="J900" t="s">
        <v>4049</v>
      </c>
      <c r="K900" t="s">
        <v>4050</v>
      </c>
      <c r="L900" t="s">
        <v>21</v>
      </c>
    </row>
    <row r="901" spans="1:12">
      <c r="A901">
        <v>951</v>
      </c>
      <c r="B901" t="s">
        <v>4051</v>
      </c>
      <c r="C901" t="s">
        <v>13</v>
      </c>
      <c r="D901" t="s">
        <v>13</v>
      </c>
      <c r="E901" t="s">
        <v>4052</v>
      </c>
      <c r="F901" t="s">
        <v>1118</v>
      </c>
      <c r="G901" t="s">
        <v>356</v>
      </c>
      <c r="H901" t="s">
        <v>1118</v>
      </c>
      <c r="I901" t="s">
        <v>4053</v>
      </c>
      <c r="J901" t="s">
        <v>4054</v>
      </c>
      <c r="K901" t="s">
        <v>4055</v>
      </c>
      <c r="L901" t="s">
        <v>54</v>
      </c>
    </row>
    <row r="902" spans="1:12">
      <c r="A902">
        <v>952</v>
      </c>
      <c r="B902" t="s">
        <v>4056</v>
      </c>
      <c r="C902" t="s">
        <v>13</v>
      </c>
      <c r="D902" t="s">
        <v>13</v>
      </c>
      <c r="E902" t="s">
        <v>1117</v>
      </c>
      <c r="F902" t="s">
        <v>1118</v>
      </c>
      <c r="G902" t="s">
        <v>356</v>
      </c>
      <c r="H902" t="s">
        <v>1118</v>
      </c>
      <c r="I902" t="s">
        <v>4057</v>
      </c>
      <c r="J902" t="s">
        <v>4037</v>
      </c>
      <c r="K902" t="s">
        <v>1079</v>
      </c>
      <c r="L902" t="s">
        <v>36</v>
      </c>
    </row>
    <row r="903" spans="1:12">
      <c r="A903">
        <v>953</v>
      </c>
      <c r="B903" t="s">
        <v>4058</v>
      </c>
      <c r="C903" t="s">
        <v>165</v>
      </c>
      <c r="D903" t="s">
        <v>47</v>
      </c>
      <c r="E903" t="s">
        <v>682</v>
      </c>
      <c r="F903" t="s">
        <v>4005</v>
      </c>
      <c r="G903" t="s">
        <v>356</v>
      </c>
      <c r="H903" t="s">
        <v>4005</v>
      </c>
      <c r="I903" t="s">
        <v>4059</v>
      </c>
      <c r="J903" t="s">
        <v>4060</v>
      </c>
      <c r="K903" t="s">
        <v>4061</v>
      </c>
      <c r="L903" t="s">
        <v>21</v>
      </c>
    </row>
    <row r="904" spans="1:12">
      <c r="A904">
        <v>954</v>
      </c>
      <c r="B904" t="s">
        <v>4062</v>
      </c>
      <c r="C904" t="s">
        <v>298</v>
      </c>
      <c r="D904" t="s">
        <v>47</v>
      </c>
      <c r="E904" t="s">
        <v>682</v>
      </c>
      <c r="F904" t="s">
        <v>4016</v>
      </c>
      <c r="G904" t="s">
        <v>356</v>
      </c>
      <c r="H904" t="s">
        <v>4016</v>
      </c>
      <c r="I904" t="s">
        <v>4059</v>
      </c>
      <c r="J904" t="s">
        <v>4049</v>
      </c>
      <c r="K904" t="s">
        <v>4061</v>
      </c>
      <c r="L904" t="s">
        <v>21</v>
      </c>
    </row>
    <row r="905" spans="1:12">
      <c r="A905">
        <v>955</v>
      </c>
      <c r="B905" t="s">
        <v>4063</v>
      </c>
      <c r="C905" t="s">
        <v>13</v>
      </c>
      <c r="D905" t="s">
        <v>13</v>
      </c>
      <c r="E905" t="s">
        <v>1084</v>
      </c>
      <c r="F905" t="s">
        <v>1118</v>
      </c>
      <c r="G905" t="s">
        <v>356</v>
      </c>
      <c r="H905" t="s">
        <v>1118</v>
      </c>
      <c r="I905" t="s">
        <v>4064</v>
      </c>
      <c r="J905" t="s">
        <v>1079</v>
      </c>
      <c r="K905" t="s">
        <v>4065</v>
      </c>
      <c r="L905" t="s">
        <v>36</v>
      </c>
    </row>
    <row r="906" spans="1:12">
      <c r="A906">
        <v>956</v>
      </c>
      <c r="B906" t="s">
        <v>4066</v>
      </c>
      <c r="C906" t="s">
        <v>13</v>
      </c>
      <c r="D906" t="s">
        <v>13</v>
      </c>
      <c r="E906" t="s">
        <v>4067</v>
      </c>
      <c r="F906" t="s">
        <v>4005</v>
      </c>
      <c r="G906" t="s">
        <v>3264</v>
      </c>
      <c r="H906" t="s">
        <v>4068</v>
      </c>
      <c r="I906" t="s">
        <v>4069</v>
      </c>
      <c r="J906" t="s">
        <v>4012</v>
      </c>
      <c r="K906" t="s">
        <v>13</v>
      </c>
      <c r="L906" t="s">
        <v>54</v>
      </c>
    </row>
    <row r="907" spans="1:12">
      <c r="A907">
        <v>957</v>
      </c>
      <c r="B907" t="s">
        <v>4070</v>
      </c>
      <c r="C907" t="s">
        <v>230</v>
      </c>
      <c r="D907" t="s">
        <v>83</v>
      </c>
      <c r="E907" t="s">
        <v>4046</v>
      </c>
      <c r="F907" t="s">
        <v>4016</v>
      </c>
      <c r="G907" t="s">
        <v>3330</v>
      </c>
      <c r="H907" t="s">
        <v>4016</v>
      </c>
      <c r="I907" t="s">
        <v>4071</v>
      </c>
      <c r="J907" t="s">
        <v>4049</v>
      </c>
      <c r="K907" t="s">
        <v>13</v>
      </c>
      <c r="L907" t="s">
        <v>36</v>
      </c>
    </row>
    <row r="908" spans="1:12">
      <c r="A908">
        <v>958</v>
      </c>
      <c r="B908" t="s">
        <v>4072</v>
      </c>
      <c r="C908" t="s">
        <v>13</v>
      </c>
      <c r="D908" t="s">
        <v>13</v>
      </c>
      <c r="E908" t="s">
        <v>3286</v>
      </c>
      <c r="F908" t="s">
        <v>1118</v>
      </c>
      <c r="G908" t="s">
        <v>356</v>
      </c>
      <c r="H908" t="s">
        <v>4073</v>
      </c>
      <c r="I908" t="s">
        <v>1118</v>
      </c>
      <c r="J908" t="s">
        <v>4074</v>
      </c>
      <c r="K908" t="s">
        <v>4075</v>
      </c>
      <c r="L908" t="s">
        <v>21</v>
      </c>
    </row>
    <row r="909" spans="1:12">
      <c r="A909">
        <v>959</v>
      </c>
      <c r="B909" t="s">
        <v>4076</v>
      </c>
      <c r="C909" t="s">
        <v>13</v>
      </c>
      <c r="D909" t="s">
        <v>13</v>
      </c>
      <c r="E909" t="s">
        <v>3020</v>
      </c>
      <c r="F909" t="s">
        <v>4005</v>
      </c>
      <c r="G909" t="s">
        <v>356</v>
      </c>
      <c r="H909" t="s">
        <v>4077</v>
      </c>
      <c r="I909" t="s">
        <v>4078</v>
      </c>
      <c r="J909" t="s">
        <v>4060</v>
      </c>
      <c r="K909" t="s">
        <v>4079</v>
      </c>
      <c r="L909" t="s">
        <v>21</v>
      </c>
    </row>
    <row r="910" spans="1:12">
      <c r="A910">
        <v>960</v>
      </c>
      <c r="B910" t="s">
        <v>4080</v>
      </c>
      <c r="C910" t="s">
        <v>115</v>
      </c>
      <c r="D910" t="s">
        <v>100</v>
      </c>
      <c r="E910" t="s">
        <v>116</v>
      </c>
      <c r="F910" t="s">
        <v>4016</v>
      </c>
      <c r="G910" t="s">
        <v>2588</v>
      </c>
      <c r="H910" t="s">
        <v>4016</v>
      </c>
      <c r="I910" t="s">
        <v>4081</v>
      </c>
      <c r="J910" t="s">
        <v>4049</v>
      </c>
      <c r="K910" t="s">
        <v>13</v>
      </c>
      <c r="L910" t="s">
        <v>21</v>
      </c>
    </row>
    <row r="911" spans="1:12">
      <c r="A911">
        <v>961</v>
      </c>
      <c r="B911" t="s">
        <v>4082</v>
      </c>
      <c r="C911" t="s">
        <v>13</v>
      </c>
      <c r="D911" t="s">
        <v>13</v>
      </c>
      <c r="E911" t="s">
        <v>1093</v>
      </c>
      <c r="F911" t="s">
        <v>1118</v>
      </c>
      <c r="G911" t="s">
        <v>801</v>
      </c>
      <c r="H911" t="s">
        <v>1118</v>
      </c>
      <c r="I911" t="s">
        <v>4083</v>
      </c>
      <c r="J911" t="s">
        <v>4037</v>
      </c>
      <c r="K911" t="s">
        <v>13</v>
      </c>
      <c r="L911" t="s">
        <v>54</v>
      </c>
    </row>
    <row r="912" spans="1:12">
      <c r="A912">
        <v>962</v>
      </c>
      <c r="B912" t="s">
        <v>4084</v>
      </c>
      <c r="C912" t="s">
        <v>13</v>
      </c>
      <c r="D912" t="s">
        <v>13</v>
      </c>
      <c r="E912" t="s">
        <v>2574</v>
      </c>
      <c r="F912" t="s">
        <v>4005</v>
      </c>
      <c r="G912" t="s">
        <v>356</v>
      </c>
      <c r="H912" t="s">
        <v>4077</v>
      </c>
      <c r="I912" t="s">
        <v>4085</v>
      </c>
      <c r="J912" t="s">
        <v>4060</v>
      </c>
      <c r="K912" t="s">
        <v>13</v>
      </c>
      <c r="L912" t="s">
        <v>54</v>
      </c>
    </row>
    <row r="913" spans="1:12">
      <c r="A913">
        <v>963</v>
      </c>
      <c r="B913" t="s">
        <v>4086</v>
      </c>
      <c r="C913" t="s">
        <v>13</v>
      </c>
      <c r="D913" t="s">
        <v>13</v>
      </c>
      <c r="E913" t="s">
        <v>4087</v>
      </c>
      <c r="F913" t="s">
        <v>4016</v>
      </c>
      <c r="G913" t="s">
        <v>4088</v>
      </c>
      <c r="H913" t="s">
        <v>4089</v>
      </c>
      <c r="I913" t="s">
        <v>4090</v>
      </c>
      <c r="J913" t="s">
        <v>4049</v>
      </c>
      <c r="K913" t="s">
        <v>4091</v>
      </c>
      <c r="L913" t="s">
        <v>21</v>
      </c>
    </row>
    <row r="914" spans="1:12">
      <c r="A914">
        <v>964</v>
      </c>
      <c r="B914" t="s">
        <v>4092</v>
      </c>
      <c r="C914" t="s">
        <v>13</v>
      </c>
      <c r="D914" t="s">
        <v>286</v>
      </c>
      <c r="E914" t="s">
        <v>4052</v>
      </c>
      <c r="F914" t="s">
        <v>1118</v>
      </c>
      <c r="G914" t="s">
        <v>3559</v>
      </c>
      <c r="H914" t="s">
        <v>4093</v>
      </c>
      <c r="I914" t="s">
        <v>4094</v>
      </c>
      <c r="J914" t="s">
        <v>4095</v>
      </c>
      <c r="K914" t="s">
        <v>4055</v>
      </c>
      <c r="L914" t="s">
        <v>54</v>
      </c>
    </row>
    <row r="915" spans="1:12">
      <c r="A915">
        <v>969</v>
      </c>
      <c r="B915" t="s">
        <v>4096</v>
      </c>
      <c r="C915" t="s">
        <v>13</v>
      </c>
      <c r="D915" t="s">
        <v>13</v>
      </c>
      <c r="E915" t="s">
        <v>1692</v>
      </c>
      <c r="F915" t="s">
        <v>295</v>
      </c>
      <c r="G915" t="s">
        <v>1463</v>
      </c>
      <c r="H915" t="s">
        <v>4097</v>
      </c>
      <c r="I915" t="s">
        <v>4098</v>
      </c>
      <c r="J915" t="s">
        <v>4099</v>
      </c>
      <c r="K915" t="s">
        <v>4100</v>
      </c>
      <c r="L915" t="s">
        <v>36</v>
      </c>
    </row>
    <row r="916" spans="1:12">
      <c r="A916">
        <v>970</v>
      </c>
      <c r="B916" t="s">
        <v>4101</v>
      </c>
      <c r="C916" t="s">
        <v>13</v>
      </c>
      <c r="D916" t="s">
        <v>13</v>
      </c>
      <c r="E916" t="s">
        <v>1547</v>
      </c>
      <c r="F916" t="s">
        <v>4102</v>
      </c>
      <c r="G916" t="s">
        <v>31</v>
      </c>
      <c r="H916" t="s">
        <v>4102</v>
      </c>
      <c r="I916" t="s">
        <v>4103</v>
      </c>
      <c r="J916" t="s">
        <v>4104</v>
      </c>
      <c r="K916" t="s">
        <v>4105</v>
      </c>
      <c r="L916" t="s">
        <v>36</v>
      </c>
    </row>
    <row r="917" spans="1:12">
      <c r="A917">
        <v>971</v>
      </c>
      <c r="B917" t="s">
        <v>4106</v>
      </c>
      <c r="C917" t="s">
        <v>13</v>
      </c>
      <c r="D917" t="s">
        <v>13</v>
      </c>
      <c r="E917" t="s">
        <v>4107</v>
      </c>
      <c r="F917" t="s">
        <v>4108</v>
      </c>
      <c r="G917" t="s">
        <v>1857</v>
      </c>
      <c r="H917" t="s">
        <v>4108</v>
      </c>
      <c r="I917" t="s">
        <v>4109</v>
      </c>
      <c r="J917" t="s">
        <v>4110</v>
      </c>
      <c r="K917" t="s">
        <v>4111</v>
      </c>
      <c r="L917" t="s">
        <v>36</v>
      </c>
    </row>
    <row r="918" spans="1:12">
      <c r="A918">
        <v>972</v>
      </c>
      <c r="B918" t="s">
        <v>4112</v>
      </c>
      <c r="C918" t="s">
        <v>13</v>
      </c>
      <c r="D918" t="s">
        <v>13</v>
      </c>
      <c r="E918" t="s">
        <v>1973</v>
      </c>
      <c r="F918" t="s">
        <v>4113</v>
      </c>
      <c r="G918" t="s">
        <v>68</v>
      </c>
      <c r="H918" t="s">
        <v>4113</v>
      </c>
      <c r="I918" t="s">
        <v>4114</v>
      </c>
      <c r="J918" t="s">
        <v>4115</v>
      </c>
      <c r="K918" t="s">
        <v>4116</v>
      </c>
      <c r="L918" t="s">
        <v>21</v>
      </c>
    </row>
    <row r="919" spans="1:12">
      <c r="A919">
        <v>973</v>
      </c>
      <c r="B919" t="s">
        <v>4117</v>
      </c>
      <c r="C919" t="s">
        <v>13</v>
      </c>
      <c r="D919" t="s">
        <v>13</v>
      </c>
      <c r="E919" t="s">
        <v>806</v>
      </c>
      <c r="F919" t="s">
        <v>4118</v>
      </c>
      <c r="G919" t="s">
        <v>1029</v>
      </c>
      <c r="H919" t="s">
        <v>4118</v>
      </c>
      <c r="I919" t="s">
        <v>4119</v>
      </c>
      <c r="J919" t="s">
        <v>4120</v>
      </c>
      <c r="K919" t="s">
        <v>4121</v>
      </c>
      <c r="L919" t="s">
        <v>54</v>
      </c>
    </row>
    <row r="920" spans="1:12">
      <c r="A920">
        <v>974</v>
      </c>
      <c r="B920" t="s">
        <v>4122</v>
      </c>
      <c r="C920" t="s">
        <v>91</v>
      </c>
      <c r="D920" t="s">
        <v>267</v>
      </c>
      <c r="E920" t="s">
        <v>494</v>
      </c>
      <c r="F920" t="s">
        <v>4123</v>
      </c>
      <c r="G920" t="s">
        <v>2588</v>
      </c>
      <c r="H920" t="s">
        <v>4123</v>
      </c>
      <c r="I920" t="s">
        <v>4124</v>
      </c>
      <c r="J920" t="s">
        <v>4125</v>
      </c>
      <c r="K920" t="s">
        <v>4126</v>
      </c>
      <c r="L920" t="s">
        <v>21</v>
      </c>
    </row>
    <row r="921" spans="1:12">
      <c r="A921">
        <v>975</v>
      </c>
      <c r="B921" t="s">
        <v>4127</v>
      </c>
      <c r="C921" t="s">
        <v>13</v>
      </c>
      <c r="D921" t="s">
        <v>13</v>
      </c>
      <c r="E921" t="s">
        <v>4128</v>
      </c>
      <c r="F921" t="s">
        <v>4129</v>
      </c>
      <c r="G921" t="s">
        <v>16</v>
      </c>
      <c r="H921" t="s">
        <v>4130</v>
      </c>
      <c r="I921" t="s">
        <v>4131</v>
      </c>
      <c r="J921" t="s">
        <v>4132</v>
      </c>
      <c r="K921" t="s">
        <v>13</v>
      </c>
      <c r="L921" t="s">
        <v>21</v>
      </c>
    </row>
    <row r="922" spans="1:12">
      <c r="A922">
        <v>976</v>
      </c>
      <c r="B922" t="s">
        <v>4133</v>
      </c>
      <c r="C922" t="s">
        <v>13</v>
      </c>
      <c r="D922" t="s">
        <v>13</v>
      </c>
      <c r="E922" t="s">
        <v>4134</v>
      </c>
      <c r="F922" t="s">
        <v>4135</v>
      </c>
      <c r="G922" t="s">
        <v>2475</v>
      </c>
      <c r="H922" t="s">
        <v>4136</v>
      </c>
      <c r="I922" t="s">
        <v>4137</v>
      </c>
      <c r="J922" t="s">
        <v>4138</v>
      </c>
      <c r="K922" t="s">
        <v>4139</v>
      </c>
      <c r="L922" t="s">
        <v>21</v>
      </c>
    </row>
    <row r="923" spans="1:12">
      <c r="A923">
        <v>977</v>
      </c>
      <c r="B923" t="s">
        <v>4140</v>
      </c>
      <c r="C923" t="s">
        <v>13</v>
      </c>
      <c r="D923" t="s">
        <v>13</v>
      </c>
      <c r="E923" t="s">
        <v>4141</v>
      </c>
      <c r="F923" t="s">
        <v>4142</v>
      </c>
      <c r="G923" t="s">
        <v>49</v>
      </c>
      <c r="H923" t="s">
        <v>4142</v>
      </c>
      <c r="I923" t="s">
        <v>4143</v>
      </c>
      <c r="J923" t="s">
        <v>4144</v>
      </c>
      <c r="K923" t="s">
        <v>4145</v>
      </c>
      <c r="L923" t="s">
        <v>54</v>
      </c>
    </row>
    <row r="924" spans="1:12">
      <c r="A924">
        <v>978</v>
      </c>
      <c r="B924" t="s">
        <v>4146</v>
      </c>
      <c r="C924" t="s">
        <v>1129</v>
      </c>
      <c r="D924" t="s">
        <v>83</v>
      </c>
      <c r="E924" t="s">
        <v>3037</v>
      </c>
      <c r="F924" t="s">
        <v>4147</v>
      </c>
      <c r="G924" t="s">
        <v>4148</v>
      </c>
      <c r="H924" t="s">
        <v>3374</v>
      </c>
      <c r="I924" t="s">
        <v>4149</v>
      </c>
      <c r="J924" t="s">
        <v>753</v>
      </c>
      <c r="K924" t="s">
        <v>4150</v>
      </c>
      <c r="L924" t="s">
        <v>21</v>
      </c>
    </row>
    <row r="925" spans="1:12">
      <c r="A925">
        <v>979</v>
      </c>
      <c r="B925" t="s">
        <v>4151</v>
      </c>
      <c r="C925" t="s">
        <v>13</v>
      </c>
      <c r="D925" t="s">
        <v>39</v>
      </c>
      <c r="E925" t="s">
        <v>1917</v>
      </c>
      <c r="F925" t="s">
        <v>4152</v>
      </c>
      <c r="G925" t="s">
        <v>4153</v>
      </c>
      <c r="H925" t="s">
        <v>4152</v>
      </c>
      <c r="I925" t="s">
        <v>4154</v>
      </c>
      <c r="J925" t="s">
        <v>4155</v>
      </c>
      <c r="K925" t="s">
        <v>4156</v>
      </c>
      <c r="L925" t="s">
        <v>54</v>
      </c>
    </row>
    <row r="926" spans="1:12">
      <c r="A926">
        <v>980</v>
      </c>
      <c r="B926" t="s">
        <v>4157</v>
      </c>
      <c r="C926" t="s">
        <v>13</v>
      </c>
      <c r="D926" t="s">
        <v>13</v>
      </c>
      <c r="E926" t="s">
        <v>67</v>
      </c>
      <c r="F926" t="s">
        <v>4158</v>
      </c>
      <c r="G926" t="s">
        <v>3892</v>
      </c>
      <c r="H926" t="s">
        <v>4158</v>
      </c>
      <c r="I926" t="s">
        <v>4159</v>
      </c>
      <c r="J926" t="s">
        <v>4160</v>
      </c>
      <c r="K926" t="s">
        <v>4161</v>
      </c>
      <c r="L926" t="s">
        <v>54</v>
      </c>
    </row>
    <row r="927" spans="1:12">
      <c r="A927">
        <v>981</v>
      </c>
      <c r="B927" t="s">
        <v>4162</v>
      </c>
      <c r="C927" t="s">
        <v>13</v>
      </c>
      <c r="D927" t="s">
        <v>13</v>
      </c>
      <c r="E927" t="s">
        <v>212</v>
      </c>
      <c r="F927" t="s">
        <v>4163</v>
      </c>
      <c r="G927" t="s">
        <v>801</v>
      </c>
      <c r="H927" t="s">
        <v>4163</v>
      </c>
      <c r="I927" t="s">
        <v>4164</v>
      </c>
      <c r="J927" t="s">
        <v>4165</v>
      </c>
      <c r="K927" t="s">
        <v>4166</v>
      </c>
      <c r="L927" t="s">
        <v>54</v>
      </c>
    </row>
    <row r="928" spans="1:12">
      <c r="A928">
        <v>982</v>
      </c>
      <c r="B928" t="s">
        <v>4167</v>
      </c>
      <c r="C928" t="s">
        <v>246</v>
      </c>
      <c r="D928" t="s">
        <v>286</v>
      </c>
      <c r="E928" t="s">
        <v>818</v>
      </c>
      <c r="F928" t="s">
        <v>4168</v>
      </c>
      <c r="G928" t="s">
        <v>2588</v>
      </c>
      <c r="H928" t="s">
        <v>4168</v>
      </c>
      <c r="I928" t="s">
        <v>4169</v>
      </c>
      <c r="J928" t="s">
        <v>4170</v>
      </c>
      <c r="K928" t="s">
        <v>4171</v>
      </c>
      <c r="L928" t="s">
        <v>21</v>
      </c>
    </row>
    <row r="929" spans="1:12">
      <c r="A929">
        <v>983</v>
      </c>
      <c r="B929" t="s">
        <v>4172</v>
      </c>
      <c r="C929" t="s">
        <v>38</v>
      </c>
      <c r="D929" t="s">
        <v>267</v>
      </c>
      <c r="E929" t="s">
        <v>627</v>
      </c>
      <c r="F929" t="s">
        <v>4173</v>
      </c>
      <c r="G929" t="s">
        <v>2588</v>
      </c>
      <c r="H929" t="s">
        <v>4173</v>
      </c>
      <c r="I929" t="s">
        <v>4174</v>
      </c>
      <c r="J929" t="s">
        <v>4175</v>
      </c>
      <c r="K929" t="s">
        <v>4176</v>
      </c>
      <c r="L929" t="s">
        <v>21</v>
      </c>
    </row>
    <row r="930" spans="1:12">
      <c r="A930">
        <v>984</v>
      </c>
      <c r="B930" t="s">
        <v>4177</v>
      </c>
      <c r="C930" t="s">
        <v>13</v>
      </c>
      <c r="D930" t="s">
        <v>13</v>
      </c>
      <c r="E930" t="s">
        <v>4178</v>
      </c>
      <c r="F930" t="s">
        <v>4179</v>
      </c>
      <c r="G930" t="s">
        <v>4180</v>
      </c>
      <c r="H930" t="s">
        <v>4179</v>
      </c>
      <c r="I930" t="s">
        <v>4181</v>
      </c>
      <c r="J930" t="s">
        <v>4182</v>
      </c>
      <c r="K930" t="s">
        <v>4183</v>
      </c>
      <c r="L930" t="s">
        <v>36</v>
      </c>
    </row>
    <row r="931" spans="1:12">
      <c r="A931">
        <v>985</v>
      </c>
      <c r="B931" t="s">
        <v>4122</v>
      </c>
      <c r="C931" t="s">
        <v>115</v>
      </c>
      <c r="D931" t="s">
        <v>57</v>
      </c>
      <c r="E931" t="s">
        <v>123</v>
      </c>
      <c r="F931" t="s">
        <v>4184</v>
      </c>
      <c r="G931" t="s">
        <v>2588</v>
      </c>
      <c r="H931" t="s">
        <v>4184</v>
      </c>
      <c r="I931" t="s">
        <v>4185</v>
      </c>
      <c r="J931" t="s">
        <v>4186</v>
      </c>
      <c r="K931" t="s">
        <v>4187</v>
      </c>
      <c r="L931" t="s">
        <v>21</v>
      </c>
    </row>
    <row r="932" spans="1:12">
      <c r="A932">
        <v>986</v>
      </c>
      <c r="B932" t="s">
        <v>4188</v>
      </c>
      <c r="C932" t="s">
        <v>321</v>
      </c>
      <c r="D932" t="s">
        <v>267</v>
      </c>
      <c r="E932" t="s">
        <v>1150</v>
      </c>
      <c r="F932" t="s">
        <v>4189</v>
      </c>
      <c r="G932" t="s">
        <v>2588</v>
      </c>
      <c r="H932" t="s">
        <v>4189</v>
      </c>
      <c r="I932" t="s">
        <v>4190</v>
      </c>
      <c r="J932" t="s">
        <v>4191</v>
      </c>
      <c r="K932" t="s">
        <v>4192</v>
      </c>
      <c r="L932" t="s">
        <v>21</v>
      </c>
    </row>
    <row r="933" spans="1:12">
      <c r="A933">
        <v>987</v>
      </c>
      <c r="B933" t="s">
        <v>4193</v>
      </c>
      <c r="C933" t="s">
        <v>82</v>
      </c>
      <c r="D933" t="s">
        <v>39</v>
      </c>
      <c r="E933" t="s">
        <v>1387</v>
      </c>
      <c r="F933" t="s">
        <v>4194</v>
      </c>
      <c r="G933" t="s">
        <v>3330</v>
      </c>
      <c r="H933" t="s">
        <v>4194</v>
      </c>
      <c r="I933" t="s">
        <v>4195</v>
      </c>
      <c r="J933" t="s">
        <v>4196</v>
      </c>
      <c r="K933" t="s">
        <v>4197</v>
      </c>
      <c r="L933" t="s">
        <v>21</v>
      </c>
    </row>
    <row r="934" spans="1:12">
      <c r="A934">
        <v>988</v>
      </c>
      <c r="B934" t="s">
        <v>4198</v>
      </c>
      <c r="C934" t="s">
        <v>46</v>
      </c>
      <c r="D934" t="s">
        <v>286</v>
      </c>
      <c r="E934" t="s">
        <v>449</v>
      </c>
      <c r="F934" t="s">
        <v>4118</v>
      </c>
      <c r="G934" t="s">
        <v>4199</v>
      </c>
      <c r="H934" t="s">
        <v>4118</v>
      </c>
      <c r="I934" t="s">
        <v>4200</v>
      </c>
      <c r="J934" t="s">
        <v>4120</v>
      </c>
      <c r="K934" t="s">
        <v>4201</v>
      </c>
      <c r="L934" t="s">
        <v>36</v>
      </c>
    </row>
    <row r="935" spans="1:12">
      <c r="A935">
        <v>989</v>
      </c>
      <c r="B935" t="s">
        <v>4122</v>
      </c>
      <c r="C935" t="s">
        <v>82</v>
      </c>
      <c r="D935" t="s">
        <v>100</v>
      </c>
      <c r="E935" t="s">
        <v>123</v>
      </c>
      <c r="F935" t="s">
        <v>4202</v>
      </c>
      <c r="G935" t="s">
        <v>2588</v>
      </c>
      <c r="H935" t="s">
        <v>4202</v>
      </c>
      <c r="I935" t="s">
        <v>4124</v>
      </c>
      <c r="J935" t="s">
        <v>4203</v>
      </c>
      <c r="K935" t="s">
        <v>4204</v>
      </c>
      <c r="L935" t="s">
        <v>21</v>
      </c>
    </row>
    <row r="936" spans="1:12">
      <c r="A936">
        <v>990</v>
      </c>
      <c r="B936" t="s">
        <v>4205</v>
      </c>
      <c r="C936" t="s">
        <v>353</v>
      </c>
      <c r="D936" t="s">
        <v>286</v>
      </c>
      <c r="E936" t="s">
        <v>196</v>
      </c>
      <c r="F936" t="s">
        <v>4206</v>
      </c>
      <c r="G936" t="s">
        <v>2646</v>
      </c>
      <c r="H936" t="s">
        <v>4206</v>
      </c>
      <c r="I936" t="s">
        <v>4207</v>
      </c>
      <c r="J936" t="s">
        <v>4208</v>
      </c>
      <c r="K936" t="s">
        <v>4209</v>
      </c>
      <c r="L936" t="s">
        <v>54</v>
      </c>
    </row>
    <row r="937" spans="1:12">
      <c r="A937">
        <v>991</v>
      </c>
      <c r="B937" t="s">
        <v>4210</v>
      </c>
      <c r="C937" t="s">
        <v>321</v>
      </c>
      <c r="D937" t="s">
        <v>211</v>
      </c>
      <c r="E937" t="s">
        <v>737</v>
      </c>
      <c r="F937" t="s">
        <v>4102</v>
      </c>
      <c r="G937" t="s">
        <v>801</v>
      </c>
      <c r="H937" t="s">
        <v>4102</v>
      </c>
      <c r="I937" t="s">
        <v>4211</v>
      </c>
      <c r="J937" t="s">
        <v>4104</v>
      </c>
      <c r="K937" t="s">
        <v>4212</v>
      </c>
      <c r="L937" t="s">
        <v>54</v>
      </c>
    </row>
    <row r="938" spans="1:12">
      <c r="A938">
        <v>992</v>
      </c>
      <c r="B938" t="s">
        <v>4213</v>
      </c>
      <c r="C938" t="s">
        <v>38</v>
      </c>
      <c r="D938" t="s">
        <v>267</v>
      </c>
      <c r="E938" t="s">
        <v>123</v>
      </c>
      <c r="F938" t="s">
        <v>295</v>
      </c>
      <c r="G938" t="s">
        <v>376</v>
      </c>
      <c r="H938" t="s">
        <v>4214</v>
      </c>
      <c r="I938" t="s">
        <v>4215</v>
      </c>
      <c r="J938" t="s">
        <v>4099</v>
      </c>
      <c r="K938" t="s">
        <v>4216</v>
      </c>
      <c r="L938" t="s">
        <v>54</v>
      </c>
    </row>
    <row r="939" spans="1:12">
      <c r="A939">
        <v>993</v>
      </c>
      <c r="B939" t="s">
        <v>4217</v>
      </c>
      <c r="C939" t="s">
        <v>13</v>
      </c>
      <c r="D939" t="s">
        <v>13</v>
      </c>
      <c r="E939" t="s">
        <v>494</v>
      </c>
      <c r="F939" t="s">
        <v>4113</v>
      </c>
      <c r="G939" t="s">
        <v>1988</v>
      </c>
      <c r="H939" t="s">
        <v>4218</v>
      </c>
      <c r="I939" t="s">
        <v>4219</v>
      </c>
      <c r="J939" t="s">
        <v>4115</v>
      </c>
      <c r="K939" t="s">
        <v>4220</v>
      </c>
      <c r="L939" t="s">
        <v>36</v>
      </c>
    </row>
    <row r="940" spans="1:12">
      <c r="A940">
        <v>994</v>
      </c>
      <c r="B940" t="s">
        <v>4221</v>
      </c>
      <c r="C940" t="s">
        <v>200</v>
      </c>
      <c r="D940" t="s">
        <v>100</v>
      </c>
      <c r="E940" t="s">
        <v>201</v>
      </c>
      <c r="F940" t="s">
        <v>4222</v>
      </c>
      <c r="G940" t="s">
        <v>2588</v>
      </c>
      <c r="H940" t="s">
        <v>4222</v>
      </c>
      <c r="I940" t="s">
        <v>4223</v>
      </c>
      <c r="J940" t="s">
        <v>4224</v>
      </c>
      <c r="K940" t="s">
        <v>4225</v>
      </c>
      <c r="L940" t="s">
        <v>21</v>
      </c>
    </row>
    <row r="941" spans="1:12">
      <c r="A941">
        <v>995</v>
      </c>
      <c r="B941" t="s">
        <v>4167</v>
      </c>
      <c r="C941" t="s">
        <v>218</v>
      </c>
      <c r="D941" t="s">
        <v>158</v>
      </c>
      <c r="E941" t="s">
        <v>1387</v>
      </c>
      <c r="F941" t="s">
        <v>4226</v>
      </c>
      <c r="G941" t="s">
        <v>2588</v>
      </c>
      <c r="H941" t="s">
        <v>4226</v>
      </c>
      <c r="I941" t="s">
        <v>4227</v>
      </c>
      <c r="J941" t="s">
        <v>4228</v>
      </c>
      <c r="K941" t="s">
        <v>4229</v>
      </c>
      <c r="L941" t="s">
        <v>21</v>
      </c>
    </row>
    <row r="942" spans="1:12">
      <c r="A942">
        <v>996</v>
      </c>
      <c r="B942" t="s">
        <v>4122</v>
      </c>
      <c r="C942" t="s">
        <v>230</v>
      </c>
      <c r="D942" t="s">
        <v>39</v>
      </c>
      <c r="E942" t="s">
        <v>123</v>
      </c>
      <c r="F942" t="s">
        <v>4230</v>
      </c>
      <c r="G942" t="s">
        <v>2588</v>
      </c>
      <c r="H942" t="s">
        <v>4230</v>
      </c>
      <c r="I942" t="s">
        <v>4231</v>
      </c>
      <c r="J942" t="s">
        <v>4232</v>
      </c>
      <c r="K942" t="s">
        <v>4233</v>
      </c>
      <c r="L942" t="s">
        <v>21</v>
      </c>
    </row>
    <row r="943" spans="1:12">
      <c r="A943">
        <v>997</v>
      </c>
      <c r="B943" t="s">
        <v>4234</v>
      </c>
      <c r="C943" t="s">
        <v>246</v>
      </c>
      <c r="D943" t="s">
        <v>100</v>
      </c>
      <c r="E943" t="s">
        <v>123</v>
      </c>
      <c r="F943" t="s">
        <v>4235</v>
      </c>
      <c r="G943" t="s">
        <v>2588</v>
      </c>
      <c r="H943" t="s">
        <v>4235</v>
      </c>
      <c r="I943" t="s">
        <v>4236</v>
      </c>
      <c r="J943" t="s">
        <v>4237</v>
      </c>
      <c r="K943" t="s">
        <v>4238</v>
      </c>
      <c r="L943" t="s">
        <v>36</v>
      </c>
    </row>
    <row r="944" spans="1:12">
      <c r="A944">
        <v>998</v>
      </c>
      <c r="B944" t="s">
        <v>4167</v>
      </c>
      <c r="C944" t="s">
        <v>522</v>
      </c>
      <c r="D944" t="s">
        <v>39</v>
      </c>
      <c r="E944" t="s">
        <v>1929</v>
      </c>
      <c r="F944" t="s">
        <v>4239</v>
      </c>
      <c r="G944" t="s">
        <v>2588</v>
      </c>
      <c r="H944" t="s">
        <v>4239</v>
      </c>
      <c r="I944" t="s">
        <v>4240</v>
      </c>
      <c r="J944" t="s">
        <v>4241</v>
      </c>
      <c r="K944" t="s">
        <v>4242</v>
      </c>
      <c r="L944" t="s">
        <v>21</v>
      </c>
    </row>
    <row r="945" spans="1:12">
      <c r="A945">
        <v>999</v>
      </c>
      <c r="B945" t="s">
        <v>4122</v>
      </c>
      <c r="C945" t="s">
        <v>325</v>
      </c>
      <c r="D945" t="s">
        <v>286</v>
      </c>
      <c r="E945" t="s">
        <v>123</v>
      </c>
      <c r="F945" t="s">
        <v>4243</v>
      </c>
      <c r="G945" t="s">
        <v>2588</v>
      </c>
      <c r="H945" t="s">
        <v>4243</v>
      </c>
      <c r="I945" t="s">
        <v>4244</v>
      </c>
      <c r="J945" t="s">
        <v>4245</v>
      </c>
      <c r="K945" t="s">
        <v>4246</v>
      </c>
      <c r="L945" t="s">
        <v>21</v>
      </c>
    </row>
    <row r="946" spans="1:12">
      <c r="A946">
        <v>1000</v>
      </c>
      <c r="B946" t="s">
        <v>2119</v>
      </c>
      <c r="C946" t="s">
        <v>230</v>
      </c>
      <c r="D946" t="s">
        <v>57</v>
      </c>
      <c r="E946" t="s">
        <v>272</v>
      </c>
      <c r="F946" t="s">
        <v>4247</v>
      </c>
      <c r="G946" t="s">
        <v>2646</v>
      </c>
      <c r="H946" t="s">
        <v>4247</v>
      </c>
      <c r="I946" t="s">
        <v>4248</v>
      </c>
      <c r="J946" t="s">
        <v>4249</v>
      </c>
      <c r="K946" t="s">
        <v>4250</v>
      </c>
      <c r="L946" t="s">
        <v>21</v>
      </c>
    </row>
    <row r="947" spans="1:12">
      <c r="A947">
        <v>1001</v>
      </c>
      <c r="B947" t="s">
        <v>4167</v>
      </c>
      <c r="C947" t="s">
        <v>195</v>
      </c>
      <c r="D947" t="s">
        <v>39</v>
      </c>
      <c r="E947" t="s">
        <v>455</v>
      </c>
      <c r="F947" t="s">
        <v>4129</v>
      </c>
      <c r="G947" t="s">
        <v>2588</v>
      </c>
      <c r="H947" t="s">
        <v>4129</v>
      </c>
      <c r="I947" t="s">
        <v>4251</v>
      </c>
      <c r="J947" t="s">
        <v>4132</v>
      </c>
      <c r="K947" t="s">
        <v>4252</v>
      </c>
      <c r="L947" t="s">
        <v>21</v>
      </c>
    </row>
    <row r="948" spans="1:12">
      <c r="A948">
        <v>1002</v>
      </c>
      <c r="B948" t="s">
        <v>4253</v>
      </c>
      <c r="C948" t="s">
        <v>99</v>
      </c>
      <c r="D948" t="s">
        <v>211</v>
      </c>
      <c r="E948" t="s">
        <v>4107</v>
      </c>
      <c r="F948" t="s">
        <v>4147</v>
      </c>
      <c r="G948" t="s">
        <v>2646</v>
      </c>
      <c r="H948" t="s">
        <v>4147</v>
      </c>
      <c r="I948" t="s">
        <v>4254</v>
      </c>
      <c r="J948" t="s">
        <v>4255</v>
      </c>
      <c r="K948" t="s">
        <v>4256</v>
      </c>
      <c r="L948" t="s">
        <v>21</v>
      </c>
    </row>
    <row r="949" spans="1:12">
      <c r="A949">
        <v>1003</v>
      </c>
      <c r="B949" t="s">
        <v>4167</v>
      </c>
      <c r="C949" t="s">
        <v>353</v>
      </c>
      <c r="D949" t="s">
        <v>66</v>
      </c>
      <c r="E949" t="s">
        <v>2320</v>
      </c>
      <c r="F949" t="s">
        <v>4108</v>
      </c>
      <c r="G949" t="s">
        <v>2588</v>
      </c>
      <c r="H949" t="s">
        <v>4108</v>
      </c>
      <c r="I949" t="s">
        <v>4257</v>
      </c>
      <c r="J949" t="s">
        <v>4110</v>
      </c>
      <c r="K949" t="s">
        <v>4258</v>
      </c>
      <c r="L949" t="s">
        <v>21</v>
      </c>
    </row>
    <row r="950" spans="1:12">
      <c r="A950">
        <v>1004</v>
      </c>
      <c r="B950" t="s">
        <v>4122</v>
      </c>
      <c r="C950" t="s">
        <v>46</v>
      </c>
      <c r="D950" t="s">
        <v>260</v>
      </c>
      <c r="E950" t="s">
        <v>123</v>
      </c>
      <c r="F950" t="s">
        <v>4259</v>
      </c>
      <c r="G950" t="s">
        <v>2588</v>
      </c>
      <c r="H950" t="s">
        <v>4259</v>
      </c>
      <c r="I950" t="s">
        <v>4260</v>
      </c>
      <c r="J950" t="s">
        <v>4261</v>
      </c>
      <c r="K950" t="s">
        <v>4262</v>
      </c>
      <c r="L950" t="s">
        <v>21</v>
      </c>
    </row>
    <row r="951" spans="1:12">
      <c r="A951">
        <v>1005</v>
      </c>
      <c r="B951" t="s">
        <v>4263</v>
      </c>
      <c r="C951" t="s">
        <v>218</v>
      </c>
      <c r="D951" t="s">
        <v>47</v>
      </c>
      <c r="E951" t="s">
        <v>1195</v>
      </c>
      <c r="F951" t="s">
        <v>4264</v>
      </c>
      <c r="G951" t="s">
        <v>2588</v>
      </c>
      <c r="H951" t="s">
        <v>4264</v>
      </c>
      <c r="I951" t="s">
        <v>4265</v>
      </c>
      <c r="J951" t="s">
        <v>4266</v>
      </c>
      <c r="K951" t="s">
        <v>4267</v>
      </c>
      <c r="L951" t="s">
        <v>21</v>
      </c>
    </row>
    <row r="952" spans="1:12">
      <c r="A952">
        <v>1006</v>
      </c>
      <c r="B952" t="s">
        <v>4268</v>
      </c>
      <c r="C952" t="s">
        <v>74</v>
      </c>
      <c r="D952" t="s">
        <v>173</v>
      </c>
      <c r="E952" t="s">
        <v>627</v>
      </c>
      <c r="F952" t="s">
        <v>295</v>
      </c>
      <c r="G952" t="s">
        <v>31</v>
      </c>
      <c r="H952" t="s">
        <v>295</v>
      </c>
      <c r="I952" t="s">
        <v>4269</v>
      </c>
      <c r="J952" t="s">
        <v>4099</v>
      </c>
      <c r="K952" t="s">
        <v>4270</v>
      </c>
      <c r="L952" t="s">
        <v>21</v>
      </c>
    </row>
    <row r="953" spans="1:12">
      <c r="A953">
        <v>1007</v>
      </c>
      <c r="B953" t="s">
        <v>4271</v>
      </c>
      <c r="C953" t="s">
        <v>230</v>
      </c>
      <c r="D953" t="s">
        <v>57</v>
      </c>
      <c r="E953" t="s">
        <v>1195</v>
      </c>
      <c r="F953" t="s">
        <v>4152</v>
      </c>
      <c r="G953" t="s">
        <v>4272</v>
      </c>
      <c r="H953" t="s">
        <v>4273</v>
      </c>
      <c r="I953" t="s">
        <v>4274</v>
      </c>
      <c r="J953" t="s">
        <v>4155</v>
      </c>
      <c r="K953" t="s">
        <v>4275</v>
      </c>
      <c r="L953" t="s">
        <v>36</v>
      </c>
    </row>
    <row r="954" spans="1:12">
      <c r="A954">
        <v>1008</v>
      </c>
      <c r="B954" t="s">
        <v>4276</v>
      </c>
      <c r="C954" t="s">
        <v>240</v>
      </c>
      <c r="D954" t="s">
        <v>260</v>
      </c>
      <c r="E954" t="s">
        <v>144</v>
      </c>
      <c r="F954" t="s">
        <v>4179</v>
      </c>
      <c r="G954" t="s">
        <v>4272</v>
      </c>
      <c r="H954" t="s">
        <v>4179</v>
      </c>
      <c r="I954" t="s">
        <v>4277</v>
      </c>
      <c r="J954" t="s">
        <v>4278</v>
      </c>
      <c r="K954" t="s">
        <v>4279</v>
      </c>
      <c r="L954" t="s">
        <v>21</v>
      </c>
    </row>
    <row r="955" spans="1:12">
      <c r="A955">
        <v>1009</v>
      </c>
      <c r="B955" t="s">
        <v>4280</v>
      </c>
      <c r="C955" t="s">
        <v>1129</v>
      </c>
      <c r="D955" t="s">
        <v>173</v>
      </c>
      <c r="E955" t="s">
        <v>1426</v>
      </c>
      <c r="F955" t="s">
        <v>4118</v>
      </c>
      <c r="G955" t="s">
        <v>801</v>
      </c>
      <c r="H955" t="s">
        <v>4118</v>
      </c>
      <c r="I955" t="s">
        <v>4281</v>
      </c>
      <c r="J955" t="s">
        <v>4120</v>
      </c>
      <c r="K955" t="s">
        <v>4282</v>
      </c>
      <c r="L955" t="s">
        <v>36</v>
      </c>
    </row>
    <row r="956" spans="1:12">
      <c r="A956">
        <v>1010</v>
      </c>
      <c r="B956" t="s">
        <v>4167</v>
      </c>
      <c r="C956" t="s">
        <v>46</v>
      </c>
      <c r="D956" t="s">
        <v>158</v>
      </c>
      <c r="E956" t="s">
        <v>123</v>
      </c>
      <c r="F956" t="s">
        <v>4102</v>
      </c>
      <c r="G956" t="s">
        <v>2588</v>
      </c>
      <c r="H956" t="s">
        <v>4102</v>
      </c>
      <c r="I956" t="s">
        <v>4283</v>
      </c>
      <c r="J956" t="s">
        <v>4104</v>
      </c>
      <c r="K956" t="s">
        <v>4284</v>
      </c>
      <c r="L956" t="s">
        <v>21</v>
      </c>
    </row>
    <row r="957" spans="1:12">
      <c r="A957">
        <v>1011</v>
      </c>
      <c r="B957" t="s">
        <v>4285</v>
      </c>
      <c r="C957" t="s">
        <v>46</v>
      </c>
      <c r="D957" t="s">
        <v>57</v>
      </c>
      <c r="E957" t="s">
        <v>123</v>
      </c>
      <c r="F957" t="s">
        <v>4286</v>
      </c>
      <c r="G957" t="s">
        <v>2588</v>
      </c>
      <c r="H957" t="s">
        <v>4287</v>
      </c>
      <c r="I957" t="s">
        <v>4288</v>
      </c>
      <c r="J957" t="s">
        <v>4289</v>
      </c>
      <c r="K957" t="s">
        <v>4290</v>
      </c>
      <c r="L957" t="s">
        <v>21</v>
      </c>
    </row>
    <row r="958" spans="1:12">
      <c r="A958">
        <v>1012</v>
      </c>
      <c r="B958" t="s">
        <v>4291</v>
      </c>
      <c r="C958" t="s">
        <v>195</v>
      </c>
      <c r="D958" t="s">
        <v>66</v>
      </c>
      <c r="E958" t="s">
        <v>623</v>
      </c>
      <c r="F958" t="s">
        <v>4123</v>
      </c>
      <c r="G958" t="s">
        <v>2646</v>
      </c>
      <c r="H958" t="s">
        <v>4123</v>
      </c>
      <c r="I958" t="s">
        <v>4292</v>
      </c>
      <c r="J958" t="s">
        <v>4125</v>
      </c>
      <c r="K958" t="s">
        <v>4293</v>
      </c>
      <c r="L958" t="s">
        <v>21</v>
      </c>
    </row>
    <row r="959" spans="1:12">
      <c r="A959">
        <v>1013</v>
      </c>
      <c r="B959" t="s">
        <v>4294</v>
      </c>
      <c r="C959" t="s">
        <v>321</v>
      </c>
      <c r="D959" t="s">
        <v>57</v>
      </c>
      <c r="E959" t="s">
        <v>1767</v>
      </c>
      <c r="F959" t="s">
        <v>4295</v>
      </c>
      <c r="G959" t="s">
        <v>313</v>
      </c>
      <c r="H959" t="s">
        <v>4295</v>
      </c>
      <c r="I959" t="s">
        <v>4296</v>
      </c>
      <c r="J959" t="s">
        <v>4297</v>
      </c>
      <c r="K959" t="s">
        <v>4298</v>
      </c>
      <c r="L959" t="s">
        <v>21</v>
      </c>
    </row>
    <row r="960" spans="1:12">
      <c r="A960">
        <v>1014</v>
      </c>
      <c r="B960" t="s">
        <v>4122</v>
      </c>
      <c r="C960" t="s">
        <v>1129</v>
      </c>
      <c r="D960" t="s">
        <v>57</v>
      </c>
      <c r="E960" t="s">
        <v>123</v>
      </c>
      <c r="F960" t="s">
        <v>4299</v>
      </c>
      <c r="G960" t="s">
        <v>2588</v>
      </c>
      <c r="H960" t="s">
        <v>4299</v>
      </c>
      <c r="I960" t="s">
        <v>4124</v>
      </c>
      <c r="J960" t="s">
        <v>4300</v>
      </c>
      <c r="K960" t="s">
        <v>4301</v>
      </c>
      <c r="L960" t="s">
        <v>21</v>
      </c>
    </row>
    <row r="961" spans="1:12">
      <c r="A961">
        <v>1015</v>
      </c>
      <c r="B961" t="s">
        <v>4167</v>
      </c>
      <c r="C961" t="s">
        <v>230</v>
      </c>
      <c r="D961" t="s">
        <v>158</v>
      </c>
      <c r="E961" t="s">
        <v>818</v>
      </c>
      <c r="F961" t="s">
        <v>4302</v>
      </c>
      <c r="G961" t="s">
        <v>2588</v>
      </c>
      <c r="H961" t="s">
        <v>4302</v>
      </c>
      <c r="I961" t="s">
        <v>4303</v>
      </c>
      <c r="J961" t="s">
        <v>4304</v>
      </c>
      <c r="K961" t="s">
        <v>4305</v>
      </c>
      <c r="L961" t="s">
        <v>21</v>
      </c>
    </row>
    <row r="962" spans="1:12">
      <c r="A962">
        <v>1016</v>
      </c>
      <c r="B962" t="s">
        <v>4167</v>
      </c>
      <c r="C962" t="s">
        <v>195</v>
      </c>
      <c r="D962" t="s">
        <v>173</v>
      </c>
      <c r="E962" t="s">
        <v>2326</v>
      </c>
      <c r="F962" t="s">
        <v>4306</v>
      </c>
      <c r="G962" t="s">
        <v>2588</v>
      </c>
      <c r="H962" t="s">
        <v>4306</v>
      </c>
      <c r="I962" t="s">
        <v>4307</v>
      </c>
      <c r="J962" t="s">
        <v>4308</v>
      </c>
      <c r="K962" t="s">
        <v>4309</v>
      </c>
      <c r="L962" t="s">
        <v>21</v>
      </c>
    </row>
    <row r="963" spans="1:12">
      <c r="A963">
        <v>1017</v>
      </c>
      <c r="B963" t="s">
        <v>4122</v>
      </c>
      <c r="C963" t="s">
        <v>522</v>
      </c>
      <c r="D963" t="s">
        <v>100</v>
      </c>
      <c r="E963" t="s">
        <v>691</v>
      </c>
      <c r="F963" t="s">
        <v>4310</v>
      </c>
      <c r="G963" t="s">
        <v>2588</v>
      </c>
      <c r="H963" t="s">
        <v>4310</v>
      </c>
      <c r="I963" t="s">
        <v>4311</v>
      </c>
      <c r="J963" t="s">
        <v>4312</v>
      </c>
      <c r="K963" t="s">
        <v>4313</v>
      </c>
      <c r="L963" t="s">
        <v>21</v>
      </c>
    </row>
    <row r="964" spans="1:12">
      <c r="A964">
        <v>1018</v>
      </c>
      <c r="B964" t="s">
        <v>4314</v>
      </c>
      <c r="C964" t="s">
        <v>353</v>
      </c>
      <c r="D964" t="s">
        <v>158</v>
      </c>
      <c r="E964" t="s">
        <v>1164</v>
      </c>
      <c r="F964" t="s">
        <v>4315</v>
      </c>
      <c r="G964" t="s">
        <v>2588</v>
      </c>
      <c r="H964" t="s">
        <v>4315</v>
      </c>
      <c r="I964" t="s">
        <v>4316</v>
      </c>
      <c r="J964" t="s">
        <v>4317</v>
      </c>
      <c r="K964" t="s">
        <v>4318</v>
      </c>
      <c r="L964" t="s">
        <v>21</v>
      </c>
    </row>
    <row r="965" spans="1:12">
      <c r="A965">
        <v>1019</v>
      </c>
      <c r="B965" t="s">
        <v>4167</v>
      </c>
      <c r="C965" t="s">
        <v>633</v>
      </c>
      <c r="D965" t="s">
        <v>100</v>
      </c>
      <c r="E965" t="s">
        <v>1609</v>
      </c>
      <c r="F965" t="s">
        <v>4319</v>
      </c>
      <c r="G965" t="s">
        <v>2588</v>
      </c>
      <c r="H965" t="s">
        <v>4319</v>
      </c>
      <c r="I965" t="s">
        <v>4320</v>
      </c>
      <c r="J965" t="s">
        <v>4321</v>
      </c>
      <c r="K965" t="s">
        <v>4322</v>
      </c>
      <c r="L965" t="s">
        <v>21</v>
      </c>
    </row>
    <row r="966" spans="1:12">
      <c r="A966">
        <v>1020</v>
      </c>
      <c r="B966" t="s">
        <v>4323</v>
      </c>
      <c r="C966" t="s">
        <v>46</v>
      </c>
      <c r="D966" t="s">
        <v>211</v>
      </c>
      <c r="E966" t="s">
        <v>123</v>
      </c>
      <c r="F966" t="s">
        <v>4163</v>
      </c>
      <c r="G966" t="s">
        <v>4324</v>
      </c>
      <c r="H966" t="s">
        <v>4163</v>
      </c>
      <c r="I966" t="s">
        <v>4325</v>
      </c>
      <c r="J966" t="s">
        <v>4165</v>
      </c>
      <c r="K966" t="s">
        <v>4326</v>
      </c>
      <c r="L966" t="s">
        <v>21</v>
      </c>
    </row>
    <row r="967" spans="1:12">
      <c r="A967">
        <v>1021</v>
      </c>
      <c r="B967" t="s">
        <v>4221</v>
      </c>
      <c r="C967" t="s">
        <v>165</v>
      </c>
      <c r="D967" t="s">
        <v>211</v>
      </c>
      <c r="E967" t="s">
        <v>201</v>
      </c>
      <c r="F967" t="s">
        <v>4327</v>
      </c>
      <c r="G967" t="s">
        <v>2588</v>
      </c>
      <c r="H967" t="s">
        <v>4327</v>
      </c>
      <c r="I967" t="s">
        <v>4328</v>
      </c>
      <c r="J967" t="s">
        <v>4329</v>
      </c>
      <c r="K967" t="s">
        <v>4330</v>
      </c>
      <c r="L967" t="s">
        <v>21</v>
      </c>
    </row>
    <row r="968" spans="1:12">
      <c r="A968">
        <v>1022</v>
      </c>
      <c r="B968" t="s">
        <v>4221</v>
      </c>
      <c r="C968" t="s">
        <v>218</v>
      </c>
      <c r="D968" t="s">
        <v>286</v>
      </c>
      <c r="E968" t="s">
        <v>1396</v>
      </c>
      <c r="F968" t="s">
        <v>4331</v>
      </c>
      <c r="G968" t="s">
        <v>2588</v>
      </c>
      <c r="H968" t="s">
        <v>4331</v>
      </c>
      <c r="I968" t="s">
        <v>4332</v>
      </c>
      <c r="J968" t="s">
        <v>4333</v>
      </c>
      <c r="K968" t="s">
        <v>4330</v>
      </c>
      <c r="L968" t="s">
        <v>21</v>
      </c>
    </row>
    <row r="969" spans="1:12">
      <c r="A969">
        <v>1023</v>
      </c>
      <c r="B969" t="s">
        <v>4122</v>
      </c>
      <c r="C969" t="s">
        <v>321</v>
      </c>
      <c r="D969" t="s">
        <v>211</v>
      </c>
      <c r="E969" t="s">
        <v>201</v>
      </c>
      <c r="F969" t="s">
        <v>4334</v>
      </c>
      <c r="G969" t="s">
        <v>2588</v>
      </c>
      <c r="H969" t="s">
        <v>4334</v>
      </c>
      <c r="I969" t="s">
        <v>4335</v>
      </c>
      <c r="J969" t="s">
        <v>4336</v>
      </c>
      <c r="K969" t="s">
        <v>4337</v>
      </c>
      <c r="L969" t="s">
        <v>21</v>
      </c>
    </row>
    <row r="970" spans="1:12">
      <c r="A970">
        <v>1024</v>
      </c>
      <c r="B970" t="s">
        <v>4221</v>
      </c>
      <c r="C970" t="s">
        <v>74</v>
      </c>
      <c r="D970" t="s">
        <v>83</v>
      </c>
      <c r="E970" t="s">
        <v>201</v>
      </c>
      <c r="F970" t="s">
        <v>4142</v>
      </c>
      <c r="G970" t="s">
        <v>2588</v>
      </c>
      <c r="H970" t="s">
        <v>4142</v>
      </c>
      <c r="I970" t="s">
        <v>4338</v>
      </c>
      <c r="J970" t="s">
        <v>4144</v>
      </c>
      <c r="K970" t="s">
        <v>4339</v>
      </c>
      <c r="L970" t="s">
        <v>21</v>
      </c>
    </row>
    <row r="971" spans="1:12">
      <c r="A971">
        <v>1025</v>
      </c>
      <c r="B971" t="s">
        <v>4122</v>
      </c>
      <c r="C971" t="s">
        <v>224</v>
      </c>
      <c r="D971" t="s">
        <v>57</v>
      </c>
      <c r="E971" t="s">
        <v>123</v>
      </c>
      <c r="F971" t="s">
        <v>4340</v>
      </c>
      <c r="G971" t="s">
        <v>2588</v>
      </c>
      <c r="H971" t="s">
        <v>4340</v>
      </c>
      <c r="I971" t="s">
        <v>4341</v>
      </c>
      <c r="J971" t="s">
        <v>4342</v>
      </c>
      <c r="K971" t="s">
        <v>4343</v>
      </c>
      <c r="L971" t="s">
        <v>21</v>
      </c>
    </row>
    <row r="972" spans="1:12">
      <c r="A972">
        <v>1026</v>
      </c>
      <c r="B972" t="s">
        <v>4122</v>
      </c>
      <c r="C972" t="s">
        <v>74</v>
      </c>
      <c r="D972" t="s">
        <v>57</v>
      </c>
      <c r="E972" t="s">
        <v>123</v>
      </c>
      <c r="F972" t="s">
        <v>4344</v>
      </c>
      <c r="G972" t="s">
        <v>2588</v>
      </c>
      <c r="H972" t="s">
        <v>4344</v>
      </c>
      <c r="I972" t="s">
        <v>4345</v>
      </c>
      <c r="J972" t="s">
        <v>4346</v>
      </c>
      <c r="K972" t="s">
        <v>4347</v>
      </c>
      <c r="L972" t="s">
        <v>21</v>
      </c>
    </row>
    <row r="973" spans="1:12">
      <c r="A973">
        <v>1027</v>
      </c>
      <c r="B973" t="s">
        <v>4167</v>
      </c>
      <c r="C973" t="s">
        <v>321</v>
      </c>
      <c r="D973" t="s">
        <v>211</v>
      </c>
      <c r="E973" t="s">
        <v>1387</v>
      </c>
      <c r="F973" t="s">
        <v>4348</v>
      </c>
      <c r="G973" t="s">
        <v>2588</v>
      </c>
      <c r="H973" t="s">
        <v>4348</v>
      </c>
      <c r="I973" t="s">
        <v>4349</v>
      </c>
      <c r="J973" t="s">
        <v>4350</v>
      </c>
      <c r="K973" t="s">
        <v>4351</v>
      </c>
      <c r="L973" t="s">
        <v>21</v>
      </c>
    </row>
    <row r="974" spans="1:12">
      <c r="A974">
        <v>1028</v>
      </c>
      <c r="B974" t="s">
        <v>4234</v>
      </c>
      <c r="C974" t="s">
        <v>46</v>
      </c>
      <c r="D974" t="s">
        <v>211</v>
      </c>
      <c r="E974" t="s">
        <v>189</v>
      </c>
      <c r="F974" t="s">
        <v>4352</v>
      </c>
      <c r="G974" t="s">
        <v>2588</v>
      </c>
      <c r="H974" t="s">
        <v>4352</v>
      </c>
      <c r="I974" t="s">
        <v>4353</v>
      </c>
      <c r="J974" t="s">
        <v>4354</v>
      </c>
      <c r="K974" t="s">
        <v>4355</v>
      </c>
      <c r="L974" t="s">
        <v>21</v>
      </c>
    </row>
    <row r="975" spans="1:12">
      <c r="A975">
        <v>1029</v>
      </c>
      <c r="B975" t="s">
        <v>4122</v>
      </c>
      <c r="C975" t="s">
        <v>56</v>
      </c>
      <c r="D975" t="s">
        <v>57</v>
      </c>
      <c r="E975" t="s">
        <v>123</v>
      </c>
      <c r="F975" t="s">
        <v>4356</v>
      </c>
      <c r="G975" t="s">
        <v>2588</v>
      </c>
      <c r="H975" t="s">
        <v>4356</v>
      </c>
      <c r="I975" t="s">
        <v>4357</v>
      </c>
      <c r="J975" t="s">
        <v>4358</v>
      </c>
      <c r="K975" t="s">
        <v>4359</v>
      </c>
      <c r="L975" t="s">
        <v>21</v>
      </c>
    </row>
    <row r="976" spans="1:12">
      <c r="A976">
        <v>1030</v>
      </c>
      <c r="B976" t="s">
        <v>4122</v>
      </c>
      <c r="C976" t="s">
        <v>522</v>
      </c>
      <c r="D976" t="s">
        <v>39</v>
      </c>
      <c r="E976" t="s">
        <v>123</v>
      </c>
      <c r="F976" t="s">
        <v>4360</v>
      </c>
      <c r="G976" t="s">
        <v>2588</v>
      </c>
      <c r="H976" t="s">
        <v>4360</v>
      </c>
      <c r="I976" t="s">
        <v>4361</v>
      </c>
      <c r="J976" t="s">
        <v>4362</v>
      </c>
      <c r="K976" t="s">
        <v>4363</v>
      </c>
      <c r="L976" t="s">
        <v>21</v>
      </c>
    </row>
    <row r="977" spans="1:12">
      <c r="A977">
        <v>1031</v>
      </c>
      <c r="B977" t="s">
        <v>4122</v>
      </c>
      <c r="C977" t="s">
        <v>115</v>
      </c>
      <c r="D977" t="s">
        <v>57</v>
      </c>
      <c r="E977" t="s">
        <v>123</v>
      </c>
      <c r="F977" t="s">
        <v>4364</v>
      </c>
      <c r="G977" t="s">
        <v>2588</v>
      </c>
      <c r="H977" t="s">
        <v>4365</v>
      </c>
      <c r="I977" t="s">
        <v>4366</v>
      </c>
      <c r="J977" t="s">
        <v>4186</v>
      </c>
      <c r="K977" t="s">
        <v>4187</v>
      </c>
      <c r="L977" t="s">
        <v>21</v>
      </c>
    </row>
    <row r="978" spans="1:12">
      <c r="A978">
        <v>1032</v>
      </c>
      <c r="B978" t="s">
        <v>4122</v>
      </c>
      <c r="C978" t="s">
        <v>65</v>
      </c>
      <c r="D978" t="s">
        <v>57</v>
      </c>
      <c r="E978" t="s">
        <v>123</v>
      </c>
      <c r="F978" t="s">
        <v>4367</v>
      </c>
      <c r="G978" t="s">
        <v>2588</v>
      </c>
      <c r="H978" t="s">
        <v>4367</v>
      </c>
      <c r="I978" t="s">
        <v>4368</v>
      </c>
      <c r="J978" t="s">
        <v>4369</v>
      </c>
      <c r="K978" t="s">
        <v>4370</v>
      </c>
      <c r="L978" t="s">
        <v>21</v>
      </c>
    </row>
    <row r="979" spans="1:12">
      <c r="A979">
        <v>1033</v>
      </c>
      <c r="B979" t="s">
        <v>4167</v>
      </c>
      <c r="C979" t="s">
        <v>321</v>
      </c>
      <c r="D979" t="s">
        <v>286</v>
      </c>
      <c r="E979" t="s">
        <v>1164</v>
      </c>
      <c r="F979" t="s">
        <v>4371</v>
      </c>
      <c r="G979" t="s">
        <v>2588</v>
      </c>
      <c r="H979" t="s">
        <v>4372</v>
      </c>
      <c r="I979" t="s">
        <v>4373</v>
      </c>
      <c r="J979" t="s">
        <v>4374</v>
      </c>
      <c r="K979" t="s">
        <v>4375</v>
      </c>
      <c r="L979" t="s">
        <v>21</v>
      </c>
    </row>
    <row r="980" spans="1:12">
      <c r="A980">
        <v>1034</v>
      </c>
      <c r="B980" t="s">
        <v>4122</v>
      </c>
      <c r="C980" t="s">
        <v>331</v>
      </c>
      <c r="D980" t="s">
        <v>158</v>
      </c>
      <c r="E980" t="s">
        <v>954</v>
      </c>
      <c r="F980" t="s">
        <v>4376</v>
      </c>
      <c r="G980" t="s">
        <v>2588</v>
      </c>
      <c r="H980" t="s">
        <v>4376</v>
      </c>
      <c r="I980" t="s">
        <v>4377</v>
      </c>
      <c r="J980" t="s">
        <v>4378</v>
      </c>
      <c r="K980" t="s">
        <v>4379</v>
      </c>
      <c r="L980" t="s">
        <v>21</v>
      </c>
    </row>
    <row r="981" spans="1:12">
      <c r="A981">
        <v>1035</v>
      </c>
      <c r="B981" t="s">
        <v>4380</v>
      </c>
      <c r="C981" t="s">
        <v>13</v>
      </c>
      <c r="D981" t="s">
        <v>13</v>
      </c>
      <c r="E981" t="s">
        <v>212</v>
      </c>
      <c r="F981" t="s">
        <v>4226</v>
      </c>
      <c r="G981" t="s">
        <v>31</v>
      </c>
      <c r="H981" t="s">
        <v>4226</v>
      </c>
      <c r="I981" t="s">
        <v>4381</v>
      </c>
      <c r="J981" t="s">
        <v>4228</v>
      </c>
      <c r="K981" t="s">
        <v>4382</v>
      </c>
      <c r="L981" t="s">
        <v>21</v>
      </c>
    </row>
    <row r="982" spans="1:12">
      <c r="A982">
        <v>1036</v>
      </c>
      <c r="B982" t="s">
        <v>4383</v>
      </c>
      <c r="C982" t="s">
        <v>230</v>
      </c>
      <c r="D982" t="s">
        <v>158</v>
      </c>
      <c r="E982" t="s">
        <v>893</v>
      </c>
      <c r="F982" t="s">
        <v>4222</v>
      </c>
      <c r="G982" t="s">
        <v>4272</v>
      </c>
      <c r="H982" t="s">
        <v>4384</v>
      </c>
      <c r="I982" t="s">
        <v>4385</v>
      </c>
      <c r="J982" t="s">
        <v>4224</v>
      </c>
      <c r="K982" t="s">
        <v>4386</v>
      </c>
      <c r="L982" t="s">
        <v>21</v>
      </c>
    </row>
    <row r="983" spans="1:12">
      <c r="A983">
        <v>1037</v>
      </c>
      <c r="B983" t="s">
        <v>4387</v>
      </c>
      <c r="C983" t="s">
        <v>522</v>
      </c>
      <c r="D983" t="s">
        <v>39</v>
      </c>
      <c r="E983" t="s">
        <v>1917</v>
      </c>
      <c r="F983" t="s">
        <v>295</v>
      </c>
      <c r="G983" t="s">
        <v>4388</v>
      </c>
      <c r="H983" t="s">
        <v>295</v>
      </c>
      <c r="I983" t="s">
        <v>4389</v>
      </c>
      <c r="J983" t="s">
        <v>4099</v>
      </c>
      <c r="K983" t="s">
        <v>4390</v>
      </c>
      <c r="L983" t="s">
        <v>21</v>
      </c>
    </row>
    <row r="984" spans="1:12">
      <c r="A984">
        <v>1038</v>
      </c>
      <c r="B984" t="s">
        <v>4391</v>
      </c>
      <c r="C984" t="s">
        <v>4392</v>
      </c>
      <c r="D984" t="s">
        <v>39</v>
      </c>
      <c r="E984" t="s">
        <v>1195</v>
      </c>
      <c r="F984" t="s">
        <v>4206</v>
      </c>
      <c r="G984" t="s">
        <v>3750</v>
      </c>
      <c r="H984" t="s">
        <v>4264</v>
      </c>
      <c r="I984" t="s">
        <v>4393</v>
      </c>
      <c r="J984" t="s">
        <v>4266</v>
      </c>
      <c r="K984" t="s">
        <v>4267</v>
      </c>
      <c r="L984" t="s">
        <v>21</v>
      </c>
    </row>
    <row r="985" spans="1:12">
      <c r="A985">
        <v>1039</v>
      </c>
      <c r="B985" t="s">
        <v>4394</v>
      </c>
      <c r="C985" t="s">
        <v>38</v>
      </c>
      <c r="D985" t="s">
        <v>267</v>
      </c>
      <c r="E985" t="s">
        <v>627</v>
      </c>
      <c r="F985" t="s">
        <v>4173</v>
      </c>
      <c r="G985" t="s">
        <v>2588</v>
      </c>
      <c r="H985" t="s">
        <v>4173</v>
      </c>
      <c r="I985" t="s">
        <v>4395</v>
      </c>
      <c r="J985" t="s">
        <v>4175</v>
      </c>
      <c r="K985" t="s">
        <v>4396</v>
      </c>
      <c r="L985" t="s">
        <v>21</v>
      </c>
    </row>
    <row r="986" spans="1:12">
      <c r="A986">
        <v>1040</v>
      </c>
      <c r="B986" t="s">
        <v>4397</v>
      </c>
      <c r="C986" t="s">
        <v>13</v>
      </c>
      <c r="D986" t="s">
        <v>13</v>
      </c>
      <c r="E986" t="s">
        <v>1203</v>
      </c>
      <c r="F986" t="s">
        <v>4129</v>
      </c>
      <c r="G986" t="s">
        <v>4398</v>
      </c>
      <c r="H986" t="s">
        <v>4129</v>
      </c>
      <c r="I986" t="s">
        <v>4399</v>
      </c>
      <c r="J986" t="s">
        <v>4132</v>
      </c>
      <c r="K986" t="s">
        <v>4252</v>
      </c>
      <c r="L986" t="s">
        <v>36</v>
      </c>
    </row>
    <row r="987" spans="1:12">
      <c r="A987">
        <v>1041</v>
      </c>
      <c r="B987" t="s">
        <v>4400</v>
      </c>
      <c r="C987" t="s">
        <v>13</v>
      </c>
      <c r="D987" t="s">
        <v>13</v>
      </c>
      <c r="E987" t="s">
        <v>648</v>
      </c>
      <c r="F987" t="s">
        <v>4113</v>
      </c>
      <c r="G987" t="s">
        <v>4272</v>
      </c>
      <c r="H987" t="s">
        <v>4113</v>
      </c>
      <c r="I987" t="s">
        <v>4401</v>
      </c>
      <c r="J987" t="s">
        <v>4115</v>
      </c>
      <c r="K987" t="s">
        <v>4402</v>
      </c>
      <c r="L987" t="s">
        <v>21</v>
      </c>
    </row>
    <row r="988" spans="1:12">
      <c r="A988">
        <v>1042</v>
      </c>
      <c r="B988" t="s">
        <v>4403</v>
      </c>
      <c r="C988" t="s">
        <v>195</v>
      </c>
      <c r="D988" t="s">
        <v>260</v>
      </c>
      <c r="E988" t="s">
        <v>648</v>
      </c>
      <c r="F988" t="s">
        <v>4239</v>
      </c>
      <c r="G988" t="s">
        <v>4272</v>
      </c>
      <c r="H988" t="s">
        <v>4239</v>
      </c>
      <c r="I988" t="s">
        <v>4404</v>
      </c>
      <c r="J988" t="s">
        <v>4241</v>
      </c>
      <c r="K988" t="s">
        <v>4405</v>
      </c>
      <c r="L988" t="s">
        <v>21</v>
      </c>
    </row>
    <row r="989" spans="1:12">
      <c r="A989">
        <v>1043</v>
      </c>
      <c r="B989" t="s">
        <v>4406</v>
      </c>
      <c r="C989" t="s">
        <v>13</v>
      </c>
      <c r="D989" t="s">
        <v>13</v>
      </c>
      <c r="E989" t="s">
        <v>225</v>
      </c>
      <c r="F989" t="s">
        <v>4152</v>
      </c>
      <c r="G989" t="s">
        <v>4407</v>
      </c>
      <c r="H989" t="s">
        <v>4152</v>
      </c>
      <c r="I989" t="s">
        <v>4408</v>
      </c>
      <c r="J989" t="s">
        <v>4155</v>
      </c>
      <c r="K989" t="s">
        <v>4409</v>
      </c>
      <c r="L989" t="s">
        <v>36</v>
      </c>
    </row>
    <row r="990" spans="1:12">
      <c r="A990">
        <v>1044</v>
      </c>
      <c r="B990" t="s">
        <v>4410</v>
      </c>
      <c r="C990" t="s">
        <v>13</v>
      </c>
      <c r="D990" t="s">
        <v>13</v>
      </c>
      <c r="E990" t="s">
        <v>1426</v>
      </c>
      <c r="F990" t="s">
        <v>4158</v>
      </c>
      <c r="G990" t="s">
        <v>356</v>
      </c>
      <c r="H990" t="s">
        <v>4411</v>
      </c>
      <c r="I990" t="s">
        <v>4412</v>
      </c>
      <c r="J990" t="s">
        <v>4160</v>
      </c>
      <c r="K990" t="s">
        <v>4413</v>
      </c>
      <c r="L990" t="s">
        <v>21</v>
      </c>
    </row>
    <row r="991" spans="1:12">
      <c r="A991">
        <v>1045</v>
      </c>
      <c r="B991" t="s">
        <v>4414</v>
      </c>
      <c r="C991" t="s">
        <v>91</v>
      </c>
      <c r="D991" t="s">
        <v>158</v>
      </c>
      <c r="E991" t="s">
        <v>1426</v>
      </c>
      <c r="F991" t="s">
        <v>4118</v>
      </c>
      <c r="G991" t="s">
        <v>2646</v>
      </c>
      <c r="H991" t="s">
        <v>4415</v>
      </c>
      <c r="I991" t="s">
        <v>4416</v>
      </c>
      <c r="J991" t="s">
        <v>4120</v>
      </c>
      <c r="K991" t="s">
        <v>4417</v>
      </c>
      <c r="L991" t="s">
        <v>36</v>
      </c>
    </row>
    <row r="992" spans="1:12">
      <c r="A992">
        <v>1046</v>
      </c>
      <c r="B992" t="s">
        <v>4418</v>
      </c>
      <c r="C992" t="s">
        <v>200</v>
      </c>
      <c r="D992" t="s">
        <v>260</v>
      </c>
      <c r="E992" t="s">
        <v>1426</v>
      </c>
      <c r="F992" t="s">
        <v>4147</v>
      </c>
      <c r="G992" t="s">
        <v>2646</v>
      </c>
      <c r="H992" t="s">
        <v>4419</v>
      </c>
      <c r="I992" t="s">
        <v>4420</v>
      </c>
      <c r="J992" t="s">
        <v>4255</v>
      </c>
      <c r="K992" t="s">
        <v>4421</v>
      </c>
      <c r="L992" t="s">
        <v>36</v>
      </c>
    </row>
    <row r="993" spans="1:12">
      <c r="A993">
        <v>1047</v>
      </c>
      <c r="B993" t="s">
        <v>4199</v>
      </c>
      <c r="C993" t="s">
        <v>325</v>
      </c>
      <c r="D993" t="s">
        <v>267</v>
      </c>
      <c r="E993" t="s">
        <v>151</v>
      </c>
      <c r="F993" t="s">
        <v>4243</v>
      </c>
      <c r="G993" t="s">
        <v>3736</v>
      </c>
      <c r="H993" t="s">
        <v>4422</v>
      </c>
      <c r="I993" t="s">
        <v>4423</v>
      </c>
      <c r="J993" t="s">
        <v>4245</v>
      </c>
      <c r="K993" t="s">
        <v>4424</v>
      </c>
      <c r="L993" t="s">
        <v>54</v>
      </c>
    </row>
    <row r="994" spans="1:12">
      <c r="A994">
        <v>1048</v>
      </c>
      <c r="B994" t="s">
        <v>4425</v>
      </c>
      <c r="C994" t="s">
        <v>13</v>
      </c>
      <c r="D994" t="s">
        <v>66</v>
      </c>
      <c r="E994" t="s">
        <v>151</v>
      </c>
      <c r="F994" t="s">
        <v>4340</v>
      </c>
      <c r="G994" t="s">
        <v>1470</v>
      </c>
      <c r="H994" t="s">
        <v>4340</v>
      </c>
      <c r="I994" t="s">
        <v>4426</v>
      </c>
      <c r="J994" t="s">
        <v>4342</v>
      </c>
      <c r="K994" t="s">
        <v>4427</v>
      </c>
      <c r="L994" t="s">
        <v>54</v>
      </c>
    </row>
    <row r="995" spans="1:12">
      <c r="A995">
        <v>1049</v>
      </c>
      <c r="B995" t="s">
        <v>4428</v>
      </c>
      <c r="C995" t="s">
        <v>13</v>
      </c>
      <c r="D995" t="s">
        <v>13</v>
      </c>
      <c r="E995" t="s">
        <v>231</v>
      </c>
      <c r="F995" t="s">
        <v>4102</v>
      </c>
      <c r="G995" t="s">
        <v>4429</v>
      </c>
      <c r="H995" t="s">
        <v>4430</v>
      </c>
      <c r="I995" t="s">
        <v>4431</v>
      </c>
      <c r="J995" t="s">
        <v>4104</v>
      </c>
      <c r="K995" t="s">
        <v>4432</v>
      </c>
      <c r="L995" t="s">
        <v>54</v>
      </c>
    </row>
    <row r="996" spans="1:12">
      <c r="A996">
        <v>1050</v>
      </c>
      <c r="B996" t="s">
        <v>4433</v>
      </c>
      <c r="C996" t="s">
        <v>240</v>
      </c>
      <c r="D996" t="s">
        <v>211</v>
      </c>
      <c r="E996" t="s">
        <v>1426</v>
      </c>
      <c r="F996" t="s">
        <v>4434</v>
      </c>
      <c r="G996" t="s">
        <v>2588</v>
      </c>
      <c r="H996" t="s">
        <v>4434</v>
      </c>
      <c r="I996" t="s">
        <v>4435</v>
      </c>
      <c r="J996" t="s">
        <v>4436</v>
      </c>
      <c r="K996" t="s">
        <v>4437</v>
      </c>
      <c r="L996" t="s">
        <v>21</v>
      </c>
    </row>
    <row r="997" spans="1:12">
      <c r="A997">
        <v>1051</v>
      </c>
      <c r="B997" t="s">
        <v>4438</v>
      </c>
      <c r="C997" t="s">
        <v>251</v>
      </c>
      <c r="D997" t="s">
        <v>158</v>
      </c>
      <c r="E997" t="s">
        <v>287</v>
      </c>
      <c r="F997" t="s">
        <v>4247</v>
      </c>
      <c r="G997" t="s">
        <v>2646</v>
      </c>
      <c r="H997" t="s">
        <v>4439</v>
      </c>
      <c r="I997" t="s">
        <v>4440</v>
      </c>
      <c r="J997" t="s">
        <v>4249</v>
      </c>
      <c r="K997" t="s">
        <v>4441</v>
      </c>
      <c r="L997" t="s">
        <v>21</v>
      </c>
    </row>
    <row r="998" spans="1:12">
      <c r="A998">
        <v>1052</v>
      </c>
      <c r="B998" t="s">
        <v>4442</v>
      </c>
      <c r="C998" t="s">
        <v>38</v>
      </c>
      <c r="D998" t="s">
        <v>83</v>
      </c>
      <c r="E998" t="s">
        <v>348</v>
      </c>
      <c r="F998" t="s">
        <v>4129</v>
      </c>
      <c r="G998" t="s">
        <v>3736</v>
      </c>
      <c r="H998" t="s">
        <v>4443</v>
      </c>
      <c r="I998" t="s">
        <v>4444</v>
      </c>
      <c r="J998" t="s">
        <v>4132</v>
      </c>
      <c r="K998" t="s">
        <v>4445</v>
      </c>
      <c r="L998" t="s">
        <v>36</v>
      </c>
    </row>
    <row r="999" spans="1:12">
      <c r="A999">
        <v>1053</v>
      </c>
      <c r="B999" t="s">
        <v>4446</v>
      </c>
      <c r="C999" t="s">
        <v>331</v>
      </c>
      <c r="D999" t="s">
        <v>39</v>
      </c>
      <c r="E999" t="s">
        <v>174</v>
      </c>
      <c r="F999" t="s">
        <v>4206</v>
      </c>
      <c r="G999" t="s">
        <v>31</v>
      </c>
      <c r="H999" t="s">
        <v>4206</v>
      </c>
      <c r="I999" t="s">
        <v>4447</v>
      </c>
      <c r="J999" t="s">
        <v>4208</v>
      </c>
      <c r="K999" t="s">
        <v>4448</v>
      </c>
      <c r="L999" t="s">
        <v>21</v>
      </c>
    </row>
    <row r="1000" spans="1:12">
      <c r="A1000">
        <v>1054</v>
      </c>
      <c r="B1000" t="s">
        <v>4449</v>
      </c>
      <c r="C1000" t="s">
        <v>580</v>
      </c>
      <c r="D1000" t="s">
        <v>66</v>
      </c>
      <c r="E1000" t="s">
        <v>174</v>
      </c>
      <c r="F1000" t="s">
        <v>4179</v>
      </c>
      <c r="G1000" t="s">
        <v>2646</v>
      </c>
      <c r="H1000" t="s">
        <v>4179</v>
      </c>
      <c r="I1000" t="s">
        <v>4450</v>
      </c>
      <c r="J1000" t="s">
        <v>4182</v>
      </c>
      <c r="K1000" t="s">
        <v>4451</v>
      </c>
      <c r="L1000" t="s">
        <v>21</v>
      </c>
    </row>
    <row r="1001" spans="1:12">
      <c r="A1001">
        <v>1055</v>
      </c>
      <c r="B1001" t="s">
        <v>4452</v>
      </c>
      <c r="C1001" t="s">
        <v>325</v>
      </c>
      <c r="D1001" t="s">
        <v>173</v>
      </c>
      <c r="E1001" t="s">
        <v>235</v>
      </c>
      <c r="F1001" t="s">
        <v>4113</v>
      </c>
      <c r="G1001" t="s">
        <v>4453</v>
      </c>
      <c r="H1001" t="s">
        <v>4113</v>
      </c>
      <c r="I1001" t="s">
        <v>4454</v>
      </c>
      <c r="J1001" t="s">
        <v>4115</v>
      </c>
      <c r="K1001" t="s">
        <v>4455</v>
      </c>
      <c r="L1001" t="s">
        <v>21</v>
      </c>
    </row>
    <row r="1002" spans="1:12">
      <c r="A1002">
        <v>1056</v>
      </c>
      <c r="B1002" t="s">
        <v>4456</v>
      </c>
      <c r="C1002" t="s">
        <v>13</v>
      </c>
      <c r="D1002" t="s">
        <v>13</v>
      </c>
      <c r="E1002" t="s">
        <v>1767</v>
      </c>
      <c r="F1002" t="s">
        <v>4295</v>
      </c>
      <c r="G1002" t="s">
        <v>313</v>
      </c>
      <c r="H1002" t="s">
        <v>4295</v>
      </c>
      <c r="I1002" t="s">
        <v>4457</v>
      </c>
      <c r="J1002" t="s">
        <v>4297</v>
      </c>
      <c r="K1002" t="s">
        <v>4298</v>
      </c>
      <c r="L1002" t="s">
        <v>36</v>
      </c>
    </row>
    <row r="1003" spans="1:12">
      <c r="A1003">
        <v>1057</v>
      </c>
      <c r="B1003" t="s">
        <v>4458</v>
      </c>
      <c r="C1003" t="s">
        <v>13</v>
      </c>
      <c r="D1003" t="s">
        <v>13</v>
      </c>
      <c r="E1003" t="s">
        <v>966</v>
      </c>
      <c r="F1003" t="s">
        <v>4142</v>
      </c>
      <c r="G1003" t="s">
        <v>4459</v>
      </c>
      <c r="H1003" t="s">
        <v>4142</v>
      </c>
      <c r="I1003" t="s">
        <v>4460</v>
      </c>
      <c r="J1003" t="s">
        <v>4461</v>
      </c>
      <c r="K1003" t="s">
        <v>4462</v>
      </c>
      <c r="L1003" t="s">
        <v>21</v>
      </c>
    </row>
    <row r="1004" spans="1:12">
      <c r="A1004">
        <v>1058</v>
      </c>
      <c r="B1004" t="s">
        <v>4463</v>
      </c>
      <c r="C1004" t="s">
        <v>56</v>
      </c>
      <c r="D1004" t="s">
        <v>260</v>
      </c>
      <c r="E1004" t="s">
        <v>235</v>
      </c>
      <c r="F1004" t="s">
        <v>4108</v>
      </c>
      <c r="G1004" t="s">
        <v>85</v>
      </c>
      <c r="H1004" t="s">
        <v>4464</v>
      </c>
      <c r="I1004" t="s">
        <v>4465</v>
      </c>
      <c r="J1004" t="s">
        <v>4110</v>
      </c>
      <c r="K1004" t="s">
        <v>4466</v>
      </c>
      <c r="L1004" t="s">
        <v>54</v>
      </c>
    </row>
    <row r="1005" spans="1:12">
      <c r="A1005">
        <v>1059</v>
      </c>
      <c r="B1005" t="s">
        <v>4467</v>
      </c>
      <c r="C1005" t="s">
        <v>335</v>
      </c>
      <c r="D1005" t="s">
        <v>267</v>
      </c>
      <c r="E1005" t="s">
        <v>235</v>
      </c>
      <c r="F1005" t="s">
        <v>4222</v>
      </c>
      <c r="G1005" t="s">
        <v>280</v>
      </c>
      <c r="H1005" t="s">
        <v>4468</v>
      </c>
      <c r="I1005" t="s">
        <v>4469</v>
      </c>
      <c r="J1005" t="s">
        <v>4470</v>
      </c>
      <c r="K1005" t="s">
        <v>4471</v>
      </c>
      <c r="L1005" t="s">
        <v>54</v>
      </c>
    </row>
    <row r="1006" spans="1:12">
      <c r="A1006">
        <v>1060</v>
      </c>
      <c r="B1006" t="s">
        <v>4472</v>
      </c>
      <c r="C1006" t="s">
        <v>230</v>
      </c>
      <c r="D1006" t="s">
        <v>83</v>
      </c>
      <c r="E1006" t="s">
        <v>166</v>
      </c>
      <c r="F1006" t="s">
        <v>4206</v>
      </c>
      <c r="G1006" t="s">
        <v>4473</v>
      </c>
      <c r="H1006" t="s">
        <v>4474</v>
      </c>
      <c r="I1006" t="s">
        <v>4475</v>
      </c>
      <c r="J1006" t="s">
        <v>4208</v>
      </c>
      <c r="K1006" t="s">
        <v>4476</v>
      </c>
      <c r="L1006" t="s">
        <v>54</v>
      </c>
    </row>
    <row r="1007" spans="1:12">
      <c r="A1007">
        <v>1061</v>
      </c>
      <c r="B1007" t="s">
        <v>4477</v>
      </c>
      <c r="C1007" t="s">
        <v>298</v>
      </c>
      <c r="D1007" t="s">
        <v>158</v>
      </c>
      <c r="E1007" t="s">
        <v>166</v>
      </c>
      <c r="F1007" t="s">
        <v>4102</v>
      </c>
      <c r="G1007" t="s">
        <v>4453</v>
      </c>
      <c r="H1007" t="s">
        <v>4102</v>
      </c>
      <c r="I1007" t="s">
        <v>4478</v>
      </c>
      <c r="J1007" t="s">
        <v>4104</v>
      </c>
      <c r="K1007" t="s">
        <v>4479</v>
      </c>
      <c r="L1007" t="s">
        <v>36</v>
      </c>
    </row>
    <row r="1008" spans="1:12">
      <c r="A1008">
        <v>1062</v>
      </c>
      <c r="B1008" t="s">
        <v>4480</v>
      </c>
      <c r="C1008" t="s">
        <v>65</v>
      </c>
      <c r="D1008" t="s">
        <v>158</v>
      </c>
      <c r="E1008" t="s">
        <v>166</v>
      </c>
      <c r="F1008" t="s">
        <v>4179</v>
      </c>
      <c r="G1008" t="s">
        <v>4272</v>
      </c>
      <c r="H1008" t="s">
        <v>4481</v>
      </c>
      <c r="I1008" t="s">
        <v>4482</v>
      </c>
      <c r="J1008" t="s">
        <v>4182</v>
      </c>
      <c r="K1008" t="s">
        <v>4483</v>
      </c>
      <c r="L1008" t="s">
        <v>21</v>
      </c>
    </row>
    <row r="1009" spans="1:12">
      <c r="A1009">
        <v>1063</v>
      </c>
      <c r="B1009" t="s">
        <v>4484</v>
      </c>
      <c r="C1009" t="s">
        <v>335</v>
      </c>
      <c r="D1009" t="s">
        <v>260</v>
      </c>
      <c r="E1009" t="s">
        <v>2877</v>
      </c>
      <c r="F1009" t="s">
        <v>4158</v>
      </c>
      <c r="G1009" t="s">
        <v>1738</v>
      </c>
      <c r="H1009" t="s">
        <v>4158</v>
      </c>
      <c r="I1009" t="s">
        <v>4485</v>
      </c>
      <c r="J1009" t="s">
        <v>4160</v>
      </c>
      <c r="K1009" t="s">
        <v>4486</v>
      </c>
      <c r="L1009" t="s">
        <v>36</v>
      </c>
    </row>
    <row r="1010" spans="1:12">
      <c r="A1010">
        <v>1064</v>
      </c>
      <c r="B1010" t="s">
        <v>4487</v>
      </c>
      <c r="C1010" t="s">
        <v>91</v>
      </c>
      <c r="D1010" t="s">
        <v>39</v>
      </c>
      <c r="E1010" t="s">
        <v>2877</v>
      </c>
      <c r="F1010" t="s">
        <v>4344</v>
      </c>
      <c r="G1010" t="s">
        <v>356</v>
      </c>
      <c r="H1010" t="s">
        <v>4344</v>
      </c>
      <c r="I1010" t="s">
        <v>4488</v>
      </c>
      <c r="J1010" t="s">
        <v>4346</v>
      </c>
      <c r="K1010" t="s">
        <v>4489</v>
      </c>
      <c r="L1010" t="s">
        <v>54</v>
      </c>
    </row>
    <row r="1011" spans="1:12">
      <c r="A1011">
        <v>1065</v>
      </c>
      <c r="B1011" t="s">
        <v>4490</v>
      </c>
      <c r="C1011" t="s">
        <v>325</v>
      </c>
      <c r="D1011" t="s">
        <v>39</v>
      </c>
      <c r="E1011" t="s">
        <v>2567</v>
      </c>
      <c r="F1011" t="s">
        <v>4491</v>
      </c>
      <c r="G1011" t="s">
        <v>3791</v>
      </c>
      <c r="H1011" t="s">
        <v>4492</v>
      </c>
      <c r="I1011" t="s">
        <v>4493</v>
      </c>
      <c r="J1011" t="s">
        <v>4494</v>
      </c>
      <c r="K1011" t="s">
        <v>4495</v>
      </c>
      <c r="L1011" t="s">
        <v>36</v>
      </c>
    </row>
    <row r="1012" spans="1:12">
      <c r="A1012">
        <v>1066</v>
      </c>
      <c r="B1012" t="s">
        <v>4221</v>
      </c>
      <c r="C1012" t="s">
        <v>115</v>
      </c>
      <c r="D1012" t="s">
        <v>286</v>
      </c>
      <c r="E1012" t="s">
        <v>4496</v>
      </c>
      <c r="F1012" t="s">
        <v>4491</v>
      </c>
      <c r="G1012" t="s">
        <v>2588</v>
      </c>
      <c r="H1012" t="s">
        <v>4497</v>
      </c>
      <c r="I1012" t="s">
        <v>4498</v>
      </c>
      <c r="J1012" t="s">
        <v>4499</v>
      </c>
      <c r="K1012" t="s">
        <v>4500</v>
      </c>
      <c r="L1012" t="s">
        <v>21</v>
      </c>
    </row>
    <row r="1013" spans="1:12">
      <c r="A1013">
        <v>1067</v>
      </c>
      <c r="B1013" t="s">
        <v>4294</v>
      </c>
      <c r="C1013" t="s">
        <v>224</v>
      </c>
      <c r="D1013" t="s">
        <v>47</v>
      </c>
      <c r="E1013" t="s">
        <v>4501</v>
      </c>
      <c r="F1013" t="s">
        <v>4491</v>
      </c>
      <c r="G1013" t="s">
        <v>313</v>
      </c>
      <c r="H1013" t="s">
        <v>4491</v>
      </c>
      <c r="I1013" t="s">
        <v>4502</v>
      </c>
      <c r="J1013" t="s">
        <v>4503</v>
      </c>
      <c r="K1013" t="s">
        <v>4504</v>
      </c>
      <c r="L1013" t="s">
        <v>21</v>
      </c>
    </row>
    <row r="1014" spans="1:12">
      <c r="A1014">
        <v>1068</v>
      </c>
      <c r="B1014" t="s">
        <v>4505</v>
      </c>
      <c r="C1014" t="s">
        <v>56</v>
      </c>
      <c r="D1014" t="s">
        <v>83</v>
      </c>
      <c r="E1014" t="s">
        <v>4506</v>
      </c>
      <c r="F1014" t="s">
        <v>4491</v>
      </c>
      <c r="G1014" t="s">
        <v>31</v>
      </c>
      <c r="H1014" t="s">
        <v>4507</v>
      </c>
      <c r="I1014" t="s">
        <v>4508</v>
      </c>
      <c r="J1014" t="s">
        <v>4499</v>
      </c>
      <c r="K1014" t="s">
        <v>4509</v>
      </c>
      <c r="L1014" t="s">
        <v>21</v>
      </c>
    </row>
    <row r="1015" spans="1:12">
      <c r="A1015">
        <v>1069</v>
      </c>
      <c r="B1015" t="s">
        <v>4510</v>
      </c>
      <c r="C1015" t="s">
        <v>65</v>
      </c>
      <c r="D1015" t="s">
        <v>83</v>
      </c>
      <c r="E1015" t="s">
        <v>394</v>
      </c>
      <c r="F1015" t="s">
        <v>4491</v>
      </c>
      <c r="G1015" t="s">
        <v>31</v>
      </c>
      <c r="H1015" t="s">
        <v>4491</v>
      </c>
      <c r="I1015" t="s">
        <v>4511</v>
      </c>
      <c r="J1015" t="s">
        <v>4499</v>
      </c>
      <c r="K1015" t="s">
        <v>4512</v>
      </c>
      <c r="L1015" t="s">
        <v>36</v>
      </c>
    </row>
    <row r="1016" spans="1:12">
      <c r="A1016">
        <v>1070</v>
      </c>
      <c r="B1016" t="s">
        <v>1930</v>
      </c>
      <c r="C1016" t="s">
        <v>251</v>
      </c>
      <c r="D1016" t="s">
        <v>267</v>
      </c>
      <c r="E1016" t="s">
        <v>1387</v>
      </c>
      <c r="F1016" t="s">
        <v>4491</v>
      </c>
      <c r="G1016" t="s">
        <v>1930</v>
      </c>
      <c r="H1016" t="s">
        <v>4491</v>
      </c>
      <c r="I1016" t="s">
        <v>4513</v>
      </c>
      <c r="J1016" t="s">
        <v>4499</v>
      </c>
      <c r="K1016" t="s">
        <v>4514</v>
      </c>
      <c r="L1016" t="s">
        <v>54</v>
      </c>
    </row>
    <row r="1017" spans="1:12">
      <c r="A1017">
        <v>1071</v>
      </c>
      <c r="B1017" t="s">
        <v>4515</v>
      </c>
      <c r="C1017" t="s">
        <v>13</v>
      </c>
      <c r="D1017" t="s">
        <v>13</v>
      </c>
      <c r="E1017" t="s">
        <v>130</v>
      </c>
      <c r="F1017" t="s">
        <v>4491</v>
      </c>
      <c r="G1017" t="s">
        <v>500</v>
      </c>
      <c r="H1017" t="s">
        <v>4491</v>
      </c>
      <c r="I1017" t="s">
        <v>4516</v>
      </c>
      <c r="J1017" t="s">
        <v>4499</v>
      </c>
      <c r="K1017" t="s">
        <v>4517</v>
      </c>
      <c r="L1017" t="s">
        <v>21</v>
      </c>
    </row>
    <row r="1018" spans="1:12">
      <c r="A1018">
        <v>1072</v>
      </c>
      <c r="B1018" t="s">
        <v>4518</v>
      </c>
      <c r="C1018" t="s">
        <v>46</v>
      </c>
      <c r="D1018" t="s">
        <v>211</v>
      </c>
      <c r="E1018" t="s">
        <v>1917</v>
      </c>
      <c r="F1018" t="s">
        <v>4491</v>
      </c>
      <c r="G1018" t="s">
        <v>1463</v>
      </c>
      <c r="H1018" t="s">
        <v>4491</v>
      </c>
      <c r="I1018" t="s">
        <v>4519</v>
      </c>
      <c r="J1018" t="s">
        <v>4520</v>
      </c>
      <c r="K1018" t="s">
        <v>4521</v>
      </c>
      <c r="L1018" t="s">
        <v>21</v>
      </c>
    </row>
    <row r="1019" spans="1:12">
      <c r="A1019">
        <v>1073</v>
      </c>
      <c r="B1019" t="s">
        <v>4522</v>
      </c>
      <c r="C1019" t="s">
        <v>46</v>
      </c>
      <c r="D1019" t="s">
        <v>260</v>
      </c>
      <c r="E1019" t="s">
        <v>2244</v>
      </c>
      <c r="F1019" t="s">
        <v>4491</v>
      </c>
      <c r="G1019" t="s">
        <v>31</v>
      </c>
      <c r="H1019" t="s">
        <v>4491</v>
      </c>
      <c r="I1019" t="s">
        <v>4523</v>
      </c>
      <c r="J1019" t="s">
        <v>4499</v>
      </c>
      <c r="K1019" t="s">
        <v>4524</v>
      </c>
      <c r="L1019" t="s">
        <v>21</v>
      </c>
    </row>
    <row r="1020" spans="1:12">
      <c r="A1020">
        <v>1074</v>
      </c>
      <c r="B1020" t="s">
        <v>4525</v>
      </c>
      <c r="C1020" t="s">
        <v>246</v>
      </c>
      <c r="D1020" t="s">
        <v>100</v>
      </c>
      <c r="E1020" t="s">
        <v>648</v>
      </c>
      <c r="F1020" t="s">
        <v>4491</v>
      </c>
      <c r="G1020" t="s">
        <v>273</v>
      </c>
      <c r="H1020" t="s">
        <v>4526</v>
      </c>
      <c r="I1020" t="s">
        <v>4527</v>
      </c>
      <c r="J1020" t="s">
        <v>4499</v>
      </c>
      <c r="K1020" t="s">
        <v>4528</v>
      </c>
      <c r="L1020" t="s">
        <v>21</v>
      </c>
    </row>
    <row r="1021" spans="1:12">
      <c r="A1021">
        <v>1075</v>
      </c>
      <c r="B1021" t="s">
        <v>4529</v>
      </c>
      <c r="C1021" t="s">
        <v>38</v>
      </c>
      <c r="D1021" t="s">
        <v>39</v>
      </c>
      <c r="E1021" t="s">
        <v>123</v>
      </c>
      <c r="F1021" t="s">
        <v>4491</v>
      </c>
      <c r="G1021" t="s">
        <v>4530</v>
      </c>
      <c r="H1021" t="s">
        <v>4531</v>
      </c>
      <c r="I1021" t="s">
        <v>4532</v>
      </c>
      <c r="J1021" t="s">
        <v>4499</v>
      </c>
      <c r="K1021" t="s">
        <v>4533</v>
      </c>
      <c r="L1021" t="s">
        <v>36</v>
      </c>
    </row>
    <row r="1022" spans="1:12">
      <c r="A1022">
        <v>1076</v>
      </c>
      <c r="B1022" t="s">
        <v>4534</v>
      </c>
      <c r="C1022" t="s">
        <v>13</v>
      </c>
      <c r="D1022" t="s">
        <v>13</v>
      </c>
      <c r="E1022" t="s">
        <v>737</v>
      </c>
      <c r="F1022" t="s">
        <v>4491</v>
      </c>
      <c r="G1022" t="s">
        <v>1244</v>
      </c>
      <c r="H1022" t="s">
        <v>4491</v>
      </c>
      <c r="I1022" t="s">
        <v>4535</v>
      </c>
      <c r="J1022" t="s">
        <v>4536</v>
      </c>
      <c r="K1022" t="s">
        <v>4537</v>
      </c>
      <c r="L1022" t="s">
        <v>21</v>
      </c>
    </row>
    <row r="1023" spans="1:12">
      <c r="A1023">
        <v>1077</v>
      </c>
      <c r="B1023" t="s">
        <v>4538</v>
      </c>
      <c r="C1023" t="s">
        <v>633</v>
      </c>
      <c r="D1023" t="s">
        <v>66</v>
      </c>
      <c r="E1023" t="s">
        <v>893</v>
      </c>
      <c r="F1023" t="s">
        <v>4491</v>
      </c>
      <c r="G1023" t="s">
        <v>31</v>
      </c>
      <c r="H1023" t="s">
        <v>4491</v>
      </c>
      <c r="I1023" t="s">
        <v>4539</v>
      </c>
      <c r="J1023" t="s">
        <v>4499</v>
      </c>
      <c r="K1023" t="s">
        <v>4540</v>
      </c>
      <c r="L1023" t="s">
        <v>36</v>
      </c>
    </row>
    <row r="1024" spans="1:12">
      <c r="A1024">
        <v>1078</v>
      </c>
      <c r="B1024" t="s">
        <v>4541</v>
      </c>
      <c r="C1024" t="s">
        <v>46</v>
      </c>
      <c r="D1024" t="s">
        <v>211</v>
      </c>
      <c r="E1024" t="s">
        <v>1917</v>
      </c>
      <c r="F1024" t="s">
        <v>4491</v>
      </c>
      <c r="G1024" t="s">
        <v>1463</v>
      </c>
      <c r="H1024" t="s">
        <v>4491</v>
      </c>
      <c r="I1024" t="s">
        <v>4542</v>
      </c>
      <c r="J1024" t="s">
        <v>4520</v>
      </c>
      <c r="K1024" t="s">
        <v>4521</v>
      </c>
      <c r="L1024" t="s">
        <v>21</v>
      </c>
    </row>
    <row r="1025" spans="1:12">
      <c r="A1025">
        <v>1079</v>
      </c>
      <c r="B1025" t="s">
        <v>4543</v>
      </c>
      <c r="C1025" t="s">
        <v>13</v>
      </c>
      <c r="D1025" t="s">
        <v>100</v>
      </c>
      <c r="E1025" t="s">
        <v>893</v>
      </c>
      <c r="F1025" t="s">
        <v>4491</v>
      </c>
      <c r="G1025" t="s">
        <v>2942</v>
      </c>
      <c r="H1025" t="s">
        <v>4507</v>
      </c>
      <c r="I1025" t="s">
        <v>4544</v>
      </c>
      <c r="J1025" t="s">
        <v>753</v>
      </c>
      <c r="K1025" t="s">
        <v>4545</v>
      </c>
      <c r="L1025" t="s">
        <v>21</v>
      </c>
    </row>
    <row r="1026" spans="1:12">
      <c r="A1026">
        <v>1080</v>
      </c>
      <c r="B1026" t="s">
        <v>4546</v>
      </c>
      <c r="C1026" t="s">
        <v>46</v>
      </c>
      <c r="D1026" t="s">
        <v>260</v>
      </c>
      <c r="E1026" t="s">
        <v>1409</v>
      </c>
      <c r="F1026" t="s">
        <v>4491</v>
      </c>
      <c r="G1026" t="s">
        <v>31</v>
      </c>
      <c r="H1026" t="s">
        <v>4491</v>
      </c>
      <c r="I1026" t="s">
        <v>4547</v>
      </c>
      <c r="J1026" t="s">
        <v>4499</v>
      </c>
      <c r="K1026" t="s">
        <v>4548</v>
      </c>
      <c r="L1026" t="s">
        <v>21</v>
      </c>
    </row>
    <row r="1027" spans="1:12">
      <c r="A1027">
        <v>1081</v>
      </c>
      <c r="B1027" t="s">
        <v>4549</v>
      </c>
      <c r="C1027" t="s">
        <v>13</v>
      </c>
      <c r="D1027" t="s">
        <v>13</v>
      </c>
      <c r="E1027" t="s">
        <v>144</v>
      </c>
      <c r="F1027" t="s">
        <v>4491</v>
      </c>
      <c r="G1027" t="s">
        <v>2892</v>
      </c>
      <c r="H1027" t="s">
        <v>4491</v>
      </c>
      <c r="I1027" t="s">
        <v>4550</v>
      </c>
      <c r="J1027" t="s">
        <v>4499</v>
      </c>
      <c r="K1027" t="s">
        <v>4551</v>
      </c>
      <c r="L1027" t="s">
        <v>54</v>
      </c>
    </row>
    <row r="1028" spans="1:12">
      <c r="A1028">
        <v>1082</v>
      </c>
      <c r="B1028" t="s">
        <v>4552</v>
      </c>
      <c r="C1028" t="s">
        <v>251</v>
      </c>
      <c r="D1028" t="s">
        <v>57</v>
      </c>
      <c r="E1028" t="s">
        <v>299</v>
      </c>
      <c r="F1028" t="s">
        <v>4491</v>
      </c>
      <c r="G1028" t="s">
        <v>31</v>
      </c>
      <c r="H1028" t="s">
        <v>4491</v>
      </c>
      <c r="I1028" t="s">
        <v>4553</v>
      </c>
      <c r="J1028" t="s">
        <v>4499</v>
      </c>
      <c r="K1028" t="s">
        <v>13</v>
      </c>
      <c r="L1028" t="s">
        <v>36</v>
      </c>
    </row>
    <row r="1029" spans="1:12">
      <c r="A1029">
        <v>1083</v>
      </c>
      <c r="B1029" t="s">
        <v>4554</v>
      </c>
      <c r="C1029" t="s">
        <v>13</v>
      </c>
      <c r="D1029" t="s">
        <v>13</v>
      </c>
      <c r="E1029" t="s">
        <v>341</v>
      </c>
      <c r="F1029" t="s">
        <v>4491</v>
      </c>
      <c r="G1029" t="s">
        <v>3443</v>
      </c>
      <c r="H1029" t="s">
        <v>4491</v>
      </c>
      <c r="I1029" t="s">
        <v>4555</v>
      </c>
      <c r="J1029" t="s">
        <v>4499</v>
      </c>
      <c r="K1029" t="s">
        <v>13</v>
      </c>
      <c r="L1029" t="s">
        <v>54</v>
      </c>
    </row>
    <row r="1030" spans="1:12">
      <c r="A1030">
        <v>1084</v>
      </c>
      <c r="B1030" t="s">
        <v>4556</v>
      </c>
      <c r="C1030" t="s">
        <v>13</v>
      </c>
      <c r="D1030" t="s">
        <v>13</v>
      </c>
      <c r="E1030" t="s">
        <v>287</v>
      </c>
      <c r="F1030" t="s">
        <v>4491</v>
      </c>
      <c r="G1030" t="s">
        <v>3763</v>
      </c>
      <c r="H1030" t="s">
        <v>4491</v>
      </c>
      <c r="I1030" t="s">
        <v>4557</v>
      </c>
      <c r="J1030" t="s">
        <v>4499</v>
      </c>
      <c r="K1030" t="s">
        <v>4558</v>
      </c>
      <c r="L1030" t="s">
        <v>36</v>
      </c>
    </row>
    <row r="1031" spans="1:12">
      <c r="A1031">
        <v>1085</v>
      </c>
      <c r="B1031" t="s">
        <v>4559</v>
      </c>
      <c r="C1031" t="s">
        <v>13</v>
      </c>
      <c r="D1031" t="s">
        <v>57</v>
      </c>
      <c r="E1031" t="s">
        <v>235</v>
      </c>
      <c r="F1031" t="s">
        <v>4491</v>
      </c>
      <c r="G1031" t="s">
        <v>2942</v>
      </c>
      <c r="H1031" t="s">
        <v>4560</v>
      </c>
      <c r="I1031" t="s">
        <v>4561</v>
      </c>
      <c r="J1031" t="s">
        <v>4562</v>
      </c>
      <c r="K1031" t="s">
        <v>4563</v>
      </c>
      <c r="L1031" t="s">
        <v>54</v>
      </c>
    </row>
    <row r="1032" spans="1:12">
      <c r="A1032">
        <v>1086</v>
      </c>
      <c r="B1032" t="s">
        <v>4564</v>
      </c>
      <c r="C1032" t="s">
        <v>46</v>
      </c>
      <c r="D1032" t="s">
        <v>260</v>
      </c>
      <c r="E1032" t="s">
        <v>235</v>
      </c>
      <c r="F1032" t="s">
        <v>4491</v>
      </c>
      <c r="G1032" t="s">
        <v>31</v>
      </c>
      <c r="H1032" t="s">
        <v>4491</v>
      </c>
      <c r="I1032" t="s">
        <v>4565</v>
      </c>
      <c r="J1032" t="s">
        <v>4499</v>
      </c>
      <c r="K1032" t="s">
        <v>4566</v>
      </c>
      <c r="L1032" t="s">
        <v>36</v>
      </c>
    </row>
    <row r="1033" spans="1:12">
      <c r="A1033">
        <v>1087</v>
      </c>
      <c r="B1033" t="s">
        <v>4567</v>
      </c>
      <c r="C1033" t="s">
        <v>13</v>
      </c>
      <c r="D1033" t="s">
        <v>13</v>
      </c>
      <c r="E1033" t="s">
        <v>4568</v>
      </c>
      <c r="F1033" t="s">
        <v>4569</v>
      </c>
      <c r="G1033" t="s">
        <v>31</v>
      </c>
      <c r="H1033" t="s">
        <v>4569</v>
      </c>
      <c r="I1033" t="s">
        <v>3568</v>
      </c>
      <c r="J1033" t="s">
        <v>4570</v>
      </c>
      <c r="K1033" t="s">
        <v>4571</v>
      </c>
      <c r="L1033" t="s">
        <v>21</v>
      </c>
    </row>
    <row r="1034" spans="1:12">
      <c r="A1034">
        <v>1088</v>
      </c>
      <c r="B1034" t="s">
        <v>4572</v>
      </c>
      <c r="C1034" t="s">
        <v>13</v>
      </c>
      <c r="D1034" t="s">
        <v>13</v>
      </c>
      <c r="E1034" t="s">
        <v>4573</v>
      </c>
      <c r="F1034" t="s">
        <v>4569</v>
      </c>
      <c r="G1034" t="s">
        <v>3855</v>
      </c>
      <c r="H1034" t="s">
        <v>4569</v>
      </c>
      <c r="I1034" t="s">
        <v>4574</v>
      </c>
      <c r="J1034" t="s">
        <v>3555</v>
      </c>
      <c r="K1034" t="s">
        <v>3600</v>
      </c>
      <c r="L1034" t="s">
        <v>36</v>
      </c>
    </row>
    <row r="1035" spans="1:12">
      <c r="A1035">
        <v>1089</v>
      </c>
      <c r="B1035" t="s">
        <v>4575</v>
      </c>
      <c r="C1035" t="s">
        <v>13</v>
      </c>
      <c r="D1035" t="s">
        <v>13</v>
      </c>
      <c r="E1035" t="s">
        <v>4576</v>
      </c>
      <c r="F1035" t="s">
        <v>4569</v>
      </c>
      <c r="G1035" t="s">
        <v>4031</v>
      </c>
      <c r="H1035" t="s">
        <v>3072</v>
      </c>
      <c r="I1035" t="s">
        <v>4577</v>
      </c>
      <c r="J1035" t="s">
        <v>3649</v>
      </c>
      <c r="K1035" t="s">
        <v>13</v>
      </c>
      <c r="L1035" t="s">
        <v>54</v>
      </c>
    </row>
    <row r="1036" spans="1:12">
      <c r="A1036">
        <v>1090</v>
      </c>
      <c r="B1036" t="s">
        <v>4578</v>
      </c>
      <c r="C1036" t="s">
        <v>251</v>
      </c>
      <c r="D1036" t="s">
        <v>158</v>
      </c>
      <c r="E1036" t="s">
        <v>4579</v>
      </c>
      <c r="F1036" t="s">
        <v>4569</v>
      </c>
      <c r="G1036" t="s">
        <v>4010</v>
      </c>
      <c r="H1036" t="s">
        <v>4580</v>
      </c>
      <c r="I1036" t="s">
        <v>4581</v>
      </c>
      <c r="J1036" t="s">
        <v>4582</v>
      </c>
      <c r="K1036" t="s">
        <v>4583</v>
      </c>
      <c r="L1036" t="s">
        <v>36</v>
      </c>
    </row>
    <row r="1037" spans="1:12">
      <c r="A1037">
        <v>1091</v>
      </c>
      <c r="B1037" t="s">
        <v>4584</v>
      </c>
      <c r="C1037" t="s">
        <v>200</v>
      </c>
      <c r="D1037" t="s">
        <v>286</v>
      </c>
      <c r="E1037" t="s">
        <v>4585</v>
      </c>
      <c r="F1037" t="s">
        <v>4569</v>
      </c>
      <c r="G1037" t="s">
        <v>31</v>
      </c>
      <c r="H1037" t="s">
        <v>4586</v>
      </c>
      <c r="I1037" t="s">
        <v>4587</v>
      </c>
      <c r="J1037" t="s">
        <v>4588</v>
      </c>
      <c r="K1037" t="s">
        <v>13</v>
      </c>
      <c r="L1037" t="s">
        <v>21</v>
      </c>
    </row>
    <row r="1038" spans="1:12">
      <c r="A1038">
        <v>1092</v>
      </c>
      <c r="B1038" t="s">
        <v>4589</v>
      </c>
      <c r="C1038" t="s">
        <v>13</v>
      </c>
      <c r="D1038" t="s">
        <v>47</v>
      </c>
      <c r="E1038" t="s">
        <v>4590</v>
      </c>
      <c r="F1038" t="s">
        <v>4569</v>
      </c>
      <c r="G1038" t="s">
        <v>31</v>
      </c>
      <c r="H1038" t="s">
        <v>4591</v>
      </c>
      <c r="I1038" t="s">
        <v>4592</v>
      </c>
      <c r="J1038" t="s">
        <v>4593</v>
      </c>
      <c r="K1038" t="s">
        <v>4594</v>
      </c>
      <c r="L1038" t="s">
        <v>54</v>
      </c>
    </row>
    <row r="1039" spans="1:12">
      <c r="A1039">
        <v>1093</v>
      </c>
      <c r="B1039" t="s">
        <v>4595</v>
      </c>
      <c r="C1039" t="s">
        <v>13</v>
      </c>
      <c r="D1039" t="s">
        <v>158</v>
      </c>
      <c r="E1039" t="s">
        <v>4596</v>
      </c>
      <c r="F1039" t="s">
        <v>4569</v>
      </c>
      <c r="G1039" t="s">
        <v>31</v>
      </c>
      <c r="H1039" t="s">
        <v>4597</v>
      </c>
      <c r="I1039" t="s">
        <v>4598</v>
      </c>
      <c r="J1039" t="s">
        <v>3649</v>
      </c>
      <c r="K1039" t="s">
        <v>4599</v>
      </c>
      <c r="L1039" t="s">
        <v>21</v>
      </c>
    </row>
    <row r="1040" spans="1:12">
      <c r="A1040">
        <v>1094</v>
      </c>
      <c r="B1040" t="s">
        <v>4600</v>
      </c>
      <c r="C1040" t="s">
        <v>13</v>
      </c>
      <c r="D1040" t="s">
        <v>260</v>
      </c>
      <c r="E1040" t="s">
        <v>3815</v>
      </c>
      <c r="F1040" t="s">
        <v>4569</v>
      </c>
      <c r="G1040" t="s">
        <v>31</v>
      </c>
      <c r="H1040" t="s">
        <v>4601</v>
      </c>
      <c r="I1040" t="s">
        <v>4602</v>
      </c>
      <c r="J1040" t="s">
        <v>3649</v>
      </c>
      <c r="K1040" t="s">
        <v>4603</v>
      </c>
      <c r="L1040" t="s">
        <v>21</v>
      </c>
    </row>
    <row r="1041" spans="1:12">
      <c r="A1041">
        <v>1095</v>
      </c>
      <c r="B1041" t="s">
        <v>4604</v>
      </c>
      <c r="C1041" t="s">
        <v>13</v>
      </c>
      <c r="D1041" t="s">
        <v>13</v>
      </c>
      <c r="E1041" t="s">
        <v>4605</v>
      </c>
      <c r="F1041" t="s">
        <v>4569</v>
      </c>
      <c r="G1041" t="s">
        <v>356</v>
      </c>
      <c r="H1041" t="s">
        <v>3072</v>
      </c>
      <c r="I1041" t="s">
        <v>4606</v>
      </c>
      <c r="J1041" t="s">
        <v>4607</v>
      </c>
      <c r="K1041" t="s">
        <v>4608</v>
      </c>
      <c r="L1041" t="s">
        <v>54</v>
      </c>
    </row>
    <row r="1042" spans="1:12">
      <c r="A1042">
        <v>1096</v>
      </c>
      <c r="B1042" t="s">
        <v>4609</v>
      </c>
      <c r="C1042" t="s">
        <v>13</v>
      </c>
      <c r="D1042" t="s">
        <v>13</v>
      </c>
      <c r="E1042" t="s">
        <v>4610</v>
      </c>
      <c r="F1042" t="s">
        <v>4569</v>
      </c>
      <c r="G1042" t="s">
        <v>31</v>
      </c>
      <c r="H1042" t="s">
        <v>4611</v>
      </c>
      <c r="I1042" t="s">
        <v>4612</v>
      </c>
      <c r="J1042" t="s">
        <v>4613</v>
      </c>
      <c r="K1042" t="s">
        <v>4614</v>
      </c>
      <c r="L1042" t="s">
        <v>54</v>
      </c>
    </row>
    <row r="1043" spans="1:12">
      <c r="A1043">
        <v>1097</v>
      </c>
      <c r="B1043" t="s">
        <v>4615</v>
      </c>
      <c r="C1043" t="s">
        <v>13</v>
      </c>
      <c r="D1043" t="s">
        <v>158</v>
      </c>
      <c r="E1043" t="s">
        <v>4616</v>
      </c>
      <c r="F1043" t="s">
        <v>4569</v>
      </c>
      <c r="G1043" t="s">
        <v>356</v>
      </c>
      <c r="H1043" t="s">
        <v>4617</v>
      </c>
      <c r="I1043" t="s">
        <v>4618</v>
      </c>
      <c r="J1043" t="s">
        <v>4588</v>
      </c>
      <c r="K1043" t="s">
        <v>4619</v>
      </c>
      <c r="L1043" t="s">
        <v>54</v>
      </c>
    </row>
    <row r="1044" spans="1:12">
      <c r="A1044">
        <v>1098</v>
      </c>
      <c r="B1044" t="s">
        <v>4620</v>
      </c>
      <c r="C1044" t="s">
        <v>13</v>
      </c>
      <c r="D1044" t="s">
        <v>286</v>
      </c>
      <c r="E1044" t="s">
        <v>4046</v>
      </c>
      <c r="F1044" t="s">
        <v>4569</v>
      </c>
      <c r="G1044" t="s">
        <v>31</v>
      </c>
      <c r="H1044" t="s">
        <v>4621</v>
      </c>
      <c r="I1044" t="s">
        <v>4622</v>
      </c>
      <c r="J1044" t="s">
        <v>4623</v>
      </c>
      <c r="K1044" t="s">
        <v>3728</v>
      </c>
      <c r="L1044" t="s">
        <v>36</v>
      </c>
    </row>
    <row r="1045" spans="1:12">
      <c r="A1045">
        <v>1099</v>
      </c>
      <c r="B1045" t="s">
        <v>4624</v>
      </c>
      <c r="C1045" t="s">
        <v>13</v>
      </c>
      <c r="D1045" t="s">
        <v>13</v>
      </c>
      <c r="E1045" t="s">
        <v>3020</v>
      </c>
      <c r="F1045" t="s">
        <v>4569</v>
      </c>
      <c r="G1045" t="s">
        <v>4625</v>
      </c>
      <c r="H1045" t="s">
        <v>4588</v>
      </c>
      <c r="I1045" t="s">
        <v>4626</v>
      </c>
      <c r="J1045" t="s">
        <v>4607</v>
      </c>
      <c r="K1045" t="s">
        <v>4627</v>
      </c>
      <c r="L1045" t="s">
        <v>36</v>
      </c>
    </row>
    <row r="1046" spans="1:12">
      <c r="A1046">
        <v>1100</v>
      </c>
      <c r="B1046" t="s">
        <v>4628</v>
      </c>
      <c r="C1046" t="s">
        <v>13</v>
      </c>
      <c r="D1046" t="s">
        <v>260</v>
      </c>
      <c r="E1046" t="s">
        <v>1340</v>
      </c>
      <c r="F1046" t="s">
        <v>4569</v>
      </c>
      <c r="G1046" t="s">
        <v>31</v>
      </c>
      <c r="H1046" t="s">
        <v>4629</v>
      </c>
      <c r="I1046" t="s">
        <v>4630</v>
      </c>
      <c r="J1046" t="s">
        <v>4588</v>
      </c>
      <c r="K1046" t="s">
        <v>4631</v>
      </c>
      <c r="L1046" t="s">
        <v>21</v>
      </c>
    </row>
    <row r="1047" spans="1:12">
      <c r="A1047">
        <v>1101</v>
      </c>
      <c r="B1047" t="s">
        <v>3615</v>
      </c>
      <c r="C1047" t="s">
        <v>13</v>
      </c>
      <c r="D1047" t="s">
        <v>211</v>
      </c>
      <c r="E1047" t="s">
        <v>3167</v>
      </c>
      <c r="F1047" t="s">
        <v>4569</v>
      </c>
      <c r="G1047" t="s">
        <v>356</v>
      </c>
      <c r="H1047" t="s">
        <v>4632</v>
      </c>
      <c r="I1047" t="s">
        <v>4633</v>
      </c>
      <c r="J1047" t="s">
        <v>4634</v>
      </c>
      <c r="K1047" t="s">
        <v>2096</v>
      </c>
      <c r="L1047" t="s">
        <v>54</v>
      </c>
    </row>
    <row r="1048" spans="1:12">
      <c r="A1048">
        <v>1102</v>
      </c>
      <c r="B1048" t="s">
        <v>4635</v>
      </c>
      <c r="C1048" t="s">
        <v>13</v>
      </c>
      <c r="D1048" t="s">
        <v>211</v>
      </c>
      <c r="E1048" t="s">
        <v>4046</v>
      </c>
      <c r="F1048" t="s">
        <v>4569</v>
      </c>
      <c r="G1048" t="s">
        <v>356</v>
      </c>
      <c r="H1048" t="s">
        <v>3072</v>
      </c>
      <c r="I1048" t="s">
        <v>4636</v>
      </c>
      <c r="J1048" t="s">
        <v>3728</v>
      </c>
      <c r="K1048" t="s">
        <v>1868</v>
      </c>
      <c r="L1048" t="s">
        <v>54</v>
      </c>
    </row>
    <row r="1049" spans="1:12">
      <c r="A1049">
        <v>1103</v>
      </c>
      <c r="B1049" t="s">
        <v>4637</v>
      </c>
      <c r="C1049" t="s">
        <v>13</v>
      </c>
      <c r="D1049" t="s">
        <v>83</v>
      </c>
      <c r="E1049" t="s">
        <v>1093</v>
      </c>
      <c r="F1049" t="s">
        <v>4569</v>
      </c>
      <c r="G1049" t="s">
        <v>31</v>
      </c>
      <c r="H1049" t="s">
        <v>4569</v>
      </c>
      <c r="I1049" t="s">
        <v>4638</v>
      </c>
      <c r="J1049" t="s">
        <v>4607</v>
      </c>
      <c r="K1049" t="s">
        <v>4639</v>
      </c>
      <c r="L1049" t="s">
        <v>36</v>
      </c>
    </row>
    <row r="1050" spans="1:12">
      <c r="A1050">
        <v>1104</v>
      </c>
      <c r="B1050" t="s">
        <v>4640</v>
      </c>
      <c r="C1050" t="s">
        <v>13</v>
      </c>
      <c r="D1050" t="s">
        <v>13</v>
      </c>
      <c r="E1050" t="s">
        <v>4641</v>
      </c>
      <c r="F1050" t="s">
        <v>4569</v>
      </c>
      <c r="G1050" t="s">
        <v>1463</v>
      </c>
      <c r="H1050" t="s">
        <v>4569</v>
      </c>
      <c r="I1050" t="s">
        <v>4642</v>
      </c>
      <c r="J1050" t="s">
        <v>4607</v>
      </c>
      <c r="K1050" t="s">
        <v>4643</v>
      </c>
      <c r="L1050" t="s">
        <v>36</v>
      </c>
    </row>
    <row r="1051" spans="1:12">
      <c r="A1051">
        <v>1105</v>
      </c>
      <c r="B1051" t="s">
        <v>4644</v>
      </c>
      <c r="C1051" t="s">
        <v>13</v>
      </c>
      <c r="D1051" t="s">
        <v>260</v>
      </c>
      <c r="E1051" t="s">
        <v>2172</v>
      </c>
      <c r="F1051" t="s">
        <v>4569</v>
      </c>
      <c r="G1051" t="s">
        <v>31</v>
      </c>
      <c r="H1051" t="s">
        <v>4569</v>
      </c>
      <c r="I1051" t="s">
        <v>4645</v>
      </c>
      <c r="J1051" t="s">
        <v>4607</v>
      </c>
      <c r="K1051" t="s">
        <v>1087</v>
      </c>
      <c r="L1051" t="s">
        <v>54</v>
      </c>
    </row>
    <row r="1052" spans="1:12">
      <c r="A1052">
        <v>1106</v>
      </c>
      <c r="B1052" t="s">
        <v>4646</v>
      </c>
      <c r="C1052" t="s">
        <v>13</v>
      </c>
      <c r="D1052" t="s">
        <v>83</v>
      </c>
      <c r="E1052" t="s">
        <v>1077</v>
      </c>
      <c r="F1052" t="s">
        <v>4569</v>
      </c>
      <c r="G1052" t="s">
        <v>4647</v>
      </c>
      <c r="H1052" t="s">
        <v>4569</v>
      </c>
      <c r="I1052" t="s">
        <v>4648</v>
      </c>
      <c r="J1052" t="s">
        <v>4649</v>
      </c>
      <c r="K1052" t="s">
        <v>4650</v>
      </c>
      <c r="L1052" t="s">
        <v>54</v>
      </c>
    </row>
    <row r="1053" spans="1:12">
      <c r="A1053">
        <v>1107</v>
      </c>
      <c r="B1053" t="s">
        <v>4651</v>
      </c>
      <c r="C1053" t="s">
        <v>13</v>
      </c>
      <c r="D1053" t="s">
        <v>286</v>
      </c>
      <c r="E1053" t="s">
        <v>1117</v>
      </c>
      <c r="F1053" t="s">
        <v>4569</v>
      </c>
      <c r="G1053" t="s">
        <v>356</v>
      </c>
      <c r="H1053" t="s">
        <v>4652</v>
      </c>
      <c r="I1053" t="s">
        <v>4653</v>
      </c>
      <c r="J1053" t="s">
        <v>753</v>
      </c>
      <c r="K1053" t="s">
        <v>1087</v>
      </c>
      <c r="L1053" t="s">
        <v>54</v>
      </c>
    </row>
    <row r="1054" spans="1:12">
      <c r="A1054">
        <v>1108</v>
      </c>
      <c r="B1054" t="s">
        <v>4654</v>
      </c>
      <c r="C1054" t="s">
        <v>13</v>
      </c>
      <c r="D1054" t="s">
        <v>13</v>
      </c>
      <c r="E1054" t="s">
        <v>1084</v>
      </c>
      <c r="F1054" t="s">
        <v>4569</v>
      </c>
      <c r="G1054" t="s">
        <v>4153</v>
      </c>
      <c r="H1054" t="s">
        <v>3072</v>
      </c>
      <c r="I1054" t="s">
        <v>4655</v>
      </c>
      <c r="J1054" t="s">
        <v>4656</v>
      </c>
      <c r="K1054" t="s">
        <v>4657</v>
      </c>
      <c r="L1054" t="s">
        <v>54</v>
      </c>
    </row>
    <row r="1055" spans="1:12">
      <c r="A1055">
        <v>1109</v>
      </c>
      <c r="B1055" t="s">
        <v>1128</v>
      </c>
      <c r="C1055" t="s">
        <v>13</v>
      </c>
      <c r="D1055" t="s">
        <v>211</v>
      </c>
      <c r="E1055" t="s">
        <v>411</v>
      </c>
      <c r="F1055" t="s">
        <v>4569</v>
      </c>
      <c r="G1055" t="s">
        <v>356</v>
      </c>
      <c r="H1055" t="s">
        <v>4658</v>
      </c>
      <c r="I1055" t="s">
        <v>4659</v>
      </c>
      <c r="J1055" t="s">
        <v>4607</v>
      </c>
      <c r="K1055" t="s">
        <v>4660</v>
      </c>
      <c r="L1055" t="s">
        <v>54</v>
      </c>
    </row>
    <row r="1056" spans="1:12">
      <c r="A1056">
        <v>1110</v>
      </c>
      <c r="B1056" t="s">
        <v>4661</v>
      </c>
      <c r="C1056" t="s">
        <v>13</v>
      </c>
      <c r="D1056" t="s">
        <v>100</v>
      </c>
      <c r="E1056" t="s">
        <v>3286</v>
      </c>
      <c r="F1056" t="s">
        <v>4569</v>
      </c>
      <c r="G1056" t="s">
        <v>356</v>
      </c>
      <c r="H1056" t="s">
        <v>4662</v>
      </c>
      <c r="I1056" t="s">
        <v>4663</v>
      </c>
      <c r="J1056" t="s">
        <v>4664</v>
      </c>
      <c r="K1056" t="s">
        <v>13</v>
      </c>
      <c r="L1056" t="s">
        <v>21</v>
      </c>
    </row>
    <row r="1057" spans="1:12">
      <c r="A1057">
        <v>1111</v>
      </c>
      <c r="B1057" t="s">
        <v>4665</v>
      </c>
      <c r="C1057" t="s">
        <v>13</v>
      </c>
      <c r="D1057" t="s">
        <v>47</v>
      </c>
      <c r="E1057" t="s">
        <v>682</v>
      </c>
      <c r="F1057" t="s">
        <v>4569</v>
      </c>
      <c r="G1057" t="s">
        <v>356</v>
      </c>
      <c r="H1057" t="s">
        <v>4666</v>
      </c>
      <c r="I1057" t="s">
        <v>4667</v>
      </c>
      <c r="J1057" t="s">
        <v>753</v>
      </c>
      <c r="K1057" t="s">
        <v>1868</v>
      </c>
      <c r="L1057" t="s">
        <v>21</v>
      </c>
    </row>
    <row r="1058" spans="1:12">
      <c r="A1058">
        <v>1112</v>
      </c>
      <c r="B1058" t="s">
        <v>4668</v>
      </c>
      <c r="C1058" t="s">
        <v>13</v>
      </c>
      <c r="D1058" t="s">
        <v>13</v>
      </c>
      <c r="E1058" t="s">
        <v>656</v>
      </c>
      <c r="F1058" t="s">
        <v>4569</v>
      </c>
      <c r="G1058" t="s">
        <v>1463</v>
      </c>
      <c r="H1058" t="s">
        <v>4669</v>
      </c>
      <c r="I1058" t="s">
        <v>4670</v>
      </c>
      <c r="J1058" t="s">
        <v>4607</v>
      </c>
      <c r="K1058" t="s">
        <v>1330</v>
      </c>
      <c r="L1058" t="s">
        <v>21</v>
      </c>
    </row>
    <row r="1059" spans="1:12">
      <c r="A1059">
        <v>1113</v>
      </c>
      <c r="B1059" t="s">
        <v>4671</v>
      </c>
      <c r="C1059" t="s">
        <v>13</v>
      </c>
      <c r="D1059" t="s">
        <v>47</v>
      </c>
      <c r="E1059" t="s">
        <v>947</v>
      </c>
      <c r="F1059" t="s">
        <v>4569</v>
      </c>
      <c r="G1059" t="s">
        <v>31</v>
      </c>
      <c r="H1059" t="s">
        <v>4569</v>
      </c>
      <c r="I1059" t="s">
        <v>4672</v>
      </c>
      <c r="J1059" t="s">
        <v>4079</v>
      </c>
      <c r="K1059" t="s">
        <v>1868</v>
      </c>
      <c r="L1059" t="s">
        <v>36</v>
      </c>
    </row>
    <row r="1060" spans="1:12">
      <c r="A1060">
        <v>1114</v>
      </c>
      <c r="B1060" t="s">
        <v>4673</v>
      </c>
      <c r="C1060" t="s">
        <v>13</v>
      </c>
      <c r="D1060" t="s">
        <v>57</v>
      </c>
      <c r="E1060" t="s">
        <v>1929</v>
      </c>
      <c r="F1060" t="s">
        <v>4569</v>
      </c>
      <c r="G1060" t="s">
        <v>31</v>
      </c>
      <c r="H1060" t="s">
        <v>4674</v>
      </c>
      <c r="I1060" t="s">
        <v>4675</v>
      </c>
      <c r="J1060" t="s">
        <v>4676</v>
      </c>
      <c r="K1060" t="s">
        <v>4677</v>
      </c>
      <c r="L1060" t="s">
        <v>54</v>
      </c>
    </row>
    <row r="1061" spans="1:12">
      <c r="A1061">
        <v>1115</v>
      </c>
      <c r="B1061" t="s">
        <v>4678</v>
      </c>
      <c r="C1061" t="s">
        <v>13</v>
      </c>
      <c r="D1061" t="s">
        <v>83</v>
      </c>
      <c r="E1061" t="s">
        <v>966</v>
      </c>
      <c r="F1061" t="s">
        <v>4569</v>
      </c>
      <c r="G1061" t="s">
        <v>31</v>
      </c>
      <c r="H1061" t="s">
        <v>4674</v>
      </c>
      <c r="I1061" t="s">
        <v>4679</v>
      </c>
      <c r="J1061" t="s">
        <v>1185</v>
      </c>
      <c r="K1061" t="s">
        <v>4677</v>
      </c>
      <c r="L1061" t="s">
        <v>21</v>
      </c>
    </row>
    <row r="1062" spans="1:12">
      <c r="A1062">
        <v>1116</v>
      </c>
      <c r="B1062" t="s">
        <v>4680</v>
      </c>
      <c r="C1062" t="s">
        <v>13</v>
      </c>
      <c r="D1062" t="s">
        <v>158</v>
      </c>
      <c r="E1062" t="s">
        <v>627</v>
      </c>
      <c r="F1062" t="s">
        <v>4569</v>
      </c>
      <c r="G1062" t="s">
        <v>31</v>
      </c>
      <c r="H1062" t="s">
        <v>4569</v>
      </c>
      <c r="I1062" t="s">
        <v>4681</v>
      </c>
      <c r="J1062" t="s">
        <v>4682</v>
      </c>
      <c r="K1062" t="s">
        <v>1177</v>
      </c>
      <c r="L1062" t="s">
        <v>21</v>
      </c>
    </row>
    <row r="1063" spans="1:12">
      <c r="A1063">
        <v>1117</v>
      </c>
      <c r="B1063" t="s">
        <v>4683</v>
      </c>
      <c r="C1063" t="s">
        <v>13</v>
      </c>
      <c r="D1063" t="s">
        <v>286</v>
      </c>
      <c r="E1063" t="s">
        <v>627</v>
      </c>
      <c r="F1063" t="s">
        <v>4569</v>
      </c>
      <c r="G1063" t="s">
        <v>31</v>
      </c>
      <c r="H1063" t="s">
        <v>1043</v>
      </c>
      <c r="I1063" t="s">
        <v>4684</v>
      </c>
      <c r="J1063" t="s">
        <v>4079</v>
      </c>
      <c r="K1063" t="s">
        <v>4685</v>
      </c>
      <c r="L1063" t="s">
        <v>21</v>
      </c>
    </row>
    <row r="1064" spans="1:12">
      <c r="A1064">
        <v>1118</v>
      </c>
      <c r="B1064" t="s">
        <v>4686</v>
      </c>
      <c r="C1064" t="s">
        <v>13</v>
      </c>
      <c r="D1064" t="s">
        <v>173</v>
      </c>
      <c r="E1064" t="s">
        <v>893</v>
      </c>
      <c r="F1064" t="s">
        <v>4569</v>
      </c>
      <c r="G1064" t="s">
        <v>31</v>
      </c>
      <c r="H1064" t="s">
        <v>4687</v>
      </c>
      <c r="I1064" t="s">
        <v>4688</v>
      </c>
      <c r="J1064" t="s">
        <v>4623</v>
      </c>
      <c r="K1064" t="s">
        <v>4689</v>
      </c>
      <c r="L1064" t="s">
        <v>21</v>
      </c>
    </row>
    <row r="1065" spans="1:12">
      <c r="A1065">
        <v>1119</v>
      </c>
      <c r="B1065" t="s">
        <v>4690</v>
      </c>
      <c r="C1065" t="s">
        <v>13</v>
      </c>
      <c r="D1065" t="s">
        <v>260</v>
      </c>
      <c r="E1065" t="s">
        <v>648</v>
      </c>
      <c r="F1065" t="s">
        <v>4569</v>
      </c>
      <c r="G1065" t="s">
        <v>1463</v>
      </c>
      <c r="H1065" t="s">
        <v>4569</v>
      </c>
      <c r="I1065" t="s">
        <v>4691</v>
      </c>
      <c r="J1065" t="s">
        <v>4079</v>
      </c>
      <c r="K1065" t="s">
        <v>4692</v>
      </c>
      <c r="L1065" t="s">
        <v>21</v>
      </c>
    </row>
    <row r="1066" spans="1:12">
      <c r="A1066">
        <v>1120</v>
      </c>
      <c r="B1066" t="s">
        <v>4693</v>
      </c>
      <c r="C1066" t="s">
        <v>13</v>
      </c>
      <c r="D1066" t="s">
        <v>211</v>
      </c>
      <c r="E1066" t="s">
        <v>603</v>
      </c>
      <c r="F1066" t="s">
        <v>4569</v>
      </c>
      <c r="G1066" t="s">
        <v>273</v>
      </c>
      <c r="H1066" t="s">
        <v>4569</v>
      </c>
      <c r="I1066" t="s">
        <v>4694</v>
      </c>
      <c r="J1066" t="s">
        <v>1941</v>
      </c>
      <c r="K1066" t="s">
        <v>4695</v>
      </c>
      <c r="L1066" t="s">
        <v>21</v>
      </c>
    </row>
    <row r="1067" spans="1:12">
      <c r="A1067">
        <v>1121</v>
      </c>
      <c r="B1067" t="s">
        <v>4696</v>
      </c>
      <c r="C1067" t="s">
        <v>13</v>
      </c>
      <c r="D1067" t="s">
        <v>13</v>
      </c>
      <c r="E1067" t="s">
        <v>341</v>
      </c>
      <c r="F1067" t="s">
        <v>4569</v>
      </c>
      <c r="G1067" t="s">
        <v>4697</v>
      </c>
      <c r="H1067" t="s">
        <v>4569</v>
      </c>
      <c r="I1067" t="s">
        <v>4698</v>
      </c>
      <c r="J1067" t="s">
        <v>4699</v>
      </c>
      <c r="K1067" t="s">
        <v>4607</v>
      </c>
      <c r="L1067" t="s">
        <v>36</v>
      </c>
    </row>
    <row r="1068" spans="1:12">
      <c r="A1068">
        <v>1122</v>
      </c>
      <c r="B1068" t="s">
        <v>4700</v>
      </c>
      <c r="C1068" t="s">
        <v>200</v>
      </c>
      <c r="D1068" t="s">
        <v>47</v>
      </c>
      <c r="E1068" t="s">
        <v>4701</v>
      </c>
      <c r="F1068" t="s">
        <v>4702</v>
      </c>
      <c r="G1068" t="s">
        <v>31</v>
      </c>
      <c r="H1068" t="s">
        <v>4703</v>
      </c>
      <c r="I1068" t="s">
        <v>4704</v>
      </c>
      <c r="J1068" t="s">
        <v>4705</v>
      </c>
      <c r="K1068" t="s">
        <v>4706</v>
      </c>
      <c r="L1068" t="s">
        <v>21</v>
      </c>
    </row>
    <row r="1069" spans="1:12">
      <c r="A1069">
        <v>1123</v>
      </c>
      <c r="B1069" t="s">
        <v>2122</v>
      </c>
      <c r="C1069" t="s">
        <v>240</v>
      </c>
      <c r="D1069" t="s">
        <v>211</v>
      </c>
      <c r="E1069" t="s">
        <v>4707</v>
      </c>
      <c r="F1069" t="s">
        <v>4702</v>
      </c>
      <c r="G1069" t="s">
        <v>2588</v>
      </c>
      <c r="H1069" t="s">
        <v>4708</v>
      </c>
      <c r="I1069" t="s">
        <v>4709</v>
      </c>
      <c r="J1069" t="s">
        <v>4705</v>
      </c>
      <c r="K1069" t="s">
        <v>4710</v>
      </c>
      <c r="L1069" t="s">
        <v>21</v>
      </c>
    </row>
    <row r="1070" spans="1:12">
      <c r="A1070">
        <v>1124</v>
      </c>
      <c r="B1070" t="s">
        <v>4711</v>
      </c>
      <c r="C1070" t="s">
        <v>13</v>
      </c>
      <c r="D1070" t="s">
        <v>13</v>
      </c>
      <c r="E1070" t="s">
        <v>3167</v>
      </c>
      <c r="F1070" t="s">
        <v>4702</v>
      </c>
      <c r="G1070" t="s">
        <v>356</v>
      </c>
      <c r="H1070" t="s">
        <v>4712</v>
      </c>
      <c r="I1070" t="s">
        <v>4713</v>
      </c>
      <c r="J1070" t="s">
        <v>4494</v>
      </c>
      <c r="K1070" t="s">
        <v>4714</v>
      </c>
      <c r="L1070" t="s">
        <v>36</v>
      </c>
    </row>
    <row r="1071" spans="1:12">
      <c r="A1071">
        <v>1125</v>
      </c>
      <c r="B1071" t="s">
        <v>4715</v>
      </c>
      <c r="C1071" t="s">
        <v>13</v>
      </c>
      <c r="D1071" t="s">
        <v>13</v>
      </c>
      <c r="E1071" t="s">
        <v>394</v>
      </c>
      <c r="F1071" t="s">
        <v>4702</v>
      </c>
      <c r="G1071" t="s">
        <v>4716</v>
      </c>
      <c r="H1071" t="s">
        <v>4702</v>
      </c>
      <c r="I1071" t="s">
        <v>4717</v>
      </c>
      <c r="J1071" t="s">
        <v>4718</v>
      </c>
      <c r="K1071" t="s">
        <v>4719</v>
      </c>
      <c r="L1071" t="s">
        <v>36</v>
      </c>
    </row>
    <row r="1072" spans="1:12">
      <c r="A1072">
        <v>1126</v>
      </c>
      <c r="B1072" t="s">
        <v>4720</v>
      </c>
      <c r="C1072" t="s">
        <v>230</v>
      </c>
      <c r="D1072" t="s">
        <v>100</v>
      </c>
      <c r="E1072" t="s">
        <v>2126</v>
      </c>
      <c r="F1072" t="s">
        <v>4702</v>
      </c>
      <c r="G1072" t="s">
        <v>31</v>
      </c>
      <c r="H1072" t="s">
        <v>4702</v>
      </c>
      <c r="I1072" t="s">
        <v>4721</v>
      </c>
      <c r="J1072" t="s">
        <v>4705</v>
      </c>
      <c r="K1072" t="s">
        <v>4722</v>
      </c>
      <c r="L1072" t="s">
        <v>36</v>
      </c>
    </row>
    <row r="1073" spans="1:12">
      <c r="A1073">
        <v>1127</v>
      </c>
      <c r="B1073" t="s">
        <v>4723</v>
      </c>
      <c r="C1073" t="s">
        <v>218</v>
      </c>
      <c r="D1073" t="s">
        <v>267</v>
      </c>
      <c r="E1073" t="s">
        <v>1609</v>
      </c>
      <c r="F1073" t="s">
        <v>4702</v>
      </c>
      <c r="G1073" t="s">
        <v>1078</v>
      </c>
      <c r="H1073" t="s">
        <v>4702</v>
      </c>
      <c r="I1073" t="s">
        <v>4724</v>
      </c>
      <c r="J1073" t="s">
        <v>4705</v>
      </c>
      <c r="K1073" t="s">
        <v>4725</v>
      </c>
      <c r="L1073" t="s">
        <v>54</v>
      </c>
    </row>
    <row r="1074" spans="1:12">
      <c r="A1074">
        <v>1128</v>
      </c>
      <c r="B1074" t="s">
        <v>3382</v>
      </c>
      <c r="C1074" t="s">
        <v>331</v>
      </c>
      <c r="D1074" t="s">
        <v>39</v>
      </c>
      <c r="E1074" t="s">
        <v>741</v>
      </c>
      <c r="F1074" t="s">
        <v>4702</v>
      </c>
      <c r="G1074" t="s">
        <v>356</v>
      </c>
      <c r="H1074" t="s">
        <v>3383</v>
      </c>
      <c r="I1074" t="s">
        <v>4726</v>
      </c>
      <c r="J1074" t="s">
        <v>4705</v>
      </c>
      <c r="K1074" t="s">
        <v>4727</v>
      </c>
      <c r="L1074" t="s">
        <v>54</v>
      </c>
    </row>
    <row r="1075" spans="1:12">
      <c r="A1075">
        <v>1129</v>
      </c>
      <c r="B1075" t="s">
        <v>4728</v>
      </c>
      <c r="C1075" t="s">
        <v>107</v>
      </c>
      <c r="D1075" t="s">
        <v>66</v>
      </c>
      <c r="E1075" t="s">
        <v>272</v>
      </c>
      <c r="F1075" t="s">
        <v>4702</v>
      </c>
      <c r="G1075" t="s">
        <v>31</v>
      </c>
      <c r="H1075" t="s">
        <v>4702</v>
      </c>
      <c r="I1075" t="s">
        <v>4729</v>
      </c>
      <c r="J1075" t="s">
        <v>4705</v>
      </c>
      <c r="K1075" t="s">
        <v>4730</v>
      </c>
      <c r="L1075" t="s">
        <v>21</v>
      </c>
    </row>
    <row r="1076" spans="1:12">
      <c r="A1076">
        <v>1130</v>
      </c>
      <c r="B1076" t="s">
        <v>4731</v>
      </c>
      <c r="C1076" t="s">
        <v>46</v>
      </c>
      <c r="D1076" t="s">
        <v>66</v>
      </c>
      <c r="E1076" t="s">
        <v>225</v>
      </c>
      <c r="F1076" t="s">
        <v>4702</v>
      </c>
      <c r="G1076" t="s">
        <v>1463</v>
      </c>
      <c r="H1076" t="s">
        <v>4702</v>
      </c>
      <c r="I1076" t="s">
        <v>4732</v>
      </c>
      <c r="J1076" t="s">
        <v>4705</v>
      </c>
      <c r="K1076" t="s">
        <v>4733</v>
      </c>
      <c r="L1076" t="s">
        <v>54</v>
      </c>
    </row>
    <row r="1077" spans="1:12">
      <c r="A1077">
        <v>1131</v>
      </c>
      <c r="B1077" t="s">
        <v>4734</v>
      </c>
      <c r="C1077" t="s">
        <v>56</v>
      </c>
      <c r="D1077" t="s">
        <v>211</v>
      </c>
      <c r="E1077" t="s">
        <v>623</v>
      </c>
      <c r="F1077" t="s">
        <v>4702</v>
      </c>
      <c r="G1077" t="s">
        <v>313</v>
      </c>
      <c r="H1077" t="s">
        <v>4702</v>
      </c>
      <c r="I1077" t="s">
        <v>4735</v>
      </c>
      <c r="J1077" t="s">
        <v>4705</v>
      </c>
      <c r="K1077" t="s">
        <v>4736</v>
      </c>
      <c r="L1077" t="s">
        <v>21</v>
      </c>
    </row>
    <row r="1078" spans="1:12">
      <c r="A1078">
        <v>1132</v>
      </c>
      <c r="B1078" t="s">
        <v>4737</v>
      </c>
      <c r="C1078" t="s">
        <v>150</v>
      </c>
      <c r="D1078" t="s">
        <v>39</v>
      </c>
      <c r="E1078" t="s">
        <v>151</v>
      </c>
      <c r="F1078" t="s">
        <v>4702</v>
      </c>
      <c r="G1078" t="s">
        <v>1463</v>
      </c>
      <c r="H1078" t="s">
        <v>4702</v>
      </c>
      <c r="I1078" t="s">
        <v>4738</v>
      </c>
      <c r="J1078" t="s">
        <v>4705</v>
      </c>
      <c r="K1078" t="s">
        <v>4739</v>
      </c>
      <c r="L1078" t="s">
        <v>36</v>
      </c>
    </row>
    <row r="1079" spans="1:12">
      <c r="A1079">
        <v>1133</v>
      </c>
      <c r="B1079" t="s">
        <v>4740</v>
      </c>
      <c r="C1079" t="s">
        <v>200</v>
      </c>
      <c r="D1079" t="s">
        <v>100</v>
      </c>
      <c r="E1079" t="s">
        <v>713</v>
      </c>
      <c r="F1079" t="s">
        <v>4702</v>
      </c>
      <c r="G1079" t="s">
        <v>273</v>
      </c>
      <c r="H1079" t="s">
        <v>4703</v>
      </c>
      <c r="I1079" t="s">
        <v>4741</v>
      </c>
      <c r="J1079" t="s">
        <v>4705</v>
      </c>
      <c r="K1079" t="s">
        <v>4742</v>
      </c>
      <c r="L1079" t="s">
        <v>21</v>
      </c>
    </row>
    <row r="1080" spans="1:12">
      <c r="A1080">
        <v>1134</v>
      </c>
      <c r="B1080" t="s">
        <v>4743</v>
      </c>
      <c r="C1080" t="s">
        <v>13</v>
      </c>
      <c r="D1080" t="s">
        <v>13</v>
      </c>
      <c r="E1080" t="s">
        <v>174</v>
      </c>
      <c r="F1080" t="s">
        <v>4702</v>
      </c>
      <c r="G1080" t="s">
        <v>1463</v>
      </c>
      <c r="H1080" t="s">
        <v>4702</v>
      </c>
      <c r="I1080" t="s">
        <v>4744</v>
      </c>
      <c r="J1080" t="s">
        <v>4705</v>
      </c>
      <c r="K1080" t="s">
        <v>4745</v>
      </c>
      <c r="L1080" t="s">
        <v>54</v>
      </c>
    </row>
    <row r="1081" spans="1:12">
      <c r="A1081">
        <v>1135</v>
      </c>
      <c r="B1081" t="s">
        <v>4746</v>
      </c>
      <c r="C1081" t="s">
        <v>224</v>
      </c>
      <c r="D1081" t="s">
        <v>267</v>
      </c>
      <c r="E1081" t="s">
        <v>279</v>
      </c>
      <c r="F1081" t="s">
        <v>4702</v>
      </c>
      <c r="G1081" t="s">
        <v>4010</v>
      </c>
      <c r="H1081" t="s">
        <v>4747</v>
      </c>
      <c r="I1081" t="s">
        <v>4748</v>
      </c>
      <c r="J1081" t="s">
        <v>4749</v>
      </c>
      <c r="K1081" t="s">
        <v>4750</v>
      </c>
      <c r="L1081" t="s">
        <v>21</v>
      </c>
    </row>
    <row r="1082" spans="1:12">
      <c r="A1082">
        <v>1136</v>
      </c>
      <c r="B1082" t="s">
        <v>4751</v>
      </c>
      <c r="C1082" t="s">
        <v>13</v>
      </c>
      <c r="D1082" t="s">
        <v>66</v>
      </c>
      <c r="E1082" t="s">
        <v>225</v>
      </c>
      <c r="F1082" t="s">
        <v>4702</v>
      </c>
      <c r="G1082" t="s">
        <v>2914</v>
      </c>
      <c r="H1082" t="s">
        <v>4702</v>
      </c>
      <c r="I1082" t="s">
        <v>4752</v>
      </c>
      <c r="J1082" t="s">
        <v>4705</v>
      </c>
      <c r="K1082" t="s">
        <v>13</v>
      </c>
      <c r="L1082" t="s">
        <v>21</v>
      </c>
    </row>
    <row r="1083" spans="1:12">
      <c r="A1083">
        <v>1137</v>
      </c>
      <c r="B1083" t="s">
        <v>4753</v>
      </c>
      <c r="C1083" t="s">
        <v>13</v>
      </c>
      <c r="D1083" t="s">
        <v>66</v>
      </c>
      <c r="E1083" t="s">
        <v>166</v>
      </c>
      <c r="F1083" t="s">
        <v>4702</v>
      </c>
      <c r="G1083" t="s">
        <v>313</v>
      </c>
      <c r="H1083" t="s">
        <v>4702</v>
      </c>
      <c r="I1083" t="s">
        <v>4754</v>
      </c>
      <c r="J1083" t="s">
        <v>4705</v>
      </c>
      <c r="K1083" t="s">
        <v>4736</v>
      </c>
      <c r="L1083" t="s">
        <v>21</v>
      </c>
    </row>
    <row r="1084" spans="1:12">
      <c r="A1084">
        <v>1138</v>
      </c>
      <c r="B1084" t="s">
        <v>4755</v>
      </c>
      <c r="C1084" t="s">
        <v>13</v>
      </c>
      <c r="D1084" t="s">
        <v>13</v>
      </c>
      <c r="E1084" t="s">
        <v>23</v>
      </c>
      <c r="F1084" t="s">
        <v>4756</v>
      </c>
      <c r="G1084" t="s">
        <v>1244</v>
      </c>
      <c r="H1084" t="s">
        <v>2910</v>
      </c>
      <c r="I1084" t="s">
        <v>4757</v>
      </c>
      <c r="J1084" t="s">
        <v>4758</v>
      </c>
      <c r="K1084" t="s">
        <v>13</v>
      </c>
      <c r="L1084" t="s">
        <v>21</v>
      </c>
    </row>
    <row r="1085" spans="1:12">
      <c r="A1085">
        <v>1139</v>
      </c>
      <c r="B1085" t="s">
        <v>4759</v>
      </c>
      <c r="C1085" t="s">
        <v>13</v>
      </c>
      <c r="D1085" t="s">
        <v>13</v>
      </c>
      <c r="E1085" t="s">
        <v>756</v>
      </c>
      <c r="F1085" t="s">
        <v>4756</v>
      </c>
      <c r="G1085" t="s">
        <v>4530</v>
      </c>
      <c r="H1085" t="s">
        <v>4760</v>
      </c>
      <c r="I1085" t="s">
        <v>4761</v>
      </c>
      <c r="J1085" t="s">
        <v>4758</v>
      </c>
      <c r="K1085" t="s">
        <v>13</v>
      </c>
      <c r="L1085" t="s">
        <v>21</v>
      </c>
    </row>
    <row r="1086" spans="1:12">
      <c r="A1086">
        <v>1140</v>
      </c>
      <c r="B1086" t="s">
        <v>4762</v>
      </c>
      <c r="C1086" t="s">
        <v>13</v>
      </c>
      <c r="D1086" t="s">
        <v>13</v>
      </c>
      <c r="E1086" t="s">
        <v>4763</v>
      </c>
      <c r="F1086" t="s">
        <v>4756</v>
      </c>
      <c r="G1086" t="s">
        <v>1244</v>
      </c>
      <c r="H1086" t="s">
        <v>4764</v>
      </c>
      <c r="I1086" t="s">
        <v>4765</v>
      </c>
      <c r="J1086" t="s">
        <v>4766</v>
      </c>
      <c r="K1086" t="s">
        <v>13</v>
      </c>
      <c r="L1086" t="s">
        <v>21</v>
      </c>
    </row>
    <row r="1087" spans="1:12">
      <c r="A1087">
        <v>1141</v>
      </c>
      <c r="B1087" t="s">
        <v>4767</v>
      </c>
      <c r="C1087" t="s">
        <v>13</v>
      </c>
      <c r="D1087" t="s">
        <v>13</v>
      </c>
      <c r="E1087" t="s">
        <v>4768</v>
      </c>
      <c r="F1087" t="s">
        <v>4756</v>
      </c>
      <c r="G1087" t="s">
        <v>4769</v>
      </c>
      <c r="H1087" t="s">
        <v>4770</v>
      </c>
      <c r="I1087" t="s">
        <v>4771</v>
      </c>
      <c r="J1087" t="s">
        <v>4758</v>
      </c>
      <c r="K1087" t="s">
        <v>13</v>
      </c>
      <c r="L1087" t="s">
        <v>54</v>
      </c>
    </row>
    <row r="1088" spans="1:12">
      <c r="A1088">
        <v>1142</v>
      </c>
      <c r="B1088" t="s">
        <v>4772</v>
      </c>
      <c r="C1088" t="s">
        <v>195</v>
      </c>
      <c r="D1088" t="s">
        <v>211</v>
      </c>
      <c r="E1088" t="s">
        <v>4773</v>
      </c>
      <c r="F1088" t="s">
        <v>4756</v>
      </c>
      <c r="G1088" t="s">
        <v>4530</v>
      </c>
      <c r="H1088" t="s">
        <v>4774</v>
      </c>
      <c r="I1088" t="s">
        <v>4775</v>
      </c>
      <c r="J1088" t="s">
        <v>4776</v>
      </c>
      <c r="K1088" t="s">
        <v>13</v>
      </c>
      <c r="L1088" t="s">
        <v>21</v>
      </c>
    </row>
    <row r="1089" spans="1:12">
      <c r="A1089">
        <v>1143</v>
      </c>
      <c r="B1089" t="s">
        <v>4777</v>
      </c>
      <c r="C1089" t="s">
        <v>224</v>
      </c>
      <c r="D1089" t="s">
        <v>57</v>
      </c>
      <c r="E1089" t="s">
        <v>4778</v>
      </c>
      <c r="F1089" t="s">
        <v>4756</v>
      </c>
      <c r="G1089" t="s">
        <v>3703</v>
      </c>
      <c r="H1089" t="s">
        <v>4779</v>
      </c>
      <c r="I1089" t="s">
        <v>4780</v>
      </c>
      <c r="J1089" t="s">
        <v>4776</v>
      </c>
      <c r="K1089" t="s">
        <v>4781</v>
      </c>
      <c r="L1089" t="s">
        <v>54</v>
      </c>
    </row>
    <row r="1090" spans="1:12">
      <c r="A1090">
        <v>1144</v>
      </c>
      <c r="B1090" t="s">
        <v>4782</v>
      </c>
      <c r="C1090" t="s">
        <v>46</v>
      </c>
      <c r="D1090" t="s">
        <v>13</v>
      </c>
      <c r="E1090" t="s">
        <v>4778</v>
      </c>
      <c r="F1090" t="s">
        <v>4756</v>
      </c>
      <c r="G1090" t="s">
        <v>49</v>
      </c>
      <c r="H1090" t="s">
        <v>4756</v>
      </c>
      <c r="I1090" t="s">
        <v>4783</v>
      </c>
      <c r="J1090" t="s">
        <v>4784</v>
      </c>
      <c r="K1090" t="s">
        <v>13</v>
      </c>
      <c r="L1090" t="s">
        <v>54</v>
      </c>
    </row>
    <row r="1091" spans="1:12">
      <c r="A1091">
        <v>1145</v>
      </c>
      <c r="B1091" t="s">
        <v>4785</v>
      </c>
      <c r="C1091" t="s">
        <v>150</v>
      </c>
      <c r="D1091" t="s">
        <v>286</v>
      </c>
      <c r="E1091" t="s">
        <v>4701</v>
      </c>
      <c r="F1091" t="s">
        <v>4756</v>
      </c>
      <c r="G1091" t="s">
        <v>2588</v>
      </c>
      <c r="H1091" t="s">
        <v>4786</v>
      </c>
      <c r="I1091" t="s">
        <v>4787</v>
      </c>
      <c r="J1091" t="s">
        <v>4788</v>
      </c>
      <c r="K1091" t="s">
        <v>4789</v>
      </c>
      <c r="L1091" t="s">
        <v>21</v>
      </c>
    </row>
    <row r="1092" spans="1:12">
      <c r="A1092">
        <v>1146</v>
      </c>
      <c r="B1092" t="s">
        <v>4790</v>
      </c>
      <c r="C1092" t="s">
        <v>218</v>
      </c>
      <c r="D1092" t="s">
        <v>57</v>
      </c>
      <c r="E1092" t="s">
        <v>4791</v>
      </c>
      <c r="F1092" t="s">
        <v>4756</v>
      </c>
      <c r="G1092" t="s">
        <v>2588</v>
      </c>
      <c r="H1092" t="s">
        <v>4792</v>
      </c>
      <c r="I1092" t="s">
        <v>4793</v>
      </c>
      <c r="J1092" t="s">
        <v>4788</v>
      </c>
      <c r="K1092" t="s">
        <v>4794</v>
      </c>
      <c r="L1092" t="s">
        <v>21</v>
      </c>
    </row>
    <row r="1093" spans="1:12">
      <c r="A1093">
        <v>1147</v>
      </c>
      <c r="B1093" t="s">
        <v>4795</v>
      </c>
      <c r="C1093" t="s">
        <v>362</v>
      </c>
      <c r="D1093" t="s">
        <v>286</v>
      </c>
      <c r="E1093" t="s">
        <v>4791</v>
      </c>
      <c r="F1093" t="s">
        <v>4756</v>
      </c>
      <c r="G1093" t="s">
        <v>31</v>
      </c>
      <c r="H1093" t="s">
        <v>4756</v>
      </c>
      <c r="I1093" t="s">
        <v>4796</v>
      </c>
      <c r="J1093" t="s">
        <v>4788</v>
      </c>
      <c r="K1093" t="s">
        <v>4794</v>
      </c>
      <c r="L1093" t="s">
        <v>21</v>
      </c>
    </row>
    <row r="1094" spans="1:12">
      <c r="A1094">
        <v>1148</v>
      </c>
      <c r="B1094" t="s">
        <v>4797</v>
      </c>
      <c r="C1094" t="s">
        <v>200</v>
      </c>
      <c r="D1094" t="s">
        <v>39</v>
      </c>
      <c r="E1094" t="s">
        <v>3053</v>
      </c>
      <c r="F1094" t="s">
        <v>4756</v>
      </c>
      <c r="G1094" t="s">
        <v>356</v>
      </c>
      <c r="H1094" t="s">
        <v>4798</v>
      </c>
      <c r="I1094" t="s">
        <v>4799</v>
      </c>
      <c r="J1094" t="s">
        <v>4788</v>
      </c>
      <c r="K1094" t="s">
        <v>4800</v>
      </c>
      <c r="L1094" t="s">
        <v>54</v>
      </c>
    </row>
    <row r="1095" spans="1:12">
      <c r="A1095">
        <v>1149</v>
      </c>
      <c r="B1095" t="s">
        <v>4801</v>
      </c>
      <c r="C1095" t="s">
        <v>13</v>
      </c>
      <c r="D1095" t="s">
        <v>13</v>
      </c>
      <c r="E1095" t="s">
        <v>108</v>
      </c>
      <c r="F1095" t="s">
        <v>4756</v>
      </c>
      <c r="G1095" t="s">
        <v>801</v>
      </c>
      <c r="H1095" t="s">
        <v>4756</v>
      </c>
      <c r="I1095" t="s">
        <v>4802</v>
      </c>
      <c r="J1095" t="s">
        <v>4788</v>
      </c>
      <c r="K1095" t="s">
        <v>4803</v>
      </c>
      <c r="L1095" t="s">
        <v>36</v>
      </c>
    </row>
    <row r="1096" spans="1:12">
      <c r="A1096">
        <v>1150</v>
      </c>
      <c r="B1096" t="s">
        <v>4804</v>
      </c>
      <c r="C1096" t="s">
        <v>13</v>
      </c>
      <c r="D1096" t="s">
        <v>13</v>
      </c>
      <c r="E1096" t="s">
        <v>3062</v>
      </c>
      <c r="F1096" t="s">
        <v>4756</v>
      </c>
      <c r="G1096" t="s">
        <v>1165</v>
      </c>
      <c r="H1096" t="s">
        <v>4756</v>
      </c>
      <c r="I1096" t="s">
        <v>4805</v>
      </c>
      <c r="J1096" t="s">
        <v>4788</v>
      </c>
      <c r="K1096" t="s">
        <v>2096</v>
      </c>
      <c r="L1096" t="s">
        <v>54</v>
      </c>
    </row>
    <row r="1097" spans="1:12">
      <c r="A1097">
        <v>1151</v>
      </c>
      <c r="B1097" t="s">
        <v>4806</v>
      </c>
      <c r="C1097" t="s">
        <v>91</v>
      </c>
      <c r="D1097" t="s">
        <v>83</v>
      </c>
      <c r="E1097" t="s">
        <v>1353</v>
      </c>
      <c r="F1097" t="s">
        <v>4756</v>
      </c>
      <c r="G1097" t="s">
        <v>2646</v>
      </c>
      <c r="H1097" t="s">
        <v>4756</v>
      </c>
      <c r="I1097" t="s">
        <v>4807</v>
      </c>
      <c r="J1097" t="s">
        <v>4788</v>
      </c>
      <c r="K1097" t="s">
        <v>4808</v>
      </c>
      <c r="L1097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BBC1-080B-4CA4-9F3C-B69FF75F2A45}">
  <dimension ref="A1:K37"/>
  <sheetViews>
    <sheetView workbookViewId="0">
      <selection activeCell="I13" sqref="I13"/>
    </sheetView>
  </sheetViews>
  <sheetFormatPr defaultRowHeight="14.4"/>
  <cols>
    <col min="1" max="1" width="36.109375" bestFit="1" customWidth="1"/>
    <col min="2" max="2" width="9.6640625" bestFit="1" customWidth="1"/>
    <col min="3" max="3" width="29.77734375" bestFit="1" customWidth="1"/>
    <col min="4" max="4" width="15.109375" bestFit="1" customWidth="1"/>
    <col min="5" max="5" width="13.109375" bestFit="1" customWidth="1"/>
    <col min="6" max="6" width="5" bestFit="1" customWidth="1"/>
    <col min="7" max="7" width="8.109375" bestFit="1" customWidth="1"/>
    <col min="9" max="9" width="20.44140625" bestFit="1" customWidth="1"/>
    <col min="10" max="10" width="5" bestFit="1" customWidth="1"/>
  </cols>
  <sheetData>
    <row r="1" spans="1:11">
      <c r="A1" s="1" t="s">
        <v>4809</v>
      </c>
    </row>
    <row r="3" spans="1:11">
      <c r="A3" t="s">
        <v>4810</v>
      </c>
      <c r="B3">
        <f>ROWS(Raw_Data[])</f>
        <v>1096</v>
      </c>
    </row>
    <row r="5" spans="1:11">
      <c r="A5" s="1" t="s">
        <v>4811</v>
      </c>
      <c r="B5" s="1" t="s">
        <v>4812</v>
      </c>
      <c r="C5" s="1" t="s">
        <v>4813</v>
      </c>
      <c r="D5" s="1" t="s">
        <v>4814</v>
      </c>
      <c r="E5" s="1" t="s">
        <v>4815</v>
      </c>
      <c r="I5" s="1" t="s">
        <v>4818</v>
      </c>
    </row>
    <row r="6" spans="1:11">
      <c r="A6" t="str" cm="1">
        <f t="array" ref="A6:A17">TRANSPOSE(Raw_Data[#Headers])</f>
        <v>Sl. No</v>
      </c>
      <c r="B6">
        <f>COUNTBLANK(INDEX(Raw_Data[],0,MATCH(A6,Raw_Data[#Headers],0)))</f>
        <v>0</v>
      </c>
      <c r="C6" cm="1">
        <f t="array" ref="C6">SUMPRODUCT(--(TRIM(INDEX(Raw_Data[],0,MATCH(A6,Raw_Data[#Headers],0)))=""))</f>
        <v>0</v>
      </c>
      <c r="D6">
        <f>COUNTIF(INDEX(Raw_Data[],0,MATCH(A6,Raw_Data[#Headers],0)),"Unknown")</f>
        <v>0</v>
      </c>
      <c r="E6">
        <f>COUNTA(_xlfn.UNIQUE(INDEX(Raw_Data[],0,MATCH(A6,Raw_Data[#Headers],0))))</f>
        <v>1096</v>
      </c>
      <c r="I6" t="s">
        <v>4819</v>
      </c>
      <c r="J6">
        <f>COUNTIF(Raw_Data[Year],"*BC*")</f>
        <v>7</v>
      </c>
    </row>
    <row r="7" spans="1:11">
      <c r="A7" t="str">
        <v>Name of Incident</v>
      </c>
      <c r="B7">
        <f>COUNTBLANK(INDEX(Raw_Data[],0,MATCH(A7,Raw_Data[#Headers],0)))</f>
        <v>0</v>
      </c>
      <c r="C7" cm="1">
        <f t="array" ref="C7">SUMPRODUCT(--(TRIM(INDEX(Raw_Data[],0,MATCH(A7,Raw_Data[#Headers],0)))=""))</f>
        <v>0</v>
      </c>
      <c r="D7">
        <f>COUNTIF(INDEX(Raw_Data[],0,MATCH(A7,Raw_Data[#Headers],0)),"Unknown")</f>
        <v>0</v>
      </c>
      <c r="E7">
        <f>COUNTA(_xlfn.UNIQUE(INDEX(Raw_Data[],0,MATCH(A7,Raw_Data[#Headers],0))))</f>
        <v>1030</v>
      </c>
      <c r="I7" s="4" t="s">
        <v>4820</v>
      </c>
      <c r="J7" cm="1">
        <f t="array" ref="J7">SUMPRODUCT(--(TRIM(Raw_Data[Year])="0"))</f>
        <v>2</v>
      </c>
    </row>
    <row r="8" spans="1:11">
      <c r="A8" t="str">
        <v>Date</v>
      </c>
      <c r="B8">
        <f>COUNTBLANK(INDEX(Raw_Data[],0,MATCH(A8,Raw_Data[#Headers],0)))</f>
        <v>0</v>
      </c>
      <c r="C8" cm="1">
        <f t="array" ref="C8">SUMPRODUCT(--(TRIM(INDEX(Raw_Data[],0,MATCH(A8,Raw_Data[#Headers],0)))=""))</f>
        <v>26</v>
      </c>
      <c r="D8">
        <f>COUNTIF(INDEX(Raw_Data[],0,MATCH(A8,Raw_Data[#Headers],0)),"Unknown")</f>
        <v>427</v>
      </c>
      <c r="E8">
        <f>COUNTA(_xlfn.UNIQUE(INDEX(Raw_Data[],0,MATCH(A8,Raw_Data[#Headers],0))))</f>
        <v>46</v>
      </c>
      <c r="I8" s="4" t="s">
        <v>4821</v>
      </c>
      <c r="J8" s="3" cm="1">
        <f t="array" ref="J8">SUMPRODUCT(--(Raw_Data[Year]&lt;&gt;TRIM(Raw_Data[Year])))</f>
        <v>1</v>
      </c>
      <c r="K8" s="2"/>
    </row>
    <row r="9" spans="1:11">
      <c r="A9" t="str">
        <v>Month</v>
      </c>
      <c r="B9">
        <f>COUNTBLANK(INDEX(Raw_Data[],0,MATCH(A9,Raw_Data[#Headers],0)))</f>
        <v>0</v>
      </c>
      <c r="C9" cm="1">
        <f t="array" ref="C9">SUMPRODUCT(--(TRIM(INDEX(Raw_Data[],0,MATCH(A9,Raw_Data[#Headers],0)))=""))</f>
        <v>0</v>
      </c>
      <c r="D9">
        <f>COUNTIF(INDEX(Raw_Data[],0,MATCH(A9,Raw_Data[#Headers],0)),"Unknown")</f>
        <v>395</v>
      </c>
      <c r="E9">
        <f>COUNTA(_xlfn.UNIQUE(INDEX(Raw_Data[],0,MATCH(A9,Raw_Data[#Headers],0))))</f>
        <v>13</v>
      </c>
      <c r="I9" t="s">
        <v>4822</v>
      </c>
      <c r="J9" cm="1">
        <f t="array" ref="J9">MAX(IFERROR(VALUE(Raw_Data[Year]),""))</f>
        <v>2022</v>
      </c>
    </row>
    <row r="10" spans="1:11">
      <c r="A10" t="str">
        <v>Year</v>
      </c>
      <c r="B10">
        <f>COUNTBLANK(INDEX(Raw_Data[],0,MATCH(A10,Raw_Data[#Headers],0)))</f>
        <v>0</v>
      </c>
      <c r="C10" cm="1">
        <f t="array" ref="C10">SUMPRODUCT(--(TRIM(INDEX(Raw_Data[],0,MATCH(A10,Raw_Data[#Headers],0)))=""))</f>
        <v>0</v>
      </c>
      <c r="D10">
        <f>COUNTIF(INDEX(Raw_Data[],0,MATCH(A10,Raw_Data[#Headers],0)),"Unknown")</f>
        <v>0</v>
      </c>
      <c r="E10">
        <f>COUNTA(_xlfn.UNIQUE(INDEX(Raw_Data[],0,MATCH(A10,Raw_Data[#Headers],0))))</f>
        <v>330</v>
      </c>
    </row>
    <row r="11" spans="1:11">
      <c r="A11" t="str">
        <v>Country</v>
      </c>
      <c r="B11">
        <f>COUNTBLANK(INDEX(Raw_Data[],0,MATCH(A11,Raw_Data[#Headers],0)))</f>
        <v>0</v>
      </c>
      <c r="C11" cm="1">
        <f t="array" ref="C11">SUMPRODUCT(--(TRIM(INDEX(Raw_Data[],0,MATCH(A11,Raw_Data[#Headers],0)))=""))</f>
        <v>0</v>
      </c>
      <c r="D11">
        <f>COUNTIF(INDEX(Raw_Data[],0,MATCH(A11,Raw_Data[#Headers],0)),"Unknown")</f>
        <v>0</v>
      </c>
      <c r="E11">
        <f>COUNTA(_xlfn.UNIQUE(INDEX(Raw_Data[],0,MATCH(A11,Raw_Data[#Headers],0))))</f>
        <v>113</v>
      </c>
    </row>
    <row r="12" spans="1:11">
      <c r="A12" t="str">
        <v>Type of Event</v>
      </c>
      <c r="B12">
        <f>COUNTBLANK(INDEX(Raw_Data[],0,MATCH(A12,Raw_Data[#Headers],0)))</f>
        <v>0</v>
      </c>
      <c r="C12" cm="1">
        <f t="array" ref="C12">SUMPRODUCT(--(TRIM(INDEX(Raw_Data[],0,MATCH(A12,Raw_Data[#Headers],0)))=""))</f>
        <v>0</v>
      </c>
      <c r="D12">
        <f>COUNTIF(INDEX(Raw_Data[],0,MATCH(A12,Raw_Data[#Headers],0)),"Unknown")</f>
        <v>0</v>
      </c>
      <c r="E12">
        <f>COUNTA(_xlfn.UNIQUE(INDEX(Raw_Data[],0,MATCH(A12,Raw_Data[#Headers],0))))</f>
        <v>402</v>
      </c>
    </row>
    <row r="13" spans="1:11">
      <c r="A13" t="str">
        <v>Place Name</v>
      </c>
      <c r="B13">
        <f>COUNTBLANK(INDEX(Raw_Data[],0,MATCH(A13,Raw_Data[#Headers],0)))</f>
        <v>0</v>
      </c>
      <c r="C13" cm="1">
        <f t="array" ref="C13">SUMPRODUCT(--(TRIM(INDEX(Raw_Data[],0,MATCH(A13,Raw_Data[#Headers],0)))=""))</f>
        <v>0</v>
      </c>
      <c r="D13">
        <f>COUNTIF(INDEX(Raw_Data[],0,MATCH(A13,Raw_Data[#Headers],0)),"Unknown")</f>
        <v>20</v>
      </c>
      <c r="E13">
        <f>COUNTA(_xlfn.UNIQUE(INDEX(Raw_Data[],0,MATCH(A13,Raw_Data[#Headers],0))))</f>
        <v>523</v>
      </c>
    </row>
    <row r="14" spans="1:11">
      <c r="A14" t="str">
        <v>Impact</v>
      </c>
      <c r="B14">
        <f>COUNTBLANK(INDEX(Raw_Data[],0,MATCH(A14,Raw_Data[#Headers],0)))</f>
        <v>0</v>
      </c>
      <c r="C14" cm="1">
        <f t="array" ref="C14">SUMPRODUCT(--(TRIM(INDEX(Raw_Data[],0,MATCH(A14,Raw_Data[#Headers],0)))=""))</f>
        <v>0</v>
      </c>
      <c r="D14">
        <f>COUNTIF(INDEX(Raw_Data[],0,MATCH(A14,Raw_Data[#Headers],0)),"Unknown")</f>
        <v>0</v>
      </c>
      <c r="E14">
        <f>COUNTA(_xlfn.UNIQUE(INDEX(Raw_Data[],0,MATCH(A14,Raw_Data[#Headers],0))))</f>
        <v>1081</v>
      </c>
    </row>
    <row r="15" spans="1:11">
      <c r="A15" t="str">
        <v>Affected Population</v>
      </c>
      <c r="B15">
        <f>COUNTBLANK(INDEX(Raw_Data[],0,MATCH(A15,Raw_Data[#Headers],0)))</f>
        <v>0</v>
      </c>
      <c r="C15" cm="1">
        <f t="array" ref="C15">SUMPRODUCT(--(TRIM(INDEX(Raw_Data[],0,MATCH(A15,Raw_Data[#Headers],0)))=""))</f>
        <v>0</v>
      </c>
      <c r="D15">
        <f>COUNTIF(INDEX(Raw_Data[],0,MATCH(A15,Raw_Data[#Headers],0)),"Unknown")</f>
        <v>0</v>
      </c>
      <c r="E15">
        <f>COUNTA(_xlfn.UNIQUE(INDEX(Raw_Data[],0,MATCH(A15,Raw_Data[#Headers],0))))</f>
        <v>590</v>
      </c>
    </row>
    <row r="16" spans="1:11">
      <c r="A16" t="str">
        <v>Important Person/Group Responsible</v>
      </c>
      <c r="B16">
        <f>COUNTBLANK(INDEX(Raw_Data[],0,MATCH(A16,Raw_Data[#Headers],0)))</f>
        <v>0</v>
      </c>
      <c r="C16" cm="1">
        <f t="array" ref="C16">SUMPRODUCT(--(TRIM(INDEX(Raw_Data[],0,MATCH(A16,Raw_Data[#Headers],0)))=""))</f>
        <v>0</v>
      </c>
      <c r="D16">
        <f>COUNTIF(INDEX(Raw_Data[],0,MATCH(A16,Raw_Data[#Headers],0)),"Unknown")</f>
        <v>56</v>
      </c>
      <c r="E16">
        <f>COUNTA(_xlfn.UNIQUE(INDEX(Raw_Data[],0,MATCH(A16,Raw_Data[#Headers],0))))</f>
        <v>799</v>
      </c>
    </row>
    <row r="17" spans="1:7">
      <c r="A17" t="str">
        <v>Outcome</v>
      </c>
      <c r="B17">
        <f>COUNTBLANK(INDEX(Raw_Data[],0,MATCH(A17,Raw_Data[#Headers],0)))</f>
        <v>0</v>
      </c>
      <c r="C17" cm="1">
        <f t="array" ref="C17">SUMPRODUCT(--(TRIM(INDEX(Raw_Data[],0,MATCH(A17,Raw_Data[#Headers],0)))=""))</f>
        <v>0</v>
      </c>
      <c r="D17">
        <f>COUNTIF(INDEX(Raw_Data[],0,MATCH(A17,Raw_Data[#Headers],0)),"Unknown")</f>
        <v>0</v>
      </c>
      <c r="E17">
        <f>COUNTA(_xlfn.UNIQUE(INDEX(Raw_Data[],0,MATCH(A17,Raw_Data[#Headers],0))))</f>
        <v>4</v>
      </c>
    </row>
    <row r="20" spans="1:7">
      <c r="A20" s="1" t="s">
        <v>4816</v>
      </c>
      <c r="B20" cm="1">
        <f t="array" ref="B20">SUMPRODUCT(--(COUNTIFS(Raw_Data[Name of Incident],Raw_Data[Name of Incident],Raw_Data[Year],Raw_Data[Year],Raw_Data[Country],Raw_Data[Country])&gt;1))</f>
        <v>16</v>
      </c>
    </row>
    <row r="22" spans="1:7">
      <c r="A22" s="1" t="s">
        <v>4817</v>
      </c>
      <c r="B22" cm="1">
        <f t="array" ref="B22:G37">_xlfn._xlws.SORT(_xlfn._xlws.FILTER(Raw_Data[[Sl. No]:[Country]],COUNTIFS(Raw_Data[Name of Incident],Raw_Data[Name of Incident],Raw_Data[Year],Raw_Data[Year],Raw_Data[Country],Raw_Data[Country])&gt;1),2)</f>
        <v>436</v>
      </c>
      <c r="C22" t="str">
        <v>Battle of Điện Biên Phủ</v>
      </c>
      <c r="D22" t="str">
        <v>7</v>
      </c>
      <c r="E22" t="str">
        <v>May</v>
      </c>
      <c r="F22" t="str">
        <v>1954</v>
      </c>
      <c r="G22" t="str">
        <v>Vietnam</v>
      </c>
    </row>
    <row r="23" spans="1:7">
      <c r="B23">
        <v>474</v>
      </c>
      <c r="C23" t="str">
        <v>Battle of Điện Biên Phủ</v>
      </c>
      <c r="D23" t="str">
        <v>Unknown</v>
      </c>
      <c r="E23" t="str">
        <v>Unknown</v>
      </c>
      <c r="F23" t="str">
        <v>1954</v>
      </c>
      <c r="G23" t="str">
        <v>Vietnam</v>
      </c>
    </row>
    <row r="24" spans="1:7">
      <c r="B24">
        <v>160</v>
      </c>
      <c r="C24" t="str">
        <v>Cultural Revolution</v>
      </c>
      <c r="D24" t="str">
        <v>Unknown</v>
      </c>
      <c r="E24" t="str">
        <v>Unknown</v>
      </c>
      <c r="F24" t="str">
        <v>1966</v>
      </c>
      <c r="G24" t="str">
        <v>China</v>
      </c>
    </row>
    <row r="25" spans="1:7">
      <c r="B25">
        <v>193</v>
      </c>
      <c r="C25" t="str">
        <v>Cultural Revolution</v>
      </c>
      <c r="D25" t="str">
        <v>Unknown</v>
      </c>
      <c r="E25" t="str">
        <v>Unknown</v>
      </c>
      <c r="F25" t="str">
        <v>1966</v>
      </c>
      <c r="G25" t="str">
        <v>China</v>
      </c>
    </row>
    <row r="26" spans="1:7">
      <c r="B26">
        <v>730</v>
      </c>
      <c r="C26" t="str">
        <v>Discovery of Insulin</v>
      </c>
      <c r="D26" t="str">
        <v>27</v>
      </c>
      <c r="E26" t="str">
        <v>July</v>
      </c>
      <c r="F26" t="str">
        <v>1921</v>
      </c>
      <c r="G26" t="str">
        <v>Canada</v>
      </c>
    </row>
    <row r="27" spans="1:7">
      <c r="B27">
        <v>754</v>
      </c>
      <c r="C27" t="str">
        <v>Discovery of Insulin</v>
      </c>
      <c r="D27" t="str">
        <v>27</v>
      </c>
      <c r="E27" t="str">
        <v>July</v>
      </c>
      <c r="F27" t="str">
        <v>1921</v>
      </c>
      <c r="G27" t="str">
        <v>Canada</v>
      </c>
    </row>
    <row r="28" spans="1:7">
      <c r="B28">
        <v>743</v>
      </c>
      <c r="C28" t="str">
        <v>Establishment of Nunavut</v>
      </c>
      <c r="D28" t="str">
        <v>1</v>
      </c>
      <c r="E28" t="str">
        <v>April</v>
      </c>
      <c r="F28" t="str">
        <v>1999</v>
      </c>
      <c r="G28" t="str">
        <v>Canada</v>
      </c>
    </row>
    <row r="29" spans="1:7">
      <c r="B29">
        <v>759</v>
      </c>
      <c r="C29" t="str">
        <v>Establishment of Nunavut</v>
      </c>
      <c r="D29" t="str">
        <v>1</v>
      </c>
      <c r="E29" t="str">
        <v>April</v>
      </c>
      <c r="F29" t="str">
        <v>1999</v>
      </c>
      <c r="G29" t="str">
        <v>Canada</v>
      </c>
    </row>
    <row r="30" spans="1:7">
      <c r="B30">
        <v>305</v>
      </c>
      <c r="C30" t="str">
        <v>Fukushima Daiichi Nuclear Disaster</v>
      </c>
      <c r="D30" t="str">
        <v>11</v>
      </c>
      <c r="E30" t="str">
        <v>March</v>
      </c>
      <c r="F30" t="str">
        <v>2011</v>
      </c>
      <c r="G30" t="str">
        <v>Japan</v>
      </c>
    </row>
    <row r="31" spans="1:7">
      <c r="B31">
        <v>649</v>
      </c>
      <c r="C31" t="str">
        <v>Fukushima Daiichi Nuclear Disaster</v>
      </c>
      <c r="D31" t="str">
        <v>11</v>
      </c>
      <c r="E31" t="str">
        <v>March</v>
      </c>
      <c r="F31" t="str">
        <v>2011</v>
      </c>
      <c r="G31" t="str">
        <v>Japan</v>
      </c>
    </row>
    <row r="32" spans="1:7">
      <c r="B32">
        <v>733</v>
      </c>
      <c r="C32" t="str">
        <v>Official Languages Act</v>
      </c>
      <c r="D32" t="str">
        <v>9</v>
      </c>
      <c r="E32" t="str">
        <v>September</v>
      </c>
      <c r="F32" t="str">
        <v>1969</v>
      </c>
      <c r="G32" t="str">
        <v>Canada</v>
      </c>
    </row>
    <row r="33" spans="2:7">
      <c r="B33">
        <v>757</v>
      </c>
      <c r="C33" t="str">
        <v>Official Languages Act</v>
      </c>
      <c r="D33" t="str">
        <v>9</v>
      </c>
      <c r="E33" t="str">
        <v>September</v>
      </c>
      <c r="F33" t="str">
        <v>1969</v>
      </c>
      <c r="G33" t="str">
        <v>Canada</v>
      </c>
    </row>
    <row r="34" spans="2:7">
      <c r="B34">
        <v>337</v>
      </c>
      <c r="C34" t="str">
        <v>Port Arthur Massacre</v>
      </c>
      <c r="D34" t="str">
        <v>28</v>
      </c>
      <c r="E34" t="str">
        <v>April</v>
      </c>
      <c r="F34" t="str">
        <v>1996</v>
      </c>
      <c r="G34" t="str">
        <v>Australia</v>
      </c>
    </row>
    <row r="35" spans="2:7">
      <c r="B35">
        <v>348</v>
      </c>
      <c r="C35" t="str">
        <v>Port Arthur Massacre</v>
      </c>
      <c r="D35" t="str">
        <v>28</v>
      </c>
      <c r="E35" t="str">
        <v>April</v>
      </c>
      <c r="F35" t="str">
        <v>1996</v>
      </c>
      <c r="G35" t="str">
        <v>Australia</v>
      </c>
    </row>
    <row r="36" spans="2:7">
      <c r="B36">
        <v>333</v>
      </c>
      <c r="C36" t="str">
        <v>Sydney Opera House Opens</v>
      </c>
      <c r="D36" t="str">
        <v>20</v>
      </c>
      <c r="E36" t="str">
        <v>October</v>
      </c>
      <c r="F36" t="str">
        <v>1973</v>
      </c>
      <c r="G36" t="str">
        <v>Australia</v>
      </c>
    </row>
    <row r="37" spans="2:7">
      <c r="B37">
        <v>344</v>
      </c>
      <c r="C37" t="str">
        <v>Sydney Opera House Opens</v>
      </c>
      <c r="D37" t="str">
        <v>20</v>
      </c>
      <c r="E37" t="str">
        <v>October</v>
      </c>
      <c r="F37" t="str">
        <v>1973</v>
      </c>
      <c r="G37" t="str">
        <v>Australia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6E657F-2BAB-4789-987F-37E0DE755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Lookups</vt:lpstr>
      <vt:lpstr>Clean_Data</vt:lpstr>
      <vt:lpstr>Raw_Data</vt:lpstr>
      <vt:lpstr>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Sai</dc:creator>
  <cp:lastModifiedBy>Tarun Sai</cp:lastModifiedBy>
  <dcterms:created xsi:type="dcterms:W3CDTF">2026-10-27T13:20:14Z</dcterms:created>
  <dcterms:modified xsi:type="dcterms:W3CDTF">2026-10-30T14:01:49Z</dcterms:modified>
</cp:coreProperties>
</file>